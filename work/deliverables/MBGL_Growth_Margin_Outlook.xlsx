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Group Framework" sheetId="2" state="visible" r:id="rId2"/>
    <sheet xmlns:r="http://schemas.openxmlformats.org/officeDocument/2006/relationships" name="CARFAX Drivers" sheetId="3" state="visible" r:id="rId3"/>
    <sheet xmlns:r="http://schemas.openxmlformats.org/officeDocument/2006/relationships" name="B2B Drivers" sheetId="4" state="visible" r:id="rId4"/>
    <sheet xmlns:r="http://schemas.openxmlformats.org/officeDocument/2006/relationships" name="Projection" sheetId="5" state="visible" r:id="rId5"/>
    <sheet xmlns:r="http://schemas.openxmlformats.org/officeDocument/2006/relationships" name="Chart Data" sheetId="6" state="visible" r:id="rId6"/>
    <sheet xmlns:r="http://schemas.openxmlformats.org/officeDocument/2006/relationships" name="Peers" sheetId="7" state="visible" r:id="rId7"/>
    <sheet xmlns:r="http://schemas.openxmlformats.org/officeDocument/2006/relationships" name="History" sheetId="8" state="visible" r:id="rId8"/>
    <sheet xmlns:r="http://schemas.openxmlformats.org/officeDocument/2006/relationships" name="Cha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;(#,##0);&quot;-&quot;"/>
    <numFmt numFmtId="166" formatCode="0.0&quot; pt&quot;;(0.0&quot; pt&quot;);&quot;-&quot;"/>
    <numFmt numFmtId="167" formatCode="0.0&quot;x&quot;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i val="1"/>
      <color rgb="00808080"/>
      <sz val="10"/>
    </font>
    <font>
      <name val="Arial"/>
      <color rgb="00008000"/>
      <sz val="10"/>
    </font>
    <font>
      <name val="Arial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5" fillId="0" borderId="1" pivotButton="0" quotePrefix="0" xfId="0"/>
    <xf numFmtId="0" fontId="6" fillId="3" borderId="0" pivotButton="0" quotePrefix="0" xfId="0"/>
    <xf numFmtId="0" fontId="0" fillId="3" borderId="0" pivotButton="0" quotePrefix="0" xfId="0"/>
    <xf numFmtId="165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166" fontId="5" fillId="0" borderId="1" pivotButton="0" quotePrefix="0" xfId="0"/>
    <xf numFmtId="166" fontId="2" fillId="0" borderId="0" pivotButton="0" quotePrefix="0" xfId="0"/>
    <xf numFmtId="164" fontId="5" fillId="0" borderId="0" pivotButton="0" quotePrefix="0" xfId="0"/>
    <xf numFmtId="0" fontId="2" fillId="0" borderId="0" applyAlignment="1" pivotButton="0" quotePrefix="0" xfId="0">
      <alignment/>
    </xf>
    <xf numFmtId="167" fontId="4" fillId="0" borderId="0" pivotButton="0" quotePrefix="0" xfId="0"/>
    <xf numFmtId="165" fontId="2" fillId="0" borderId="0" pivotButton="0" quotePrefix="0" xfId="0"/>
    <xf numFmtId="165" fontId="5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165" fontId="9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segment, FY23A-FY40E ($m)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 Data'!A5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Data'!$B$3:$S$3</f>
            </numRef>
          </cat>
          <val>
            <numRef>
              <f>'Chart Data'!$B$5:$S$5</f>
            </numRef>
          </val>
        </ser>
        <ser>
          <idx val="1"/>
          <order val="1"/>
          <tx>
            <strRef>
              <f>'Chart Data'!A6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Data'!$B$3:$S$3</f>
            </numRef>
          </cat>
          <val>
            <numRef>
              <f>'Chart Data'!$B$6:$S$6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Organic growth: group vs segments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Data'!$B$3:$S$3</f>
            </numRef>
          </cat>
          <val>
            <numRef>
              <f>'Chart Data'!$B$9:$S$9</f>
            </numRef>
          </val>
        </ser>
        <ser>
          <idx val="1"/>
          <order val="1"/>
          <tx>
            <strRef>
              <f>'Chart Data'!A10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Data'!$B$3:$S$3</f>
            </numRef>
          </cat>
          <val>
            <numRef>
              <f>'Chart Data'!$B$10:$S$10</f>
            </numRef>
          </val>
        </ser>
        <ser>
          <idx val="2"/>
          <order val="2"/>
          <tx>
            <strRef>
              <f>'Chart Data'!A11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Data'!$B$3:$S$3</f>
            </numRef>
          </cat>
          <val>
            <numRef>
              <f>'Chart Data'!$B$11:$S$11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Group growth split: price vs volume/other (FY26E+)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 Data'!A14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Data'!$B$3:$S$3</f>
            </numRef>
          </cat>
          <val>
            <numRef>
              <f>'Chart Data'!$B$14:$S$14</f>
            </numRef>
          </val>
        </ser>
        <ser>
          <idx val="1"/>
          <order val="1"/>
          <tx>
            <strRef>
              <f>'Chart Data'!A15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Data'!$B$3:$S$3</f>
            </numRef>
          </cat>
          <val>
            <numRef>
              <f>'Chart Data'!$B$15:$S$15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Adj. EBITDA and FCF margins (before / after SBC)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Data'!A18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Data'!$B$3:$S$3</f>
            </numRef>
          </cat>
          <val>
            <numRef>
              <f>'Chart Data'!$B$18:$S$18</f>
            </numRef>
          </val>
        </ser>
        <ser>
          <idx val="1"/>
          <order val="1"/>
          <tx>
            <strRef>
              <f>'Chart Data'!A19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Data'!$B$3:$S$3</f>
            </numRef>
          </cat>
          <val>
            <numRef>
              <f>'Chart Data'!$B$19:$S$19</f>
            </numRef>
          </val>
        </ser>
        <ser>
          <idx val="2"/>
          <order val="2"/>
          <tx>
            <strRef>
              <f>'Chart Data'!A20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Data'!$B$3:$S$3</f>
            </numRef>
          </cat>
          <val>
            <numRef>
              <f>'Chart Data'!$B$20:$S$20</f>
            </numRef>
          </val>
        </ser>
        <ser>
          <idx val="3"/>
          <order val="3"/>
          <tx>
            <strRef>
              <f>'Chart Data'!A21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Data'!$B$3:$S$3</f>
            </numRef>
          </cat>
          <val>
            <numRef>
              <f>'Chart Data'!$B$21:$S$21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Adj. EBITDA vs FCF ($m)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Data'!A24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Data'!$B$3:$S$3</f>
            </numRef>
          </cat>
          <val>
            <numRef>
              <f>'Chart Data'!$B$24:$S$24</f>
            </numRef>
          </val>
        </ser>
        <ser>
          <idx val="1"/>
          <order val="1"/>
          <tx>
            <strRef>
              <f>'Chart Data'!A25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Data'!$B$3:$S$3</f>
            </numRef>
          </cat>
          <val>
            <numRef>
              <f>'Chart Data'!$B$25:$S$25</f>
            </numRef>
          </val>
        </ser>
        <ser>
          <idx val="2"/>
          <order val="2"/>
          <tx>
            <strRef>
              <f>'Chart Data'!A26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Data'!$B$3:$S$3</f>
            </numRef>
          </cat>
          <val>
            <numRef>
              <f>'Chart Data'!$B$26:$S$26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CARFAX: growth drivers (pt), MT and LT low/mid/high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'CARFAX Drivers'!A4</f>
            </strRef>
          </tx>
          <spPr>
            <a:ln xmlns:a="http://schemas.openxmlformats.org/drawingml/2006/main">
              <a:prstDash val="solid"/>
            </a:ln>
          </spPr>
          <cat>
            <numRef>
              <f>'CARFAX Drivers'!$B$3:$G$3</f>
            </numRef>
          </cat>
          <val>
            <numRef>
              <f>'CARFAX Drivers'!$B$4:$G$4</f>
            </numRef>
          </val>
        </ser>
        <ser>
          <idx val="1"/>
          <order val="1"/>
          <tx>
            <strRef>
              <f>'CARFAX Drivers'!A5</f>
            </strRef>
          </tx>
          <spPr>
            <a:ln xmlns:a="http://schemas.openxmlformats.org/drawingml/2006/main">
              <a:prstDash val="solid"/>
            </a:ln>
          </spPr>
          <cat>
            <numRef>
              <f>'CARFAX Drivers'!$B$3:$G$3</f>
            </numRef>
          </cat>
          <val>
            <numRef>
              <f>'CARFAX Drivers'!$B$5:$G$5</f>
            </numRef>
          </val>
        </ser>
        <ser>
          <idx val="2"/>
          <order val="2"/>
          <tx>
            <strRef>
              <f>'CARFAX Drivers'!A6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'CARFAX Drivers'!$B$3:$G$3</f>
            </numRef>
          </cat>
          <val>
            <numRef>
              <f>'CARFAX Drivers'!$B$6:$G$6</f>
            </numRef>
          </val>
        </ser>
        <ser>
          <idx val="3"/>
          <order val="3"/>
          <tx>
            <strRef>
              <f>'CARFAX Drivers'!A7</f>
            </strRef>
          </tx>
          <spPr>
            <a:ln xmlns:a="http://schemas.openxmlformats.org/drawingml/2006/main">
              <a:prstDash val="solid"/>
            </a:ln>
          </spPr>
          <cat>
            <numRef>
              <f>'CARFAX Drivers'!$B$3:$G$3</f>
            </numRef>
          </cat>
          <val>
            <numRef>
              <f>'CARFAX Drivers'!$B$7:$G$7</f>
            </numRef>
          </val>
        </ser>
        <ser>
          <idx val="4"/>
          <order val="4"/>
          <tx>
            <strRef>
              <f>'CARFAX Drivers'!A8</f>
            </strRef>
          </tx>
          <spPr>
            <a:ln xmlns:a="http://schemas.openxmlformats.org/drawingml/2006/main">
              <a:prstDash val="solid"/>
            </a:ln>
          </spPr>
          <cat>
            <numRef>
              <f>'CARFAX Drivers'!$B$3:$G$3</f>
            </numRef>
          </cat>
          <val>
            <numRef>
              <f>'CARFAX Drivers'!$B$8:$G$8</f>
            </numRef>
          </val>
        </ser>
        <ser>
          <idx val="5"/>
          <order val="5"/>
          <tx>
            <strRef>
              <f>'CARFAX Drivers'!A9</f>
            </strRef>
          </tx>
          <spPr>
            <a:ln xmlns:a="http://schemas.openxmlformats.org/drawingml/2006/main">
              <a:prstDash val="solid"/>
            </a:ln>
          </spPr>
          <cat>
            <numRef>
              <f>'CARFAX Drivers'!$B$3:$G$3</f>
            </numRef>
          </cat>
          <val>
            <numRef>
              <f>'CARFAX Drivers'!$B$9:$G$9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B2B: growth drivers (pt), MT and LT low/mid/high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'B2B Drivers'!A4</f>
            </strRef>
          </tx>
          <spPr>
            <a:ln xmlns:a="http://schemas.openxmlformats.org/drawingml/2006/main">
              <a:prstDash val="solid"/>
            </a:ln>
          </spPr>
          <cat>
            <numRef>
              <f>'B2B Drivers'!$B$3:$G$3</f>
            </numRef>
          </cat>
          <val>
            <numRef>
              <f>'B2B Drivers'!$B$4:$G$4</f>
            </numRef>
          </val>
        </ser>
        <ser>
          <idx val="1"/>
          <order val="1"/>
          <tx>
            <strRef>
              <f>'B2B Drivers'!A5</f>
            </strRef>
          </tx>
          <spPr>
            <a:ln xmlns:a="http://schemas.openxmlformats.org/drawingml/2006/main">
              <a:prstDash val="solid"/>
            </a:ln>
          </spPr>
          <cat>
            <numRef>
              <f>'B2B Drivers'!$B$3:$G$3</f>
            </numRef>
          </cat>
          <val>
            <numRef>
              <f>'B2B Drivers'!$B$5:$G$5</f>
            </numRef>
          </val>
        </ser>
        <ser>
          <idx val="2"/>
          <order val="2"/>
          <tx>
            <strRef>
              <f>'B2B Drivers'!A6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'B2B Drivers'!$B$3:$G$3</f>
            </numRef>
          </cat>
          <val>
            <numRef>
              <f>'B2B Drivers'!$B$6:$G$6</f>
            </numRef>
          </val>
        </ser>
        <ser>
          <idx val="3"/>
          <order val="3"/>
          <tx>
            <strRef>
              <f>'B2B Drivers'!A7</f>
            </strRef>
          </tx>
          <spPr>
            <a:ln xmlns:a="http://schemas.openxmlformats.org/drawingml/2006/main">
              <a:prstDash val="solid"/>
            </a:ln>
          </spPr>
          <cat>
            <numRef>
              <f>'B2B Drivers'!$B$3:$G$3</f>
            </numRef>
          </cat>
          <val>
            <numRef>
              <f>'B2B Drivers'!$B$7:$G$7</f>
            </numRef>
          </val>
        </ser>
        <ser>
          <idx val="4"/>
          <order val="4"/>
          <tx>
            <strRef>
              <f>'B2B Drivers'!A8</f>
            </strRef>
          </tx>
          <spPr>
            <a:ln xmlns:a="http://schemas.openxmlformats.org/drawingml/2006/main">
              <a:prstDash val="solid"/>
            </a:ln>
          </spPr>
          <cat>
            <numRef>
              <f>'B2B Drivers'!$B$3:$G$3</f>
            </numRef>
          </cat>
          <val>
            <numRef>
              <f>'B2B Drivers'!$B$8:$G$8</f>
            </numRef>
          </val>
        </ser>
        <ser>
          <idx val="5"/>
          <order val="5"/>
          <tx>
            <strRef>
              <f>'B2B Drivers'!A9</f>
            </strRef>
          </tx>
          <spPr>
            <a:ln xmlns:a="http://schemas.openxmlformats.org/drawingml/2006/main">
              <a:prstDash val="solid"/>
            </a:ln>
          </spPr>
          <cat>
            <numRef>
              <f>'B2B Drivers'!$B$3:$G$3</f>
            </numRef>
          </cat>
          <val>
            <numRef>
              <f>'B2B Drivers'!$B$9:$G$9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Group medium-term framework by component [IR]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'Group Framework'!B3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'Group Framework'!$A$4:$A$6</f>
            </numRef>
          </cat>
          <val>
            <numRef>
              <f>'Group Framework'!$B$4:$B$6</f>
            </numRef>
          </val>
        </ser>
        <ser>
          <idx val="1"/>
          <order val="1"/>
          <tx>
            <strRef>
              <f>'Group Framework'!C3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'Group Framework'!$A$4:$A$6</f>
            </numRef>
          </cat>
          <val>
            <numRef>
              <f>'Group Framework'!$C$4:$C$6</f>
            </numRef>
          </val>
        </ser>
        <ser>
          <idx val="2"/>
          <order val="2"/>
          <tx>
            <strRef>
              <f>'Group Framework'!D3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'Group Framework'!$A$4:$A$6</f>
            </numRef>
          </cat>
          <val>
            <numRef>
              <f>'Group Framework'!$D$4:$D$6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Peers: growth vs margin (approximate)</a:t>
            </a:r>
          </a:p>
        </rich>
      </tx>
    </title>
    <plotArea>
      <scatterChart>
        <ser>
          <idx val="0"/>
          <order val="0"/>
          <tx>
            <v>Mobility Global (target)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'Peers'!$F$4</f>
            </numRef>
          </xVal>
          <yVal>
            <numRef>
              <f>'Peers'!$G$4</f>
            </numRef>
          </yVal>
        </ser>
        <ser>
          <idx val="1"/>
          <order val="1"/>
          <tx>
            <v>Auto Trader Group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marker>
          <xVal>
            <numRef>
              <f>'Peers'!$F$5</f>
            </numRef>
          </xVal>
          <yVal>
            <numRef>
              <f>'Peers'!$G$5</f>
            </numRef>
          </yVal>
        </ser>
        <ser>
          <idx val="2"/>
          <order val="2"/>
          <tx>
            <v>Verisk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xVal>
            <numRef>
              <f>'Peers'!$F$6</f>
            </numRef>
          </xVal>
          <yVal>
            <numRef>
              <f>'Peers'!$G$6</f>
            </numRef>
          </yVal>
        </ser>
        <ser>
          <idx val="3"/>
          <order val="3"/>
          <tx>
            <v>CCC Intelligent Solutions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xVal>
            <numRef>
              <f>'Peers'!$F$7</f>
            </numRef>
          </xVal>
          <yVal>
            <numRef>
              <f>'Peers'!$G$7</f>
            </numRef>
          </yVal>
        </ser>
        <ser>
          <idx val="4"/>
          <order val="4"/>
          <tx>
            <v>Fair Isaac (Scores)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xVal>
            <numRef>
              <f>'Peers'!$F$8</f>
            </numRef>
          </xVal>
          <yVal>
            <numRef>
              <f>'Peers'!$G$8</f>
            </numRef>
          </yVal>
        </ser>
        <ser>
          <idx val="5"/>
          <order val="5"/>
          <tx>
            <v>Experian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xVal>
            <numRef>
              <f>'Peers'!$F$9</f>
            </numRef>
          </xVal>
          <yVal>
            <numRef>
              <f>'Peers'!$G$9</f>
            </numRef>
          </yVal>
        </ser>
        <ser>
          <idx val="6"/>
          <order val="6"/>
          <tx>
            <v>Equifax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xVal>
            <numRef>
              <f>'Peers'!$F$10</f>
            </numRef>
          </xVal>
          <yVal>
            <numRef>
              <f>'Peers'!$G$10</f>
            </numRef>
          </yVal>
        </ser>
        <ser>
          <idx val="7"/>
          <order val="7"/>
          <tx>
            <v>TransUnion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marker>
          <xVal>
            <numRef>
              <f>'Peers'!$F$11</f>
            </numRef>
          </xVal>
          <yVal>
            <numRef>
              <f>'Peers'!$G$11</f>
            </numRef>
          </yVal>
        </ser>
        <ser>
          <idx val="8"/>
          <order val="8"/>
          <tx>
            <v>CarGurus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xVal>
            <numRef>
              <f>'Peers'!$F$12</f>
            </numRef>
          </xVal>
          <yVal>
            <numRef>
              <f>'Peers'!$G$12</f>
            </numRef>
          </yVal>
        </ser>
        <ser>
          <idx val="9"/>
          <order val="9"/>
          <tx>
            <v>Cars.com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xVal>
            <numRef>
              <f>'Peers'!$F$13</f>
            </numRef>
          </xVal>
          <yVal>
            <numRef>
              <f>'Peers'!$G$13</f>
            </numRef>
          </yVal>
        </ser>
        <ser>
          <idx val="10"/>
          <order val="10"/>
          <tx>
            <v>REA Group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xVal>
            <numRef>
              <f>'Peers'!$F$14</f>
            </numRef>
          </xVal>
          <yVal>
            <numRef>
              <f>'Peers'!$G$14</f>
            </numRef>
          </yVal>
        </ser>
        <ser>
          <idx val="11"/>
          <order val="11"/>
          <tx>
            <v>Rightmove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xVal>
            <numRef>
              <f>'Peers'!$F$15</f>
            </numRef>
          </xVal>
          <yVal>
            <numRef>
              <f>'Peers'!$G$15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Organic growth (mid)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EBITDA margin (approx.)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History: revenue and Adj. EBITDA margin (IHS Transp. FY14-21; carve-out FY23-25)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'History'!A4</f>
            </strRef>
          </tx>
          <spPr>
            <a:ln xmlns:a="http://schemas.openxmlformats.org/drawingml/2006/main">
              <a:prstDash val="solid"/>
            </a:ln>
          </spPr>
          <cat>
            <numRef>
              <f>'History'!$B$3:$L$3</f>
            </numRef>
          </cat>
          <val>
            <numRef>
              <f>'History'!$B$4:$L$4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'History'!A6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'History'!$B$6:$L$6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</row>
      <rowOff>0</rowOff>
    </from>
    <ext cx="64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20</row>
      <rowOff>0</rowOff>
    </from>
    <ext cx="648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20</row>
      <rowOff>0</rowOff>
    </from>
    <ext cx="648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38</row>
      <rowOff>0</rowOff>
    </from>
    <ext cx="648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38</row>
      <rowOff>0</rowOff>
    </from>
    <ext cx="6480000" cy="30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56</row>
      <rowOff>0</rowOff>
    </from>
    <ext cx="6480000" cy="30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56</row>
      <rowOff>0</rowOff>
    </from>
    <ext cx="6480000" cy="30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</col>
      <colOff>0</colOff>
      <row>74</row>
      <rowOff>0</rowOff>
    </from>
    <ext cx="6480000" cy="30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11</col>
      <colOff>0</colOff>
      <row>74</row>
      <rowOff>0</rowOff>
    </from>
    <ext cx="6480000" cy="30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MBGL: medium/long-term growth, margin &amp; FCF outlook (chart data)</t>
        </is>
      </c>
    </row>
    <row r="3" ht="42" customHeight="1">
      <c r="A3" s="2" t="inlineStr">
        <is>
          <t>Purpose: chart-ready tables for the medium-term (2028-30) and long-term (2030+) outlook. Every table is laid out as a clean block (labels in column A, series in columns) so Excel charts can be built directly from it; ready-made charts are on the "Charts" tab.</t>
        </is>
      </c>
    </row>
    <row r="4" ht="42" customHeight="1">
      <c r="A4" s="2" t="inlineStr">
        <is>
          <t>Colour code: blue = input/assumption (change freely), black = formula, green = link to another tab.</t>
        </is>
      </c>
    </row>
    <row r="5" ht="42" customHeight="1">
      <c r="A5" s="2" t="inlineStr">
        <is>
          <t>Tiers: [D] disclosed in filings; [IR] management statement (Investor Day 12-May-26, Q2-26 call 7-Aug-26, Goldman Sachs conference 10-Sep-26); [C] computed; [E] analyst estimate (inference, not guidance).</t>
        </is>
      </c>
    </row>
    <row r="6" ht="42" customHeight="1">
      <c r="A6" s="2" t="inlineStr">
        <is>
          <t>What management has guided: only the group medium-term framework (7.5-10% organic, core 5-7% "majority in value" + new products 1-2% + international 1-2%; 50bp+ annual margin expansion from 2028; 8-11% Adj. EBITDA growth; 25-27% medium-term effective tax rate; SBC 3-4% of revenue; capex "relatively low"; 75%+ of FCF returned; ~2.5x gross leverage). No segment targets and nothing beyond ~2030.</t>
        </is>
      </c>
    </row>
    <row r="7" ht="42" customHeight="1">
      <c r="A7" s="2" t="inlineStr">
        <is>
          <t>Segment driver splits (CARFAX, B2B), the 2026-2040 projection and long-run margins are [E]. Price evidence: Q2-26 10-Q "price increases of approximately $16 million and $36 million" (Q2/6M) vs new business ~$8m/$20m [D]; CARFAX subscription growth "primarily driven by price increases", B2B "primarily due to continued new business growth" [D].</t>
        </is>
      </c>
    </row>
    <row r="8" ht="42" customHeight="1">
      <c r="A8" s="2" t="inlineStr">
        <is>
          <t>Adjusted EBITDA adds back stock-based compensation (SBC). "After SBC" rows treat SBC as a real cost.</t>
        </is>
      </c>
    </row>
    <row r="9" ht="42" customHeight="1">
      <c r="A9" s="2" t="inlineStr">
        <is>
          <t>Cash tax = ETR x (EBITDA - one-offs - SBC - depreciation - interest) + (cash-tax gap $89m - ETR x $296m non-deductible IHS Markit deal amortization) while the amortization lasts (to 2037). The $89m is cash tax above the book provision (CFO); it is a book/cash difference, so cash tax does not fall when it ends.</t>
        </is>
      </c>
    </row>
    <row r="10" ht="42" customHeight="1">
      <c r="A10" s="2" t="inlineStr">
        <is>
          <t>Peer metrics on the Peers tab are approximate from general knowledge and NOT verified against filings in this project; replace before external use.</t>
        </is>
      </c>
    </row>
    <row r="11" ht="42" customHeight="1">
      <c r="A11" s="2" t="inlineStr">
        <is>
          <t>FY23-25 actuals: Form 10/A carve-out [D]. IHS Markit Transportation FY14-21: IHS Markit 10-Ks [D] (Nov FYE; includes Maritime &amp; Trade; not comparable with the carve-out).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70" customWidth="1" min="5" max="5"/>
  </cols>
  <sheetData>
    <row r="1">
      <c r="A1" s="1" t="inlineStr">
        <is>
          <t>Group medium-term growth framework (2028+, "target range every year") [IR]</t>
        </is>
      </c>
    </row>
    <row r="3">
      <c r="A3" s="3" t="inlineStr">
        <is>
          <t>Component (% organic growth p.a.)</t>
        </is>
      </c>
      <c r="B3" s="4" t="inlineStr">
        <is>
          <t>Low</t>
        </is>
      </c>
      <c r="C3" s="4" t="inlineStr">
        <is>
          <t>High</t>
        </is>
      </c>
      <c r="D3" s="4" t="inlineStr">
        <is>
          <t>Mid</t>
        </is>
      </c>
      <c r="E3" s="4" t="inlineStr">
        <is>
          <t>Management statement / source</t>
        </is>
      </c>
    </row>
    <row r="4">
      <c r="A4" s="5" t="inlineStr">
        <is>
          <t>Core (price/value + volume)</t>
        </is>
      </c>
      <c r="B4" s="6" t="n">
        <v>0.05</v>
      </c>
      <c r="C4" s="6" t="n">
        <v>0.07000000000000001</v>
      </c>
      <c r="D4" s="7">
        <f>AVERAGE(B4:C4)</f>
        <v/>
      </c>
      <c r="E4" s="5" t="inlineStr">
        <is>
          <t>"the 5%-7% revenue growth visibility that we typically have every year"; "value plus volume ... the majority of that is in value" (CFO, Investor Day)</t>
        </is>
      </c>
    </row>
    <row r="5">
      <c r="A5" s="5" t="inlineStr">
        <is>
          <t>New products</t>
        </is>
      </c>
      <c r="B5" s="6" t="n">
        <v>0.01</v>
      </c>
      <c r="C5" s="6" t="n">
        <v>0.02</v>
      </c>
      <c r="D5" s="7">
        <f>AVERAGE(B5:C5)</f>
        <v/>
      </c>
      <c r="E5" s="5" t="inlineStr">
        <is>
          <t>Listings/Showroom, CARFAX for Life, Data Studio/FAST/PIQ, AI products (GS conference)</t>
        </is>
      </c>
    </row>
    <row r="6">
      <c r="A6" s="5" t="inlineStr">
        <is>
          <t>International</t>
        </is>
      </c>
      <c r="B6" s="6" t="n">
        <v>0.01</v>
      </c>
      <c r="C6" s="6" t="n">
        <v>0.02</v>
      </c>
      <c r="D6" s="7">
        <f>AVERAGE(B6:C6)</f>
        <v/>
      </c>
      <c r="E6" s="5" t="inlineStr">
        <is>
          <t>Canada largest; Germany/Italy/Spain/Poland; Chinese OEMs; India. "More mid-to-long term" (GS conference)</t>
        </is>
      </c>
    </row>
    <row r="7">
      <c r="A7" s="8" t="inlineStr">
        <is>
          <t>Sum of components</t>
        </is>
      </c>
      <c r="B7" s="9">
        <f>SUM(B4:B6)</f>
        <v/>
      </c>
      <c r="C7" s="9">
        <f>SUM(C4:C6)</f>
        <v/>
      </c>
      <c r="D7" s="9">
        <f>SUM(D4:D6)</f>
        <v/>
      </c>
      <c r="E7" s="5" t="inlineStr">
        <is>
          <t>Components sum to 7-11%; management states the total as 7.5-10%</t>
        </is>
      </c>
    </row>
    <row r="8">
      <c r="A8" s="8" t="inlineStr">
        <is>
          <t>Stated organic revenue target</t>
        </is>
      </c>
      <c r="B8" s="6" t="n">
        <v>0.075</v>
      </c>
      <c r="C8" s="6" t="n">
        <v>0.1</v>
      </c>
      <c r="D8" s="7">
        <f>AVERAGE(B8:C8)</f>
        <v/>
      </c>
      <c r="E8" s="5" t="inlineStr">
        <is>
          <t>"We are targeting 7.5%-10% organic growth in the medium term"; medium term = "2028 and beyond" (CFO)</t>
        </is>
      </c>
    </row>
    <row r="9">
      <c r="A9" s="8" t="inlineStr">
        <is>
          <t>Organic Adj. EBITDA growth target</t>
        </is>
      </c>
      <c r="B9" s="6" t="n">
        <v>0.08</v>
      </c>
      <c r="C9" s="6" t="n">
        <v>0.11</v>
      </c>
      <c r="D9" s="7">
        <f>AVERAGE(B9:C9)</f>
        <v/>
      </c>
      <c r="E9" s="5" t="inlineStr">
        <is>
          <t>"8% to 11% annual organic adjusted EBITDA growth" (CFO)</t>
        </is>
      </c>
    </row>
    <row r="10">
      <c r="A10" s="5" t="inlineStr">
        <is>
          <t>Annual Adj. EBITDA margin expansion</t>
        </is>
      </c>
      <c r="B10" s="6" t="n">
        <v>0.005</v>
      </c>
      <c r="E10" s="5" t="inlineStr">
        <is>
          <t>"50 basis point margin expansion or more" after the reset; full 50bp "not ... until 2028" (CFO)</t>
        </is>
      </c>
    </row>
    <row r="13">
      <c r="A13" s="10" t="inlineStr">
        <is>
          <t>Long-term opportunity statements [IR] ($m unless stated)</t>
        </is>
      </c>
      <c r="B13" s="11" t="n"/>
      <c r="C13" s="11" t="n"/>
      <c r="D13" s="11" t="n"/>
      <c r="E13" s="11" t="n"/>
    </row>
    <row r="14">
      <c r="A14" s="3" t="inlineStr">
        <is>
          <t>Opportunity</t>
        </is>
      </c>
      <c r="B14" s="4" t="inlineStr">
        <is>
          <t>Today</t>
        </is>
      </c>
      <c r="C14" s="4" t="inlineStr">
        <is>
          <t>Target / size</t>
        </is>
      </c>
      <c r="D14" s="4" t="inlineStr">
        <is>
          <t>Today as % of target</t>
        </is>
      </c>
      <c r="E14" s="4" t="inlineStr">
        <is>
          <t>Statement</t>
        </is>
      </c>
    </row>
    <row r="15">
      <c r="A15" s="5" t="inlineStr">
        <is>
          <t>B2B addressable market ($m)</t>
        </is>
      </c>
      <c r="B15" s="12" t="n">
        <v>600</v>
      </c>
      <c r="C15" s="12" t="n">
        <v>18000</v>
      </c>
      <c r="D15" s="7">
        <f>B15/C15</f>
        <v/>
      </c>
      <c r="E15" s="5" t="inlineStr">
        <is>
          <t>B2B &gt;$600m revenue; "$6 billion addressable market, about 10% market share ... path to an $18 billion opportunity" (LaFeir)</t>
        </is>
      </c>
    </row>
    <row r="16">
      <c r="A16" s="5" t="inlineStr">
        <is>
          <t>US listings market ($m; CARFAX share &lt;10%)</t>
        </is>
      </c>
      <c r="B16" s="12" t="n">
        <v>300</v>
      </c>
      <c r="C16" s="12" t="n">
        <v>3000</v>
      </c>
      <c r="D16" s="7">
        <f>B16/C16</f>
        <v/>
      </c>
      <c r="E16" s="5" t="inlineStr">
        <is>
          <t>"north of $3 billion ... not even at 10% of that yet" (Eager, GS). Today = 10% ceiling</t>
        </is>
      </c>
    </row>
    <row r="17">
      <c r="A17" s="5" t="inlineStr">
        <is>
          <t>CARFAX for Life, US &amp; Canada ($m)</t>
        </is>
      </c>
      <c r="B17" s="12" t="n">
        <v>53</v>
      </c>
      <c r="C17" s="12" t="n">
        <v>150</v>
      </c>
      <c r="D17" s="7">
        <f>B17/C17</f>
        <v/>
      </c>
      <c r="E17" s="5" t="inlineStr">
        <is>
          <t>"His goal in the U.S. and Canada is not $53 million, it's $150 million" (Eager)</t>
        </is>
      </c>
    </row>
    <row r="18">
      <c r="A18" s="5" t="inlineStr">
        <is>
          <t>CARFAX for Life, global ($m)</t>
        </is>
      </c>
      <c r="B18" s="12" t="n">
        <v>53</v>
      </c>
      <c r="C18" s="12" t="n">
        <v>1000</v>
      </c>
      <c r="D18" s="7">
        <f>B18/C18</f>
        <v/>
      </c>
      <c r="E18" s="5" t="inlineStr">
        <is>
          <t>"... and it's $1 billion globally" (Eager)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5" customWidth="1" min="9" max="9"/>
  </cols>
  <sheetData>
    <row r="1">
      <c r="A1" s="1" t="inlineStr">
        <is>
          <t>CARFAX: medium-term (2028-30) and long-term (2030+) growth drivers [E]</t>
        </is>
      </c>
    </row>
    <row r="3">
      <c r="A3" s="3" t="inlineStr">
        <is>
          <t>Driver (pt of segment growth p.a.) [E]</t>
        </is>
      </c>
      <c r="B3" s="4" t="inlineStr">
        <is>
          <t>MT low</t>
        </is>
      </c>
      <c r="C3" s="4" t="inlineStr">
        <is>
          <t>MT mid</t>
        </is>
      </c>
      <c r="D3" s="4" t="inlineStr">
        <is>
          <t>MT high</t>
        </is>
      </c>
      <c r="E3" s="4" t="inlineStr">
        <is>
          <t>LT low</t>
        </is>
      </c>
      <c r="F3" s="4" t="inlineStr">
        <is>
          <t>LT mid</t>
        </is>
      </c>
      <c r="G3" s="4" t="inlineStr">
        <is>
          <t>LT high</t>
        </is>
      </c>
      <c r="H3" s="4" t="inlineStr">
        <is>
          <t>Price? (1=yes)</t>
        </is>
      </c>
      <c r="I3" s="4" t="inlineStr">
        <is>
          <t>Basis</t>
        </is>
      </c>
    </row>
    <row r="4">
      <c r="A4" s="5" t="inlineStr">
        <is>
          <t>Price / value on existing dealer base</t>
        </is>
      </c>
      <c r="B4" s="13" t="n">
        <v>4</v>
      </c>
      <c r="C4" s="13" t="n">
        <v>5</v>
      </c>
      <c r="D4" s="13" t="n">
        <v>6</v>
      </c>
      <c r="E4" s="13" t="n">
        <v>4</v>
      </c>
      <c r="F4" s="13" t="n">
        <v>4.5</v>
      </c>
      <c r="G4" s="13" t="n">
        <v>5</v>
      </c>
      <c r="H4" s="14" t="n">
        <v>1</v>
      </c>
      <c r="I4" s="5" t="inlineStr">
        <is>
          <t>10-Q: CARFAX subscription growth "primarily driven by price increases" [D]; 6M-26 company price ~$36m = at most ~6% of CARFAX revenue [C]; "report as % of car price continues to decline" (Fredericks)</t>
        </is>
      </c>
    </row>
    <row r="5">
      <c r="A5" s="5" t="inlineStr">
        <is>
          <t>Dealer count (rooftops)</t>
        </is>
      </c>
      <c r="B5" s="13" t="n">
        <v>0</v>
      </c>
      <c r="C5" s="13" t="n">
        <v>0.5</v>
      </c>
      <c r="D5" s="13" t="n">
        <v>1</v>
      </c>
      <c r="E5" s="13" t="n">
        <v>0</v>
      </c>
      <c r="F5" s="13" t="n">
        <v>0</v>
      </c>
      <c r="G5" s="13" t="n">
        <v>0.5</v>
      </c>
      <c r="H5" s="14" t="n">
        <v>0</v>
      </c>
      <c r="I5" s="5" t="inlineStr">
        <is>
          <t>Franchise "highly pinned"; ~40k US dealers; small-independent churn and AutoCheck switching (expert calls, D16)</t>
        </is>
      </c>
    </row>
    <row r="6">
      <c r="A6" s="5" t="inlineStr">
        <is>
          <t>Products per dealer (attach / upsell)</t>
        </is>
      </c>
      <c r="B6" s="13" t="n">
        <v>1</v>
      </c>
      <c r="C6" s="13" t="n">
        <v>1.5</v>
      </c>
      <c r="D6" s="13" t="n">
        <v>2</v>
      </c>
      <c r="E6" s="13" t="n">
        <v>0.5</v>
      </c>
      <c r="F6" s="13" t="n">
        <v>1</v>
      </c>
      <c r="G6" s="13" t="n">
        <v>1.5</v>
      </c>
      <c r="H6" s="14" t="n">
        <v>0</v>
      </c>
      <c r="I6" s="5" t="inlineStr">
        <is>
          <t>"Most dealers are only on 1.5 products ... three or four or five" (Fredericks)</t>
        </is>
      </c>
    </row>
    <row r="7">
      <c r="A7" s="5" t="inlineStr">
        <is>
          <t>Listings &amp; Showroom</t>
        </is>
      </c>
      <c r="B7" s="13" t="n">
        <v>1</v>
      </c>
      <c r="C7" s="13" t="n">
        <v>1.5</v>
      </c>
      <c r="D7" s="13" t="n">
        <v>2</v>
      </c>
      <c r="E7" s="13" t="n">
        <v>1</v>
      </c>
      <c r="F7" s="13" t="n">
        <v>1</v>
      </c>
      <c r="G7" s="13" t="n">
        <v>2</v>
      </c>
      <c r="H7" s="14" t="n">
        <v>0</v>
      </c>
      <c r="I7" s="5" t="inlineStr">
        <is>
          <t>&lt;10% share of a &gt;$3bn US market; "more immediate" 12-18 month lever (Eager, GS)</t>
        </is>
      </c>
    </row>
    <row r="8">
      <c r="A8" s="5" t="inlineStr">
        <is>
          <t>International (Canada, Europe)</t>
        </is>
      </c>
      <c r="B8" s="13" t="n">
        <v>0.5</v>
      </c>
      <c r="C8" s="13" t="n">
        <v>1</v>
      </c>
      <c r="D8" s="13" t="n">
        <v>2</v>
      </c>
      <c r="E8" s="13" t="n">
        <v>0.5</v>
      </c>
      <c r="F8" s="13" t="n">
        <v>1</v>
      </c>
      <c r="G8" s="13" t="n">
        <v>3</v>
      </c>
      <c r="H8" s="14" t="n">
        <v>0</v>
      </c>
      <c r="I8" s="5" t="inlineStr">
        <is>
          <t>Germany launched Jul-26, plus Italy/Spain; global opportunity large but unproven</t>
        </is>
      </c>
    </row>
    <row r="9">
      <c r="A9" s="5" t="inlineStr">
        <is>
          <t>Insurers &amp; lenders (per-VIN)</t>
        </is>
      </c>
      <c r="B9" s="13" t="n">
        <v>0.5</v>
      </c>
      <c r="C9" s="13" t="n">
        <v>0.5</v>
      </c>
      <c r="D9" s="13" t="n">
        <v>0.5</v>
      </c>
      <c r="E9" s="13" t="n">
        <v>0.5</v>
      </c>
      <c r="F9" s="13" t="n">
        <v>0.5</v>
      </c>
      <c r="G9" s="13" t="n">
        <v>0.5</v>
      </c>
      <c r="H9" s="14" t="n">
        <v>0</v>
      </c>
      <c r="I9" s="5" t="inlineStr">
        <is>
          <t>Per-VIN pricing up 3-8% (experts); underwriting volumes cyclical</t>
        </is>
      </c>
    </row>
    <row r="10">
      <c r="A10" s="8" t="inlineStr">
        <is>
          <t>Segment growth (sum of drivers)</t>
        </is>
      </c>
      <c r="B10" s="15">
        <f>SUM(B4:B9)</f>
        <v/>
      </c>
      <c r="C10" s="15">
        <f>SUM(C4:C9)</f>
        <v/>
      </c>
      <c r="D10" s="15">
        <f>SUM(D4:D9)</f>
        <v/>
      </c>
      <c r="E10" s="15">
        <f>SUM(E4:E9)</f>
        <v/>
      </c>
      <c r="F10" s="15">
        <f>SUM(F4:F9)</f>
        <v/>
      </c>
      <c r="G10" s="15">
        <f>SUM(G4:G9)</f>
        <v/>
      </c>
      <c r="I10" s="5" t="inlineStr">
        <is>
          <t>Low/high totals are extreme cases (every driver at its low/high); use the mid case</t>
        </is>
      </c>
    </row>
    <row r="11">
      <c r="A11" s="5" t="inlineStr">
        <is>
          <t>of which price (pt)</t>
        </is>
      </c>
      <c r="B11" s="16">
        <f>SUMPRODUCT(B4:B9,$H$4:$H$9)</f>
        <v/>
      </c>
      <c r="C11" s="16">
        <f>SUMPRODUCT(C4:C9,$H$4:$H$9)</f>
        <v/>
      </c>
      <c r="D11" s="16">
        <f>SUMPRODUCT(D4:D9,$H$4:$H$9)</f>
        <v/>
      </c>
      <c r="E11" s="16">
        <f>SUMPRODUCT(E4:E9,$H$4:$H$9)</f>
        <v/>
      </c>
      <c r="F11" s="16">
        <f>SUMPRODUCT(F4:F9,$H$4:$H$9)</f>
        <v/>
      </c>
      <c r="G11" s="16">
        <f>SUMPRODUCT(G4:G9,$H$4:$H$9)</f>
        <v/>
      </c>
    </row>
    <row r="12">
      <c r="A12" s="5" t="inlineStr">
        <is>
          <t>of which volume / other (pt)</t>
        </is>
      </c>
      <c r="B12" s="16">
        <f>B10-B11</f>
        <v/>
      </c>
      <c r="C12" s="16">
        <f>C10-C11</f>
        <v/>
      </c>
      <c r="D12" s="16">
        <f>D10-D11</f>
        <v/>
      </c>
      <c r="E12" s="16">
        <f>E10-E11</f>
        <v/>
      </c>
      <c r="F12" s="16">
        <f>F10-F11</f>
        <v/>
      </c>
      <c r="G12" s="16">
        <f>G10-G11</f>
        <v/>
      </c>
    </row>
    <row r="13">
      <c r="A13" s="8" t="inlineStr">
        <is>
          <t>Price share of segment growth</t>
        </is>
      </c>
      <c r="B13" s="17">
        <f>IF(B10=0,0,B11/B10)</f>
        <v/>
      </c>
      <c r="C13" s="17">
        <f>IF(C10=0,0,C11/C10)</f>
        <v/>
      </c>
      <c r="D13" s="17">
        <f>IF(D10=0,0,D11/D10)</f>
        <v/>
      </c>
      <c r="E13" s="17">
        <f>IF(E10=0,0,E11/E10)</f>
        <v/>
      </c>
      <c r="F13" s="17">
        <f>IF(F10=0,0,F11/F10)</f>
        <v/>
      </c>
      <c r="G13" s="17">
        <f>IF(G10=0,0,G11/G10)</f>
        <v/>
      </c>
    </row>
    <row r="15" ht="45" customHeight="1">
      <c r="A15" s="2" t="inlineStr">
        <is>
          <t>Required growth: with B2B at 4-6% and ~35% of revenue, CARFAX must grow ~9-12% for the group to reach 7.5-10% [C]. History [D]: FY24 +12%, FY25 +10%, Q2-26 +8%. Analogue: Auto Trader UK, where flat retailer count and ~6-8% ARPR growth drive almost all growth (approximate, not verified).</t>
        </is>
      </c>
    </row>
  </sheetData>
  <mergeCells count="1">
    <mergeCell ref="A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5" customWidth="1" min="9" max="9"/>
  </cols>
  <sheetData>
    <row r="1">
      <c r="A1" s="1" t="inlineStr">
        <is>
          <t>B2B: medium-term (2028-30) and long-term (2030+) growth drivers [E]</t>
        </is>
      </c>
    </row>
    <row r="3">
      <c r="A3" s="3" t="inlineStr">
        <is>
          <t>Driver (pt of segment growth p.a.) [E]</t>
        </is>
      </c>
      <c r="B3" s="4" t="inlineStr">
        <is>
          <t>MT low</t>
        </is>
      </c>
      <c r="C3" s="4" t="inlineStr">
        <is>
          <t>MT mid</t>
        </is>
      </c>
      <c r="D3" s="4" t="inlineStr">
        <is>
          <t>MT high</t>
        </is>
      </c>
      <c r="E3" s="4" t="inlineStr">
        <is>
          <t>LT low</t>
        </is>
      </c>
      <c r="F3" s="4" t="inlineStr">
        <is>
          <t>LT mid</t>
        </is>
      </c>
      <c r="G3" s="4" t="inlineStr">
        <is>
          <t>LT high</t>
        </is>
      </c>
      <c r="H3" s="4" t="inlineStr">
        <is>
          <t>Price? (1=yes)</t>
        </is>
      </c>
      <c r="I3" s="4" t="inlineStr">
        <is>
          <t>Basis</t>
        </is>
      </c>
    </row>
    <row r="4">
      <c r="A4" s="5" t="inlineStr">
        <is>
          <t>Price / escalators</t>
        </is>
      </c>
      <c r="B4" s="13" t="n">
        <v>1</v>
      </c>
      <c r="C4" s="13" t="n">
        <v>1.5</v>
      </c>
      <c r="D4" s="13" t="n">
        <v>2</v>
      </c>
      <c r="E4" s="13" t="n">
        <v>1</v>
      </c>
      <c r="F4" s="13" t="n">
        <v>1.5</v>
      </c>
      <c r="G4" s="13" t="n">
        <v>2</v>
      </c>
      <c r="H4" s="14" t="n">
        <v>1</v>
      </c>
      <c r="I4" s="5" t="inlineStr">
        <is>
          <t>Never disclosed; planning competitor is a "low-cost alternative" (LaFeir), so inflation-type pricing assumed</t>
        </is>
      </c>
    </row>
    <row r="5">
      <c r="A5" s="5" t="inlineStr">
        <is>
          <t>New business / penetration</t>
        </is>
      </c>
      <c r="B5" s="13" t="n">
        <v>1.5</v>
      </c>
      <c r="C5" s="13" t="n">
        <v>2</v>
      </c>
      <c r="D5" s="13" t="n">
        <v>3</v>
      </c>
      <c r="E5" s="13" t="n">
        <v>1</v>
      </c>
      <c r="F5" s="13" t="n">
        <v>1.5</v>
      </c>
      <c r="G5" s="13" t="n">
        <v>2</v>
      </c>
      <c r="H5" s="14" t="n">
        <v>0</v>
      </c>
      <c r="I5" s="5" t="inlineStr">
        <is>
          <t>10-Q: B2B growth "primarily due to continued new business growth" [D]; "&lt;50% penetrated" with top-40 OEMs (Eager)</t>
        </is>
      </c>
    </row>
    <row r="6">
      <c r="A6" s="5" t="inlineStr">
        <is>
          <t>automotiveMastermind</t>
        </is>
      </c>
      <c r="B6" s="13" t="n">
        <v>0.5</v>
      </c>
      <c r="C6" s="13" t="n">
        <v>1</v>
      </c>
      <c r="D6" s="13" t="n">
        <v>1.5</v>
      </c>
      <c r="E6" s="13" t="n">
        <v>0.5</v>
      </c>
      <c r="F6" s="13" t="n">
        <v>0.5</v>
      </c>
      <c r="G6" s="13" t="n">
        <v>1</v>
      </c>
      <c r="H6" s="14" t="n">
        <v>0</v>
      </c>
      <c r="I6" s="5" t="inlineStr">
        <is>
          <t>"Growing at double digits" (LaFeir); 3,200 dealers</t>
        </is>
      </c>
    </row>
    <row r="7">
      <c r="A7" s="5" t="inlineStr">
        <is>
          <t>New products (FAST, PIQ, Data Studio)</t>
        </is>
      </c>
      <c r="B7" s="13" t="n">
        <v>0</v>
      </c>
      <c r="C7" s="13" t="n">
        <v>0.5</v>
      </c>
      <c r="D7" s="13" t="n">
        <v>1</v>
      </c>
      <c r="E7" s="13" t="n">
        <v>0.5</v>
      </c>
      <c r="F7" s="13" t="n">
        <v>1</v>
      </c>
      <c r="G7" s="13" t="n">
        <v>2</v>
      </c>
      <c r="H7" s="14" t="n">
        <v>0</v>
      </c>
      <c r="I7" s="5" t="inlineStr">
        <is>
          <t>All "in their early stages" (Eager, GS)</t>
        </is>
      </c>
    </row>
    <row r="8">
      <c r="A8" s="5" t="inlineStr">
        <is>
          <t>International (Chinese OEMs, India)</t>
        </is>
      </c>
      <c r="B8" s="13" t="n">
        <v>0</v>
      </c>
      <c r="C8" s="13" t="n">
        <v>0.5</v>
      </c>
      <c r="D8" s="13" t="n">
        <v>1</v>
      </c>
      <c r="E8" s="13" t="n">
        <v>0.5</v>
      </c>
      <c r="F8" s="13" t="n">
        <v>0.5</v>
      </c>
      <c r="G8" s="13" t="n">
        <v>1</v>
      </c>
      <c r="H8" s="14" t="n">
        <v>0</v>
      </c>
      <c r="I8" s="5" t="inlineStr">
        <is>
          <t>Investor Day strategy</t>
        </is>
      </c>
    </row>
    <row r="9">
      <c r="A9" s="5" t="inlineStr">
        <is>
          <t>Recall / transactional</t>
        </is>
      </c>
      <c r="B9" s="13" t="n">
        <v>-1</v>
      </c>
      <c r="C9" s="13" t="n">
        <v>-0.5</v>
      </c>
      <c r="D9" s="13" t="n">
        <v>0</v>
      </c>
      <c r="E9" s="13" t="n">
        <v>-0.5</v>
      </c>
      <c r="F9" s="13" t="n">
        <v>0</v>
      </c>
      <c r="G9" s="13" t="n">
        <v>0.5</v>
      </c>
      <c r="H9" s="14" t="n">
        <v>0</v>
      </c>
      <c r="I9" s="5" t="inlineStr">
        <is>
          <t>Recall the "one minor exception" to growth (CFO); planning projects cyclical (Q2-26)</t>
        </is>
      </c>
    </row>
    <row r="10">
      <c r="A10" s="8" t="inlineStr">
        <is>
          <t>Segment growth (sum of drivers)</t>
        </is>
      </c>
      <c r="B10" s="15">
        <f>SUM(B4:B9)</f>
        <v/>
      </c>
      <c r="C10" s="15">
        <f>SUM(C4:C9)</f>
        <v/>
      </c>
      <c r="D10" s="15">
        <f>SUM(D4:D9)</f>
        <v/>
      </c>
      <c r="E10" s="15">
        <f>SUM(E4:E9)</f>
        <v/>
      </c>
      <c r="F10" s="15">
        <f>SUM(F4:F9)</f>
        <v/>
      </c>
      <c r="G10" s="15">
        <f>SUM(G4:G9)</f>
        <v/>
      </c>
      <c r="I10" s="5" t="inlineStr">
        <is>
          <t>Low/high totals are extreme cases (every driver at its low/high); use the mid case</t>
        </is>
      </c>
    </row>
    <row r="11">
      <c r="A11" s="5" t="inlineStr">
        <is>
          <t>of which price (pt)</t>
        </is>
      </c>
      <c r="B11" s="16">
        <f>SUMPRODUCT(B4:B9,$H$4:$H$9)</f>
        <v/>
      </c>
      <c r="C11" s="16">
        <f>SUMPRODUCT(C4:C9,$H$4:$H$9)</f>
        <v/>
      </c>
      <c r="D11" s="16">
        <f>SUMPRODUCT(D4:D9,$H$4:$H$9)</f>
        <v/>
      </c>
      <c r="E11" s="16">
        <f>SUMPRODUCT(E4:E9,$H$4:$H$9)</f>
        <v/>
      </c>
      <c r="F11" s="16">
        <f>SUMPRODUCT(F4:F9,$H$4:$H$9)</f>
        <v/>
      </c>
      <c r="G11" s="16">
        <f>SUMPRODUCT(G4:G9,$H$4:$H$9)</f>
        <v/>
      </c>
    </row>
    <row r="12">
      <c r="A12" s="5" t="inlineStr">
        <is>
          <t>of which volume / other (pt)</t>
        </is>
      </c>
      <c r="B12" s="16">
        <f>B10-B11</f>
        <v/>
      </c>
      <c r="C12" s="16">
        <f>C10-C11</f>
        <v/>
      </c>
      <c r="D12" s="16">
        <f>D10-D11</f>
        <v/>
      </c>
      <c r="E12" s="16">
        <f>E10-E11</f>
        <v/>
      </c>
      <c r="F12" s="16">
        <f>F10-F11</f>
        <v/>
      </c>
      <c r="G12" s="16">
        <f>G10-G11</f>
        <v/>
      </c>
    </row>
    <row r="13">
      <c r="A13" s="8" t="inlineStr">
        <is>
          <t>Price share of segment growth</t>
        </is>
      </c>
      <c r="B13" s="17">
        <f>IF(B10=0,0,B11/B10)</f>
        <v/>
      </c>
      <c r="C13" s="17">
        <f>IF(C10=0,0,C11/C10)</f>
        <v/>
      </c>
      <c r="D13" s="17">
        <f>IF(D10=0,0,D11/D10)</f>
        <v/>
      </c>
      <c r="E13" s="17">
        <f>IF(E10=0,0,E11/E10)</f>
        <v/>
      </c>
      <c r="F13" s="17">
        <f>IF(F10=0,0,F11/F10)</f>
        <v/>
      </c>
      <c r="G13" s="17">
        <f>IF(G10=0,0,G11/G10)</f>
        <v/>
      </c>
    </row>
    <row r="15" ht="45" customHeight="1">
      <c r="A15" s="2" t="inlineStr">
        <is>
          <t>History [D]: FY24 +3%, FY25 +6%, Q1-26 +8%, Q2-26 +4% (subscription +6%, transactional -4%). Growth above ~6% would require the "$18bn opportunity" to convert; nothing in the record shows it yet.</t>
        </is>
      </c>
    </row>
  </sheetData>
  <mergeCells count="1">
    <mergeCell ref="A15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60" customWidth="1" min="20" max="20"/>
  </cols>
  <sheetData>
    <row r="1">
      <c r="A1" s="1" t="inlineStr">
        <is>
          <t>Segment revenue, margin and FCF projection, FY2023A-FY2040E ($m) [A = actual, E = estimate]</t>
        </is>
      </c>
    </row>
    <row r="3">
      <c r="A3" s="3" t="inlineStr">
        <is>
          <t>$m</t>
        </is>
      </c>
      <c r="B3" s="4" t="inlineStr">
        <is>
          <t>FY2023A</t>
        </is>
      </c>
      <c r="C3" s="4" t="inlineStr">
        <is>
          <t>FY2024A</t>
        </is>
      </c>
      <c r="D3" s="4" t="inlineStr">
        <is>
          <t>FY2025A</t>
        </is>
      </c>
      <c r="E3" s="4" t="inlineStr">
        <is>
          <t>FY2026E</t>
        </is>
      </c>
      <c r="F3" s="4" t="inlineStr">
        <is>
          <t>FY2027E</t>
        </is>
      </c>
      <c r="G3" s="4" t="inlineStr">
        <is>
          <t>FY2028E</t>
        </is>
      </c>
      <c r="H3" s="4" t="inlineStr">
        <is>
          <t>FY2029E</t>
        </is>
      </c>
      <c r="I3" s="4" t="inlineStr">
        <is>
          <t>FY2030E</t>
        </is>
      </c>
      <c r="J3" s="4" t="inlineStr">
        <is>
          <t>FY2031E</t>
        </is>
      </c>
      <c r="K3" s="4" t="inlineStr">
        <is>
          <t>FY2032E</t>
        </is>
      </c>
      <c r="L3" s="4" t="inlineStr">
        <is>
          <t>FY2033E</t>
        </is>
      </c>
      <c r="M3" s="4" t="inlineStr">
        <is>
          <t>FY2034E</t>
        </is>
      </c>
      <c r="N3" s="4" t="inlineStr">
        <is>
          <t>FY2035E</t>
        </is>
      </c>
      <c r="O3" s="4" t="inlineStr">
        <is>
          <t>FY2036E</t>
        </is>
      </c>
      <c r="P3" s="4" t="inlineStr">
        <is>
          <t>FY2037E</t>
        </is>
      </c>
      <c r="Q3" s="4" t="inlineStr">
        <is>
          <t>FY2038E</t>
        </is>
      </c>
      <c r="R3" s="4" t="inlineStr">
        <is>
          <t>FY2039E</t>
        </is>
      </c>
      <c r="S3" s="4" t="inlineStr">
        <is>
          <t>FY2040E</t>
        </is>
      </c>
      <c r="T3" s="4" t="inlineStr">
        <is>
          <t>Basis</t>
        </is>
      </c>
    </row>
    <row r="4">
      <c r="A4" s="10" t="inlineStr">
        <is>
          <t>Assumptions (blue = change freely)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>
      <c r="A5" s="5" t="inlineStr">
        <is>
          <t>CARFAX organic growth</t>
        </is>
      </c>
      <c r="E5" s="6" t="n">
        <v>0.08500000000000001</v>
      </c>
      <c r="F5" s="6" t="n">
        <v>0.09</v>
      </c>
      <c r="G5" s="6" t="n">
        <v>0.1</v>
      </c>
      <c r="H5" s="6" t="n">
        <v>0.1</v>
      </c>
      <c r="I5" s="6" t="n">
        <v>0.1</v>
      </c>
      <c r="J5" s="6" t="n">
        <v>0.096</v>
      </c>
      <c r="K5" s="6" t="n">
        <v>0.092</v>
      </c>
      <c r="L5" s="6" t="n">
        <v>0.08799999999999999</v>
      </c>
      <c r="M5" s="6" t="n">
        <v>0.08400000000000001</v>
      </c>
      <c r="N5" s="6" t="n">
        <v>0.08</v>
      </c>
      <c r="O5" s="6" t="n">
        <v>0.08</v>
      </c>
      <c r="P5" s="6" t="n">
        <v>0.08</v>
      </c>
      <c r="Q5" s="6" t="n">
        <v>0.08</v>
      </c>
      <c r="R5" s="6" t="n">
        <v>0.08</v>
      </c>
      <c r="S5" s="6" t="n">
        <v>0.08</v>
      </c>
      <c r="T5" s="18" t="inlineStr">
        <is>
          <t>[E] FY26 from guidance mid; 2028-30 = CARFAX Drivers MT mid; fades to LT mid (8%)</t>
        </is>
      </c>
    </row>
    <row r="6">
      <c r="A6" s="5" t="inlineStr">
        <is>
          <t>B2B organic growth</t>
        </is>
      </c>
      <c r="E6" s="6" t="n">
        <v>0.05</v>
      </c>
      <c r="F6" s="6" t="n">
        <v>0.05</v>
      </c>
      <c r="G6" s="6" t="n">
        <v>0.05</v>
      </c>
      <c r="H6" s="6" t="n">
        <v>0.05</v>
      </c>
      <c r="I6" s="6" t="n">
        <v>0.05</v>
      </c>
      <c r="J6" s="6" t="n">
        <v>0.05</v>
      </c>
      <c r="K6" s="6" t="n">
        <v>0.05</v>
      </c>
      <c r="L6" s="6" t="n">
        <v>0.05</v>
      </c>
      <c r="M6" s="6" t="n">
        <v>0.05</v>
      </c>
      <c r="N6" s="6" t="n">
        <v>0.05</v>
      </c>
      <c r="O6" s="6" t="n">
        <v>0.05</v>
      </c>
      <c r="P6" s="6" t="n">
        <v>0.05</v>
      </c>
      <c r="Q6" s="6" t="n">
        <v>0.05</v>
      </c>
      <c r="R6" s="6" t="n">
        <v>0.05</v>
      </c>
      <c r="S6" s="6" t="n">
        <v>0.05</v>
      </c>
      <c r="T6" s="18" t="inlineStr">
        <is>
          <t>[E] B2B Drivers MT/LT mid (~5%)</t>
        </is>
      </c>
    </row>
    <row r="7">
      <c r="A7" s="5" t="inlineStr">
        <is>
          <t>CARFAX price contribution (pt)</t>
        </is>
      </c>
      <c r="E7" s="6" t="n">
        <v>0.06</v>
      </c>
      <c r="F7" s="6" t="n">
        <v>0.05</v>
      </c>
      <c r="G7" s="6" t="n">
        <v>0.05</v>
      </c>
      <c r="H7" s="6" t="n">
        <v>0.05</v>
      </c>
      <c r="I7" s="6" t="n">
        <v>0.05</v>
      </c>
      <c r="J7" s="6" t="n">
        <v>0.045</v>
      </c>
      <c r="K7" s="6" t="n">
        <v>0.045</v>
      </c>
      <c r="L7" s="6" t="n">
        <v>0.045</v>
      </c>
      <c r="M7" s="6" t="n">
        <v>0.045</v>
      </c>
      <c r="N7" s="6" t="n">
        <v>0.045</v>
      </c>
      <c r="O7" s="6" t="n">
        <v>0.045</v>
      </c>
      <c r="P7" s="6" t="n">
        <v>0.045</v>
      </c>
      <c r="Q7" s="6" t="n">
        <v>0.045</v>
      </c>
      <c r="R7" s="6" t="n">
        <v>0.045</v>
      </c>
      <c r="S7" s="6" t="n">
        <v>0.045</v>
      </c>
      <c r="T7" s="18" t="inlineStr">
        <is>
          <t>[E] FY26 ~6% upper bound from 10-Q price $; then CARFAX Drivers price row</t>
        </is>
      </c>
    </row>
    <row r="8">
      <c r="A8" s="5" t="inlineStr">
        <is>
          <t>B2B price contribution (pt)</t>
        </is>
      </c>
      <c r="E8" s="6" t="n">
        <v>0.015</v>
      </c>
      <c r="F8" s="6" t="n">
        <v>0.015</v>
      </c>
      <c r="G8" s="6" t="n">
        <v>0.015</v>
      </c>
      <c r="H8" s="6" t="n">
        <v>0.015</v>
      </c>
      <c r="I8" s="6" t="n">
        <v>0.015</v>
      </c>
      <c r="J8" s="6" t="n">
        <v>0.015</v>
      </c>
      <c r="K8" s="6" t="n">
        <v>0.015</v>
      </c>
      <c r="L8" s="6" t="n">
        <v>0.015</v>
      </c>
      <c r="M8" s="6" t="n">
        <v>0.015</v>
      </c>
      <c r="N8" s="6" t="n">
        <v>0.015</v>
      </c>
      <c r="O8" s="6" t="n">
        <v>0.015</v>
      </c>
      <c r="P8" s="6" t="n">
        <v>0.015</v>
      </c>
      <c r="Q8" s="6" t="n">
        <v>0.015</v>
      </c>
      <c r="R8" s="6" t="n">
        <v>0.015</v>
      </c>
      <c r="S8" s="6" t="n">
        <v>0.015</v>
      </c>
      <c r="T8" s="18" t="inlineStr">
        <is>
          <t>[E] B2B Drivers price row</t>
        </is>
      </c>
    </row>
    <row r="9">
      <c r="A9" s="5" t="inlineStr">
        <is>
          <t>Group Adj. EBITDA margin</t>
        </is>
      </c>
      <c r="E9" s="6" t="n">
        <v>0.401</v>
      </c>
      <c r="F9" s="6" t="n">
        <v>0.395</v>
      </c>
      <c r="G9" s="6" t="n">
        <v>0.4</v>
      </c>
      <c r="H9" s="6" t="n">
        <v>0.405</v>
      </c>
      <c r="I9" s="6" t="n">
        <v>0.41</v>
      </c>
      <c r="J9" s="6" t="n">
        <v>0.416</v>
      </c>
      <c r="K9" s="6" t="n">
        <v>0.422</v>
      </c>
      <c r="L9" s="6" t="n">
        <v>0.428</v>
      </c>
      <c r="M9" s="6" t="n">
        <v>0.434</v>
      </c>
      <c r="N9" s="6" t="n">
        <v>0.44</v>
      </c>
      <c r="O9" s="6" t="n">
        <v>0.444</v>
      </c>
      <c r="P9" s="6" t="n">
        <v>0.448</v>
      </c>
      <c r="Q9" s="6" t="n">
        <v>0.452</v>
      </c>
      <c r="R9" s="6" t="n">
        <v>0.456</v>
      </c>
      <c r="S9" s="6" t="n">
        <v>0.46</v>
      </c>
      <c r="T9" s="18" t="inlineStr">
        <is>
          <t>[IR] FY26 guide mid ~40.1%; FY27 39.5% (FY25 40.6% - 150bp standalone + efficiency); +50bp/yr 2028-30 [IR]; +60bp/yr 2031-35, +40bp/yr 2036-40 [E]</t>
        </is>
      </c>
    </row>
    <row r="10">
      <c r="A10" s="5" t="inlineStr">
        <is>
          <t>SBC % of revenue</t>
        </is>
      </c>
      <c r="E10" s="6" t="n">
        <v>0.019</v>
      </c>
      <c r="F10" s="6" t="n">
        <v>0.03</v>
      </c>
      <c r="G10" s="6" t="n">
        <v>0.035</v>
      </c>
      <c r="H10" s="6" t="n">
        <v>0.035</v>
      </c>
      <c r="I10" s="6" t="n">
        <v>0.035</v>
      </c>
      <c r="J10" s="6" t="n">
        <v>0.035</v>
      </c>
      <c r="K10" s="6" t="n">
        <v>0.035</v>
      </c>
      <c r="L10" s="6" t="n">
        <v>0.035</v>
      </c>
      <c r="M10" s="6" t="n">
        <v>0.035</v>
      </c>
      <c r="N10" s="6" t="n">
        <v>0.035</v>
      </c>
      <c r="O10" s="6" t="n">
        <v>0.035</v>
      </c>
      <c r="P10" s="6" t="n">
        <v>0.035</v>
      </c>
      <c r="Q10" s="6" t="n">
        <v>0.035</v>
      </c>
      <c r="R10" s="6" t="n">
        <v>0.035</v>
      </c>
      <c r="S10" s="6" t="n">
        <v>0.035</v>
      </c>
      <c r="T10" s="18" t="inlineStr">
        <is>
          <t>[IR] ~1% rising to 3-4%; FY26 = H1 actual $9m + H2 ramp [E]</t>
        </is>
      </c>
    </row>
    <row r="11">
      <c r="A11" s="5" t="inlineStr">
        <is>
          <t>Effective tax rate</t>
        </is>
      </c>
      <c r="E11" s="6" t="n">
        <v>0.2925</v>
      </c>
      <c r="F11" s="6" t="n">
        <v>0.28</v>
      </c>
      <c r="G11" s="6" t="n">
        <v>0.27</v>
      </c>
      <c r="H11" s="6" t="n">
        <v>0.26</v>
      </c>
      <c r="I11" s="6" t="n">
        <v>0.26</v>
      </c>
      <c r="J11" s="6" t="n">
        <v>0.26</v>
      </c>
      <c r="K11" s="6" t="n">
        <v>0.26</v>
      </c>
      <c r="L11" s="6" t="n">
        <v>0.26</v>
      </c>
      <c r="M11" s="6" t="n">
        <v>0.26</v>
      </c>
      <c r="N11" s="6" t="n">
        <v>0.26</v>
      </c>
      <c r="O11" s="6" t="n">
        <v>0.26</v>
      </c>
      <c r="P11" s="6" t="n">
        <v>0.26</v>
      </c>
      <c r="Q11" s="6" t="n">
        <v>0.26</v>
      </c>
      <c r="R11" s="6" t="n">
        <v>0.26</v>
      </c>
      <c r="S11" s="6" t="n">
        <v>0.26</v>
      </c>
      <c r="T11" s="18" t="inlineStr">
        <is>
          <t>[IR] FY26 GAAP 28-30.5%; medium-term 25-27% (CFO, Investor Day)</t>
        </is>
      </c>
    </row>
    <row r="12">
      <c r="A12" s="5" t="inlineStr">
        <is>
          <t>Recurring capex % of revenue</t>
        </is>
      </c>
      <c r="E12" s="6" t="n">
        <v>0.014</v>
      </c>
      <c r="F12" s="6" t="n">
        <v>0.014</v>
      </c>
      <c r="G12" s="6" t="n">
        <v>0.014</v>
      </c>
      <c r="H12" s="6" t="n">
        <v>0.014</v>
      </c>
      <c r="I12" s="6" t="n">
        <v>0.014</v>
      </c>
      <c r="J12" s="6" t="n">
        <v>0.014</v>
      </c>
      <c r="K12" s="6" t="n">
        <v>0.014</v>
      </c>
      <c r="L12" s="6" t="n">
        <v>0.014</v>
      </c>
      <c r="M12" s="6" t="n">
        <v>0.014</v>
      </c>
      <c r="N12" s="6" t="n">
        <v>0.014</v>
      </c>
      <c r="O12" s="6" t="n">
        <v>0.014</v>
      </c>
      <c r="P12" s="6" t="n">
        <v>0.014</v>
      </c>
      <c r="Q12" s="6" t="n">
        <v>0.014</v>
      </c>
      <c r="R12" s="6" t="n">
        <v>0.014</v>
      </c>
      <c r="S12" s="6" t="n">
        <v>0.014</v>
      </c>
      <c r="T12" s="18" t="inlineStr">
        <is>
          <t>[D] FY23-25 0.9-1.4%; "relatively low" [IR]</t>
        </is>
      </c>
    </row>
    <row r="13">
      <c r="A13" s="5" t="inlineStr">
        <is>
          <t>Tax-deductible depreciation % of revenue</t>
        </is>
      </c>
      <c r="E13" s="6" t="n">
        <v>0.008</v>
      </c>
      <c r="F13" s="6" t="n">
        <v>0.008</v>
      </c>
      <c r="G13" s="6" t="n">
        <v>0.008</v>
      </c>
      <c r="H13" s="6" t="n">
        <v>0.008</v>
      </c>
      <c r="I13" s="6" t="n">
        <v>0.008</v>
      </c>
      <c r="J13" s="6" t="n">
        <v>0.008</v>
      </c>
      <c r="K13" s="6" t="n">
        <v>0.008</v>
      </c>
      <c r="L13" s="6" t="n">
        <v>0.008</v>
      </c>
      <c r="M13" s="6" t="n">
        <v>0.008</v>
      </c>
      <c r="N13" s="6" t="n">
        <v>0.008</v>
      </c>
      <c r="O13" s="6" t="n">
        <v>0.008</v>
      </c>
      <c r="P13" s="6" t="n">
        <v>0.008</v>
      </c>
      <c r="Q13" s="6" t="n">
        <v>0.008</v>
      </c>
      <c r="R13" s="6" t="n">
        <v>0.008</v>
      </c>
      <c r="S13" s="6" t="n">
        <v>0.008</v>
      </c>
      <c r="T13" s="18" t="inlineStr">
        <is>
          <t>[D] FY25 depreciation $14m</t>
        </is>
      </c>
    </row>
    <row r="14">
      <c r="A14" s="5" t="inlineStr">
        <is>
          <t>Working capital inflow % of revenue increase</t>
        </is>
      </c>
      <c r="E14" s="6" t="n">
        <v>0.1</v>
      </c>
      <c r="F14" s="6" t="n">
        <v>0.1</v>
      </c>
      <c r="G14" s="6" t="n">
        <v>0.1</v>
      </c>
      <c r="H14" s="6" t="n">
        <v>0.1</v>
      </c>
      <c r="I14" s="6" t="n">
        <v>0.1</v>
      </c>
      <c r="J14" s="6" t="n">
        <v>0.1</v>
      </c>
      <c r="K14" s="6" t="n">
        <v>0.1</v>
      </c>
      <c r="L14" s="6" t="n">
        <v>0.1</v>
      </c>
      <c r="M14" s="6" t="n">
        <v>0.1</v>
      </c>
      <c r="N14" s="6" t="n">
        <v>0.1</v>
      </c>
      <c r="O14" s="6" t="n">
        <v>0.1</v>
      </c>
      <c r="P14" s="6" t="n">
        <v>0.1</v>
      </c>
      <c r="Q14" s="6" t="n">
        <v>0.1</v>
      </c>
      <c r="R14" s="6" t="n">
        <v>0.1</v>
      </c>
      <c r="S14" s="6" t="n">
        <v>0.1</v>
      </c>
      <c r="T14" s="18" t="inlineStr">
        <is>
          <t>[C] deferred-revenue inflow; FY25 ~$23m on +$137m revenue</t>
        </is>
      </c>
    </row>
    <row r="15">
      <c r="A15" s="5" t="inlineStr">
        <is>
          <t>Gross leverage (Debt / Adj. EBITDA)</t>
        </is>
      </c>
      <c r="G15" s="19" t="n">
        <v>2.5</v>
      </c>
      <c r="H15" s="19" t="n">
        <v>2.5</v>
      </c>
      <c r="I15" s="19" t="n">
        <v>2.5</v>
      </c>
      <c r="J15" s="19" t="n">
        <v>2.5</v>
      </c>
      <c r="K15" s="19" t="n">
        <v>2.5</v>
      </c>
      <c r="L15" s="19" t="n">
        <v>2.5</v>
      </c>
      <c r="M15" s="19" t="n">
        <v>2.5</v>
      </c>
      <c r="N15" s="19" t="n">
        <v>2.5</v>
      </c>
      <c r="O15" s="19" t="n">
        <v>2.5</v>
      </c>
      <c r="P15" s="19" t="n">
        <v>2.5</v>
      </c>
      <c r="Q15" s="19" t="n">
        <v>2.5</v>
      </c>
      <c r="R15" s="19" t="n">
        <v>2.5</v>
      </c>
      <c r="S15" s="19" t="n">
        <v>2.5</v>
      </c>
      <c r="T15" s="18" t="inlineStr">
        <is>
          <t>[IR] target ~2.5x gross; FY26-27 = $2.0bn bonds (non-prepayable)</t>
        </is>
      </c>
    </row>
    <row r="16">
      <c r="A16" s="5" t="inlineStr">
        <is>
          <t>Cash interest rate on debt</t>
        </is>
      </c>
      <c r="G16" s="6" t="n">
        <v>0.056</v>
      </c>
      <c r="H16" s="6" t="n">
        <v>0.056</v>
      </c>
      <c r="I16" s="6" t="n">
        <v>0.056</v>
      </c>
      <c r="J16" s="6" t="n">
        <v>0.056</v>
      </c>
      <c r="K16" s="6" t="n">
        <v>0.056</v>
      </c>
      <c r="L16" s="6" t="n">
        <v>0.056</v>
      </c>
      <c r="M16" s="6" t="n">
        <v>0.056</v>
      </c>
      <c r="N16" s="6" t="n">
        <v>0.056</v>
      </c>
      <c r="O16" s="6" t="n">
        <v>0.056</v>
      </c>
      <c r="P16" s="6" t="n">
        <v>0.056</v>
      </c>
      <c r="Q16" s="6" t="n">
        <v>0.056</v>
      </c>
      <c r="R16" s="6" t="n">
        <v>0.056</v>
      </c>
      <c r="S16" s="6" t="n">
        <v>0.056</v>
      </c>
      <c r="T16" s="18" t="inlineStr">
        <is>
          <t>[D] 5.74% weighted incl. fee amortization; ~5.6% cash coupon [E]</t>
        </is>
      </c>
    </row>
    <row r="17">
      <c r="A17" s="5" t="inlineStr">
        <is>
          <t>Non-deductible deal amortization</t>
        </is>
      </c>
      <c r="E17" s="12" t="n">
        <v>296</v>
      </c>
      <c r="F17" s="12" t="n">
        <v>296</v>
      </c>
      <c r="G17" s="12" t="n">
        <v>296</v>
      </c>
      <c r="H17" s="12" t="n">
        <v>296</v>
      </c>
      <c r="I17" s="12" t="n">
        <v>296</v>
      </c>
      <c r="J17" s="12" t="n">
        <v>296</v>
      </c>
      <c r="K17" s="12" t="n">
        <v>296</v>
      </c>
      <c r="L17" s="12" t="n">
        <v>296</v>
      </c>
      <c r="M17" s="12" t="n">
        <v>296</v>
      </c>
      <c r="N17" s="12" t="n">
        <v>296</v>
      </c>
      <c r="O17" s="12" t="n">
        <v>296</v>
      </c>
      <c r="P17" s="12" t="n">
        <v>296</v>
      </c>
      <c r="Q17" s="12" t="n">
        <v>0</v>
      </c>
      <c r="R17" s="12" t="n">
        <v>0</v>
      </c>
      <c r="S17" s="12" t="n">
        <v>0</v>
      </c>
      <c r="T17" s="18" t="inlineStr">
        <is>
          <t>[D] FY25 amortization of intangibles $296m; ~12 years from 2026 [IR]</t>
        </is>
      </c>
    </row>
    <row r="18">
      <c r="A18" s="5" t="inlineStr">
        <is>
          <t>Cash tax above book provision</t>
        </is>
      </c>
      <c r="E18" s="12" t="n">
        <v>89</v>
      </c>
      <c r="F18" s="12" t="n">
        <v>89</v>
      </c>
      <c r="G18" s="12" t="n">
        <v>89</v>
      </c>
      <c r="H18" s="12" t="n">
        <v>89</v>
      </c>
      <c r="I18" s="12" t="n">
        <v>89</v>
      </c>
      <c r="J18" s="12" t="n">
        <v>89</v>
      </c>
      <c r="K18" s="12" t="n">
        <v>89</v>
      </c>
      <c r="L18" s="12" t="n">
        <v>89</v>
      </c>
      <c r="M18" s="12" t="n">
        <v>89</v>
      </c>
      <c r="N18" s="12" t="n">
        <v>89</v>
      </c>
      <c r="O18" s="12" t="n">
        <v>89</v>
      </c>
      <c r="P18" s="12" t="n">
        <v>89</v>
      </c>
      <c r="Q18" s="12" t="n">
        <v>0</v>
      </c>
      <c r="R18" s="12" t="n">
        <v>0</v>
      </c>
      <c r="S18" s="12" t="n">
        <v>0</v>
      </c>
      <c r="T18" s="18" t="inlineStr">
        <is>
          <t>[IR] "for the next 12 years, cash taxes will be approximately $89 million higher than our tax provision"</t>
        </is>
      </c>
    </row>
    <row r="20">
      <c r="A20" s="10" t="inlineStr">
        <is>
          <t>Segment revenue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5" t="inlineStr">
        <is>
          <t>CARFAX revenue</t>
        </is>
      </c>
      <c r="B21" s="12" t="n">
        <v>928</v>
      </c>
      <c r="C21" s="12" t="n">
        <v>1039</v>
      </c>
      <c r="D21" s="12" t="n">
        <v>1142</v>
      </c>
      <c r="E21" s="20">
        <f>D21*(1+E5)</f>
        <v/>
      </c>
      <c r="F21" s="20">
        <f>E21*(1+F5)</f>
        <v/>
      </c>
      <c r="G21" s="20">
        <f>F21*(1+G5)</f>
        <v/>
      </c>
      <c r="H21" s="20">
        <f>G21*(1+H5)</f>
        <v/>
      </c>
      <c r="I21" s="20">
        <f>H21*(1+I5)</f>
        <v/>
      </c>
      <c r="J21" s="20">
        <f>I21*(1+J5)</f>
        <v/>
      </c>
      <c r="K21" s="20">
        <f>J21*(1+K5)</f>
        <v/>
      </c>
      <c r="L21" s="20">
        <f>K21*(1+L5)</f>
        <v/>
      </c>
      <c r="M21" s="20">
        <f>L21*(1+M5)</f>
        <v/>
      </c>
      <c r="N21" s="20">
        <f>M21*(1+N5)</f>
        <v/>
      </c>
      <c r="O21" s="20">
        <f>N21*(1+O5)</f>
        <v/>
      </c>
      <c r="P21" s="20">
        <f>O21*(1+P5)</f>
        <v/>
      </c>
      <c r="Q21" s="20">
        <f>P21*(1+Q5)</f>
        <v/>
      </c>
      <c r="R21" s="20">
        <f>Q21*(1+R5)</f>
        <v/>
      </c>
      <c r="S21" s="20">
        <f>R21*(1+S5)</f>
        <v/>
      </c>
      <c r="T21" s="18" t="inlineStr">
        <is>
          <t>[D] Form 10/A FY23-25</t>
        </is>
      </c>
    </row>
    <row r="22">
      <c r="A22" s="5" t="inlineStr">
        <is>
          <t>B2B revenue</t>
        </is>
      </c>
      <c r="B22" s="12" t="n">
        <v>557</v>
      </c>
      <c r="C22" s="12" t="n">
        <v>574</v>
      </c>
      <c r="D22" s="12" t="n">
        <v>608</v>
      </c>
      <c r="E22" s="20">
        <f>D22*(1+E6)</f>
        <v/>
      </c>
      <c r="F22" s="20">
        <f>E22*(1+F6)</f>
        <v/>
      </c>
      <c r="G22" s="20">
        <f>F22*(1+G6)</f>
        <v/>
      </c>
      <c r="H22" s="20">
        <f>G22*(1+H6)</f>
        <v/>
      </c>
      <c r="I22" s="20">
        <f>H22*(1+I6)</f>
        <v/>
      </c>
      <c r="J22" s="20">
        <f>I22*(1+J6)</f>
        <v/>
      </c>
      <c r="K22" s="20">
        <f>J22*(1+K6)</f>
        <v/>
      </c>
      <c r="L22" s="20">
        <f>K22*(1+L6)</f>
        <v/>
      </c>
      <c r="M22" s="20">
        <f>L22*(1+M6)</f>
        <v/>
      </c>
      <c r="N22" s="20">
        <f>M22*(1+N6)</f>
        <v/>
      </c>
      <c r="O22" s="20">
        <f>N22*(1+O6)</f>
        <v/>
      </c>
      <c r="P22" s="20">
        <f>O22*(1+P6)</f>
        <v/>
      </c>
      <c r="Q22" s="20">
        <f>P22*(1+Q6)</f>
        <v/>
      </c>
      <c r="R22" s="20">
        <f>Q22*(1+R6)</f>
        <v/>
      </c>
      <c r="S22" s="20">
        <f>R22*(1+S6)</f>
        <v/>
      </c>
      <c r="T22" s="18" t="inlineStr">
        <is>
          <t>[D] Form 10/A FY23-25</t>
        </is>
      </c>
    </row>
    <row r="23">
      <c r="A23" s="8" t="inlineStr">
        <is>
          <t>Group revenue</t>
        </is>
      </c>
      <c r="B23" s="21">
        <f>B21+B22</f>
        <v/>
      </c>
      <c r="C23" s="21">
        <f>C21+C22</f>
        <v/>
      </c>
      <c r="D23" s="21">
        <f>D21+D22</f>
        <v/>
      </c>
      <c r="E23" s="21">
        <f>E21+E22</f>
        <v/>
      </c>
      <c r="F23" s="21">
        <f>F21+F22</f>
        <v/>
      </c>
      <c r="G23" s="21">
        <f>G21+G22</f>
        <v/>
      </c>
      <c r="H23" s="21">
        <f>H21+H22</f>
        <v/>
      </c>
      <c r="I23" s="21">
        <f>I21+I22</f>
        <v/>
      </c>
      <c r="J23" s="21">
        <f>J21+J22</f>
        <v/>
      </c>
      <c r="K23" s="21">
        <f>K21+K22</f>
        <v/>
      </c>
      <c r="L23" s="21">
        <f>L21+L22</f>
        <v/>
      </c>
      <c r="M23" s="21">
        <f>M21+M22</f>
        <v/>
      </c>
      <c r="N23" s="21">
        <f>N21+N22</f>
        <v/>
      </c>
      <c r="O23" s="21">
        <f>O21+O22</f>
        <v/>
      </c>
      <c r="P23" s="21">
        <f>P21+P22</f>
        <v/>
      </c>
      <c r="Q23" s="21">
        <f>Q21+Q22</f>
        <v/>
      </c>
      <c r="R23" s="21">
        <f>R21+R22</f>
        <v/>
      </c>
      <c r="S23" s="21">
        <f>S21+S22</f>
        <v/>
      </c>
      <c r="T23" s="18" t="inlineStr">
        <is>
          <t>[C]</t>
        </is>
      </c>
    </row>
    <row r="24">
      <c r="A24" s="5" t="inlineStr">
        <is>
          <t>Group revenue growth</t>
        </is>
      </c>
      <c r="C24" s="7">
        <f>C23/B23-1</f>
        <v/>
      </c>
      <c r="D24" s="7">
        <f>D23/C23-1</f>
        <v/>
      </c>
      <c r="E24" s="7">
        <f>E23/D23-1</f>
        <v/>
      </c>
      <c r="F24" s="7">
        <f>F23/E23-1</f>
        <v/>
      </c>
      <c r="G24" s="7">
        <f>G23/F23-1</f>
        <v/>
      </c>
      <c r="H24" s="7">
        <f>H23/G23-1</f>
        <v/>
      </c>
      <c r="I24" s="7">
        <f>I23/H23-1</f>
        <v/>
      </c>
      <c r="J24" s="7">
        <f>J23/I23-1</f>
        <v/>
      </c>
      <c r="K24" s="7">
        <f>K23/J23-1</f>
        <v/>
      </c>
      <c r="L24" s="7">
        <f>L23/K23-1</f>
        <v/>
      </c>
      <c r="M24" s="7">
        <f>M23/L23-1</f>
        <v/>
      </c>
      <c r="N24" s="7">
        <f>N23/M23-1</f>
        <v/>
      </c>
      <c r="O24" s="7">
        <f>O23/N23-1</f>
        <v/>
      </c>
      <c r="P24" s="7">
        <f>P23/O23-1</f>
        <v/>
      </c>
      <c r="Q24" s="7">
        <f>Q23/P23-1</f>
        <v/>
      </c>
      <c r="R24" s="7">
        <f>R23/Q23-1</f>
        <v/>
      </c>
      <c r="S24" s="7">
        <f>S23/R23-1</f>
        <v/>
      </c>
      <c r="T24" s="18" t="inlineStr">
        <is>
          <t>[C]</t>
        </is>
      </c>
    </row>
    <row r="25">
      <c r="A25" s="5" t="inlineStr">
        <is>
          <t>CARFAX growth (actual / assumed)</t>
        </is>
      </c>
      <c r="C25" s="7">
        <f>C21/B21-1</f>
        <v/>
      </c>
      <c r="D25" s="7">
        <f>D21/C21-1</f>
        <v/>
      </c>
      <c r="E25" s="7">
        <f>E21/D21-1</f>
        <v/>
      </c>
      <c r="F25" s="7">
        <f>F21/E21-1</f>
        <v/>
      </c>
      <c r="G25" s="7">
        <f>G21/F21-1</f>
        <v/>
      </c>
      <c r="H25" s="7">
        <f>H21/G21-1</f>
        <v/>
      </c>
      <c r="I25" s="7">
        <f>I21/H21-1</f>
        <v/>
      </c>
      <c r="J25" s="7">
        <f>J21/I21-1</f>
        <v/>
      </c>
      <c r="K25" s="7">
        <f>K21/J21-1</f>
        <v/>
      </c>
      <c r="L25" s="7">
        <f>L21/K21-1</f>
        <v/>
      </c>
      <c r="M25" s="7">
        <f>M21/L21-1</f>
        <v/>
      </c>
      <c r="N25" s="7">
        <f>N21/M21-1</f>
        <v/>
      </c>
      <c r="O25" s="7">
        <f>O21/N21-1</f>
        <v/>
      </c>
      <c r="P25" s="7">
        <f>P21/O21-1</f>
        <v/>
      </c>
      <c r="Q25" s="7">
        <f>Q21/P21-1</f>
        <v/>
      </c>
      <c r="R25" s="7">
        <f>R21/Q21-1</f>
        <v/>
      </c>
      <c r="S25" s="7">
        <f>S21/R21-1</f>
        <v/>
      </c>
      <c r="T25" s="18" t="inlineStr">
        <is>
          <t>[C]</t>
        </is>
      </c>
    </row>
    <row r="26">
      <c r="A26" s="5" t="inlineStr">
        <is>
          <t>B2B growth (actual / assumed)</t>
        </is>
      </c>
      <c r="C26" s="7">
        <f>C22/B22-1</f>
        <v/>
      </c>
      <c r="D26" s="7">
        <f>D22/C22-1</f>
        <v/>
      </c>
      <c r="E26" s="7">
        <f>E22/D22-1</f>
        <v/>
      </c>
      <c r="F26" s="7">
        <f>F22/E22-1</f>
        <v/>
      </c>
      <c r="G26" s="7">
        <f>G22/F22-1</f>
        <v/>
      </c>
      <c r="H26" s="7">
        <f>H22/G22-1</f>
        <v/>
      </c>
      <c r="I26" s="7">
        <f>I22/H22-1</f>
        <v/>
      </c>
      <c r="J26" s="7">
        <f>J22/I22-1</f>
        <v/>
      </c>
      <c r="K26" s="7">
        <f>K22/J22-1</f>
        <v/>
      </c>
      <c r="L26" s="7">
        <f>L22/K22-1</f>
        <v/>
      </c>
      <c r="M26" s="7">
        <f>M22/L22-1</f>
        <v/>
      </c>
      <c r="N26" s="7">
        <f>N22/M22-1</f>
        <v/>
      </c>
      <c r="O26" s="7">
        <f>O22/N22-1</f>
        <v/>
      </c>
      <c r="P26" s="7">
        <f>P22/O22-1</f>
        <v/>
      </c>
      <c r="Q26" s="7">
        <f>Q22/P22-1</f>
        <v/>
      </c>
      <c r="R26" s="7">
        <f>R22/Q22-1</f>
        <v/>
      </c>
      <c r="S26" s="7">
        <f>S22/R22-1</f>
        <v/>
      </c>
      <c r="T26" s="18" t="inlineStr">
        <is>
          <t>[C]</t>
        </is>
      </c>
    </row>
    <row r="27">
      <c r="A27" s="5" t="inlineStr">
        <is>
          <t>CARFAX share of revenue</t>
        </is>
      </c>
      <c r="B27" s="7">
        <f>B21/B23</f>
        <v/>
      </c>
      <c r="C27" s="7">
        <f>C21/C23</f>
        <v/>
      </c>
      <c r="D27" s="7">
        <f>D21/D23</f>
        <v/>
      </c>
      <c r="E27" s="7">
        <f>E21/E23</f>
        <v/>
      </c>
      <c r="F27" s="7">
        <f>F21/F23</f>
        <v/>
      </c>
      <c r="G27" s="7">
        <f>G21/G23</f>
        <v/>
      </c>
      <c r="H27" s="7">
        <f>H21/H23</f>
        <v/>
      </c>
      <c r="I27" s="7">
        <f>I21/I23</f>
        <v/>
      </c>
      <c r="J27" s="7">
        <f>J21/J23</f>
        <v/>
      </c>
      <c r="K27" s="7">
        <f>K21/K23</f>
        <v/>
      </c>
      <c r="L27" s="7">
        <f>L21/L23</f>
        <v/>
      </c>
      <c r="M27" s="7">
        <f>M21/M23</f>
        <v/>
      </c>
      <c r="N27" s="7">
        <f>N21/N23</f>
        <v/>
      </c>
      <c r="O27" s="7">
        <f>O21/O23</f>
        <v/>
      </c>
      <c r="P27" s="7">
        <f>P21/P23</f>
        <v/>
      </c>
      <c r="Q27" s="7">
        <f>Q21/Q23</f>
        <v/>
      </c>
      <c r="R27" s="7">
        <f>R21/R23</f>
        <v/>
      </c>
      <c r="S27" s="7">
        <f>S21/S23</f>
        <v/>
      </c>
      <c r="T27" s="18" t="inlineStr">
        <is>
          <t>[C]</t>
        </is>
      </c>
    </row>
    <row r="28">
      <c r="A28" s="5" t="inlineStr">
        <is>
          <t>B2B share of revenue</t>
        </is>
      </c>
      <c r="B28" s="7">
        <f>B22/B23</f>
        <v/>
      </c>
      <c r="C28" s="7">
        <f>C22/C23</f>
        <v/>
      </c>
      <c r="D28" s="7">
        <f>D22/D23</f>
        <v/>
      </c>
      <c r="E28" s="7">
        <f>E22/E23</f>
        <v/>
      </c>
      <c r="F28" s="7">
        <f>F22/F23</f>
        <v/>
      </c>
      <c r="G28" s="7">
        <f>G22/G23</f>
        <v/>
      </c>
      <c r="H28" s="7">
        <f>H22/H23</f>
        <v/>
      </c>
      <c r="I28" s="7">
        <f>I22/I23</f>
        <v/>
      </c>
      <c r="J28" s="7">
        <f>J22/J23</f>
        <v/>
      </c>
      <c r="K28" s="7">
        <f>K22/K23</f>
        <v/>
      </c>
      <c r="L28" s="7">
        <f>L22/L23</f>
        <v/>
      </c>
      <c r="M28" s="7">
        <f>M22/M23</f>
        <v/>
      </c>
      <c r="N28" s="7">
        <f>N22/N23</f>
        <v/>
      </c>
      <c r="O28" s="7">
        <f>O22/O23</f>
        <v/>
      </c>
      <c r="P28" s="7">
        <f>P22/P23</f>
        <v/>
      </c>
      <c r="Q28" s="7">
        <f>Q22/Q23</f>
        <v/>
      </c>
      <c r="R28" s="7">
        <f>R22/R23</f>
        <v/>
      </c>
      <c r="S28" s="7">
        <f>S22/S23</f>
        <v/>
      </c>
      <c r="T28" s="18" t="inlineStr">
        <is>
          <t>[C]</t>
        </is>
      </c>
    </row>
    <row r="29">
      <c r="A29" s="5" t="inlineStr">
        <is>
          <t>Group growth from price (pt)</t>
        </is>
      </c>
      <c r="E29" s="7">
        <f>E7*D21/D23+E8*D22/D23</f>
        <v/>
      </c>
      <c r="F29" s="7">
        <f>F7*E21/E23+F8*E22/E23</f>
        <v/>
      </c>
      <c r="G29" s="7">
        <f>G7*F21/F23+G8*F22/F23</f>
        <v/>
      </c>
      <c r="H29" s="7">
        <f>H7*G21/G23+H8*G22/G23</f>
        <v/>
      </c>
      <c r="I29" s="7">
        <f>I7*H21/H23+I8*H22/H23</f>
        <v/>
      </c>
      <c r="J29" s="7">
        <f>J7*I21/I23+J8*I22/I23</f>
        <v/>
      </c>
      <c r="K29" s="7">
        <f>K7*J21/J23+K8*J22/J23</f>
        <v/>
      </c>
      <c r="L29" s="7">
        <f>L7*K21/K23+L8*K22/K23</f>
        <v/>
      </c>
      <c r="M29" s="7">
        <f>M7*L21/L23+M8*L22/L23</f>
        <v/>
      </c>
      <c r="N29" s="7">
        <f>N7*M21/M23+N8*M22/M23</f>
        <v/>
      </c>
      <c r="O29" s="7">
        <f>O7*N21/N23+O8*N22/N23</f>
        <v/>
      </c>
      <c r="P29" s="7">
        <f>P7*O21/O23+P8*O22/O23</f>
        <v/>
      </c>
      <c r="Q29" s="7">
        <f>Q7*P21/P23+Q8*P22/P23</f>
        <v/>
      </c>
      <c r="R29" s="7">
        <f>R7*Q21/Q23+R8*Q22/Q23</f>
        <v/>
      </c>
      <c r="S29" s="7">
        <f>S7*R21/R23+S8*R22/R23</f>
        <v/>
      </c>
      <c r="T29" s="18" t="inlineStr">
        <is>
          <t>[C] segment price pt weighted by prior-year mix</t>
        </is>
      </c>
    </row>
    <row r="30">
      <c r="A30" s="5" t="inlineStr">
        <is>
          <t>Group growth from volume / other (pt)</t>
        </is>
      </c>
      <c r="E30" s="7">
        <f>E24-E29</f>
        <v/>
      </c>
      <c r="F30" s="7">
        <f>F24-F29</f>
        <v/>
      </c>
      <c r="G30" s="7">
        <f>G24-G29</f>
        <v/>
      </c>
      <c r="H30" s="7">
        <f>H24-H29</f>
        <v/>
      </c>
      <c r="I30" s="7">
        <f>I24-I29</f>
        <v/>
      </c>
      <c r="J30" s="7">
        <f>J24-J29</f>
        <v/>
      </c>
      <c r="K30" s="7">
        <f>K24-K29</f>
        <v/>
      </c>
      <c r="L30" s="7">
        <f>L24-L29</f>
        <v/>
      </c>
      <c r="M30" s="7">
        <f>M24-M29</f>
        <v/>
      </c>
      <c r="N30" s="7">
        <f>N24-N29</f>
        <v/>
      </c>
      <c r="O30" s="7">
        <f>O24-O29</f>
        <v/>
      </c>
      <c r="P30" s="7">
        <f>P24-P29</f>
        <v/>
      </c>
      <c r="Q30" s="7">
        <f>Q24-Q29</f>
        <v/>
      </c>
      <c r="R30" s="7">
        <f>R24-R29</f>
        <v/>
      </c>
      <c r="S30" s="7">
        <f>S24-S29</f>
        <v/>
      </c>
      <c r="T30" s="18" t="inlineStr">
        <is>
          <t>[C]</t>
        </is>
      </c>
    </row>
    <row r="31">
      <c r="A31" s="5" t="inlineStr">
        <is>
          <t>Price share of group growth</t>
        </is>
      </c>
      <c r="E31" s="7">
        <f>E29/E24</f>
        <v/>
      </c>
      <c r="F31" s="7">
        <f>F29/F24</f>
        <v/>
      </c>
      <c r="G31" s="7">
        <f>G29/G24</f>
        <v/>
      </c>
      <c r="H31" s="7">
        <f>H29/H24</f>
        <v/>
      </c>
      <c r="I31" s="7">
        <f>I29/I24</f>
        <v/>
      </c>
      <c r="J31" s="7">
        <f>J29/J24</f>
        <v/>
      </c>
      <c r="K31" s="7">
        <f>K29/K24</f>
        <v/>
      </c>
      <c r="L31" s="7">
        <f>L29/L24</f>
        <v/>
      </c>
      <c r="M31" s="7">
        <f>M29/M24</f>
        <v/>
      </c>
      <c r="N31" s="7">
        <f>N29/N24</f>
        <v/>
      </c>
      <c r="O31" s="7">
        <f>O29/O24</f>
        <v/>
      </c>
      <c r="P31" s="7">
        <f>P29/P24</f>
        <v/>
      </c>
      <c r="Q31" s="7">
        <f>Q29/Q24</f>
        <v/>
      </c>
      <c r="R31" s="7">
        <f>R29/R24</f>
        <v/>
      </c>
      <c r="S31" s="7">
        <f>S29/S24</f>
        <v/>
      </c>
      <c r="T31" s="18" t="inlineStr">
        <is>
          <t>[C] H1-26 actual ~56% [D/C]</t>
        </is>
      </c>
    </row>
    <row r="33">
      <c r="A33" s="10" t="inlineStr">
        <is>
          <t>Margins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</row>
    <row r="34">
      <c r="A34" s="8" t="inlineStr">
        <is>
          <t>Adj. EBITDA</t>
        </is>
      </c>
      <c r="B34" s="22" t="n">
        <v>598</v>
      </c>
      <c r="C34" s="22" t="n">
        <v>658</v>
      </c>
      <c r="D34" s="22" t="n">
        <v>711</v>
      </c>
      <c r="E34" s="21">
        <f>E23*E9</f>
        <v/>
      </c>
      <c r="F34" s="21">
        <f>F23*F9</f>
        <v/>
      </c>
      <c r="G34" s="21">
        <f>G23*G9</f>
        <v/>
      </c>
      <c r="H34" s="21">
        <f>H23*H9</f>
        <v/>
      </c>
      <c r="I34" s="21">
        <f>I23*I9</f>
        <v/>
      </c>
      <c r="J34" s="21">
        <f>J23*J9</f>
        <v/>
      </c>
      <c r="K34" s="21">
        <f>K23*K9</f>
        <v/>
      </c>
      <c r="L34" s="21">
        <f>L23*L9</f>
        <v/>
      </c>
      <c r="M34" s="21">
        <f>M23*M9</f>
        <v/>
      </c>
      <c r="N34" s="21">
        <f>N23*N9</f>
        <v/>
      </c>
      <c r="O34" s="21">
        <f>O23*O9</f>
        <v/>
      </c>
      <c r="P34" s="21">
        <f>P23*P9</f>
        <v/>
      </c>
      <c r="Q34" s="21">
        <f>Q23*Q9</f>
        <v/>
      </c>
      <c r="R34" s="21">
        <f>R23*R9</f>
        <v/>
      </c>
      <c r="S34" s="21">
        <f>S23*S9</f>
        <v/>
      </c>
      <c r="T34" s="18" t="inlineStr">
        <is>
          <t>[D] FY23-25; FY26 guide mid $752.5m</t>
        </is>
      </c>
    </row>
    <row r="35">
      <c r="A35" s="5" t="inlineStr">
        <is>
          <t>Adj. EBITDA margin</t>
        </is>
      </c>
      <c r="B35" s="7">
        <f>B34/B23</f>
        <v/>
      </c>
      <c r="C35" s="7">
        <f>C34/C23</f>
        <v/>
      </c>
      <c r="D35" s="7">
        <f>D34/D23</f>
        <v/>
      </c>
      <c r="E35" s="7">
        <f>E34/E23</f>
        <v/>
      </c>
      <c r="F35" s="7">
        <f>F34/F23</f>
        <v/>
      </c>
      <c r="G35" s="7">
        <f>G34/G23</f>
        <v/>
      </c>
      <c r="H35" s="7">
        <f>H34/H23</f>
        <v/>
      </c>
      <c r="I35" s="7">
        <f>I34/I23</f>
        <v/>
      </c>
      <c r="J35" s="7">
        <f>J34/J23</f>
        <v/>
      </c>
      <c r="K35" s="7">
        <f>K34/K23</f>
        <v/>
      </c>
      <c r="L35" s="7">
        <f>L34/L23</f>
        <v/>
      </c>
      <c r="M35" s="7">
        <f>M34/M23</f>
        <v/>
      </c>
      <c r="N35" s="7">
        <f>N34/N23</f>
        <v/>
      </c>
      <c r="O35" s="7">
        <f>O34/O23</f>
        <v/>
      </c>
      <c r="P35" s="7">
        <f>P34/P23</f>
        <v/>
      </c>
      <c r="Q35" s="7">
        <f>Q34/Q23</f>
        <v/>
      </c>
      <c r="R35" s="7">
        <f>R34/R23</f>
        <v/>
      </c>
      <c r="S35" s="7">
        <f>S34/S23</f>
        <v/>
      </c>
      <c r="T35" s="18" t="inlineStr">
        <is>
          <t>[C]</t>
        </is>
      </c>
    </row>
    <row r="36">
      <c r="A36" s="5" t="inlineStr">
        <is>
          <t>Stock-based compensation</t>
        </is>
      </c>
      <c r="B36" s="12" t="n">
        <v>20</v>
      </c>
      <c r="C36" s="12" t="n">
        <v>28</v>
      </c>
      <c r="D36" s="12" t="n">
        <v>22</v>
      </c>
      <c r="E36" s="20">
        <f>E23*E10</f>
        <v/>
      </c>
      <c r="F36" s="20">
        <f>F23*F10</f>
        <v/>
      </c>
      <c r="G36" s="20">
        <f>G23*G10</f>
        <v/>
      </c>
      <c r="H36" s="20">
        <f>H23*H10</f>
        <v/>
      </c>
      <c r="I36" s="20">
        <f>I23*I10</f>
        <v/>
      </c>
      <c r="J36" s="20">
        <f>J23*J10</f>
        <v/>
      </c>
      <c r="K36" s="20">
        <f>K23*K10</f>
        <v/>
      </c>
      <c r="L36" s="20">
        <f>L23*L10</f>
        <v/>
      </c>
      <c r="M36" s="20">
        <f>M23*M10</f>
        <v/>
      </c>
      <c r="N36" s="20">
        <f>N23*N10</f>
        <v/>
      </c>
      <c r="O36" s="20">
        <f>O23*O10</f>
        <v/>
      </c>
      <c r="P36" s="20">
        <f>P23*P10</f>
        <v/>
      </c>
      <c r="Q36" s="20">
        <f>Q23*Q10</f>
        <v/>
      </c>
      <c r="R36" s="20">
        <f>R23*R10</f>
        <v/>
      </c>
      <c r="S36" s="20">
        <f>S23*S10</f>
        <v/>
      </c>
      <c r="T36" s="18" t="inlineStr">
        <is>
          <t>[D] FY23-25 cash flow statement</t>
        </is>
      </c>
    </row>
    <row r="37">
      <c r="A37" s="5" t="inlineStr">
        <is>
          <t>Adj. EBITDA margin after SBC</t>
        </is>
      </c>
      <c r="B37" s="7">
        <f>(B34-B36)/B23</f>
        <v/>
      </c>
      <c r="C37" s="7">
        <f>(C34-C36)/C23</f>
        <v/>
      </c>
      <c r="D37" s="7">
        <f>(D34-D36)/D23</f>
        <v/>
      </c>
      <c r="E37" s="7">
        <f>(E34-E36)/E23</f>
        <v/>
      </c>
      <c r="F37" s="7">
        <f>(F34-F36)/F23</f>
        <v/>
      </c>
      <c r="G37" s="7">
        <f>(G34-G36)/G23</f>
        <v/>
      </c>
      <c r="H37" s="7">
        <f>(H34-H36)/H23</f>
        <v/>
      </c>
      <c r="I37" s="7">
        <f>(I34-I36)/I23</f>
        <v/>
      </c>
      <c r="J37" s="7">
        <f>(J34-J36)/J23</f>
        <v/>
      </c>
      <c r="K37" s="7">
        <f>(K34-K36)/K23</f>
        <v/>
      </c>
      <c r="L37" s="7">
        <f>(L34-L36)/L23</f>
        <v/>
      </c>
      <c r="M37" s="7">
        <f>(M34-M36)/M23</f>
        <v/>
      </c>
      <c r="N37" s="7">
        <f>(N34-N36)/N23</f>
        <v/>
      </c>
      <c r="O37" s="7">
        <f>(O34-O36)/O23</f>
        <v/>
      </c>
      <c r="P37" s="7">
        <f>(P34-P36)/P23</f>
        <v/>
      </c>
      <c r="Q37" s="7">
        <f>(Q34-Q36)/Q23</f>
        <v/>
      </c>
      <c r="R37" s="7">
        <f>(R34-R36)/R23</f>
        <v/>
      </c>
      <c r="S37" s="7">
        <f>(S34-S36)/S23</f>
        <v/>
      </c>
      <c r="T37" s="18" t="inlineStr">
        <is>
          <t>[C]</t>
        </is>
      </c>
    </row>
    <row r="38">
      <c r="A38" s="5" t="inlineStr">
        <is>
          <t>CARFAX segment Adj. EBITDA margin</t>
        </is>
      </c>
      <c r="B38" s="6" t="n">
        <v>0.4547413793103448</v>
      </c>
      <c r="C38" s="6" t="n">
        <v>0.4581328200192493</v>
      </c>
      <c r="D38" s="6" t="n">
        <v>0.4693520140105079</v>
      </c>
      <c r="T38" s="18" t="inlineStr">
        <is>
          <t>[D/C] segment Adj. EBITDA 422/476/536</t>
        </is>
      </c>
    </row>
    <row r="39">
      <c r="A39" s="5" t="inlineStr">
        <is>
          <t>B2B segment Adj. EBITDA margin</t>
        </is>
      </c>
      <c r="B39" s="6" t="n">
        <v>0.3429084380610413</v>
      </c>
      <c r="C39" s="6" t="n">
        <v>0.3536585365853658</v>
      </c>
      <c r="D39" s="6" t="n">
        <v>0.3240131578947368</v>
      </c>
      <c r="T39" s="18" t="inlineStr">
        <is>
          <t>[D/C] segment Adj. EBITDA 191/203/197</t>
        </is>
      </c>
    </row>
    <row r="41">
      <c r="A41" s="10" t="inlineStr">
        <is>
          <t>Cash flow (FY23-25 actual bridge; FY26+ estimate)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</row>
    <row r="42">
      <c r="A42" s="5" t="inlineStr">
        <is>
          <t>One-offs, expensed</t>
        </is>
      </c>
      <c r="B42" s="12" t="n">
        <v>-30</v>
      </c>
      <c r="C42" s="12" t="n">
        <v>-23</v>
      </c>
      <c r="D42" s="12" t="n">
        <v>-40</v>
      </c>
      <c r="E42" s="12" t="n">
        <v>-25</v>
      </c>
      <c r="F42" s="12" t="n">
        <v>-25</v>
      </c>
      <c r="G42" s="20">
        <f>0</f>
        <v/>
      </c>
      <c r="H42" s="20">
        <f>0</f>
        <v/>
      </c>
      <c r="I42" s="20">
        <f>0</f>
        <v/>
      </c>
      <c r="J42" s="20">
        <f>0</f>
        <v/>
      </c>
      <c r="K42" s="20">
        <f>0</f>
        <v/>
      </c>
      <c r="L42" s="20">
        <f>0</f>
        <v/>
      </c>
      <c r="M42" s="20">
        <f>0</f>
        <v/>
      </c>
      <c r="N42" s="20">
        <f>0</f>
        <v/>
      </c>
      <c r="O42" s="20">
        <f>0</f>
        <v/>
      </c>
      <c r="P42" s="20">
        <f>0</f>
        <v/>
      </c>
      <c r="Q42" s="20">
        <f>0</f>
        <v/>
      </c>
      <c r="R42" s="20">
        <f>0</f>
        <v/>
      </c>
      <c r="S42" s="20">
        <f>0</f>
        <v/>
      </c>
      <c r="T42" s="18" t="inlineStr">
        <is>
          <t>[D] FY23-25; FY26-27 = 50% expensed x ~$50m/yr of ~$100m spin cost [IR]</t>
        </is>
      </c>
    </row>
    <row r="43">
      <c r="A43" s="5" t="inlineStr">
        <is>
          <t>Gross debt (year end)</t>
        </is>
      </c>
      <c r="E43" s="12" t="n">
        <v>2000</v>
      </c>
      <c r="F43" s="12" t="n">
        <v>2000</v>
      </c>
      <c r="G43" s="20">
        <f>MAX(2000,G15*G34)</f>
        <v/>
      </c>
      <c r="H43" s="20">
        <f>MAX(2000,H15*H34)</f>
        <v/>
      </c>
      <c r="I43" s="20">
        <f>MAX(2000,I15*I34)</f>
        <v/>
      </c>
      <c r="J43" s="20">
        <f>MAX(2000,J15*J34)</f>
        <v/>
      </c>
      <c r="K43" s="20">
        <f>MAX(2000,K15*K34)</f>
        <v/>
      </c>
      <c r="L43" s="20">
        <f>MAX(2000,L15*L34)</f>
        <v/>
      </c>
      <c r="M43" s="20">
        <f>MAX(2000,M15*M34)</f>
        <v/>
      </c>
      <c r="N43" s="20">
        <f>MAX(2000,N15*N34)</f>
        <v/>
      </c>
      <c r="O43" s="20">
        <f>MAX(2000,O15*O34)</f>
        <v/>
      </c>
      <c r="P43" s="20">
        <f>MAX(2000,P15*P34)</f>
        <v/>
      </c>
      <c r="Q43" s="20">
        <f>MAX(2000,Q15*Q34)</f>
        <v/>
      </c>
      <c r="R43" s="20">
        <f>MAX(2000,R15*R34)</f>
        <v/>
      </c>
      <c r="S43" s="20">
        <f>MAX(2000,S15*S34)</f>
        <v/>
      </c>
      <c r="T43" s="18" t="inlineStr">
        <is>
          <t>[D] $2.0bn senior notes; then leverage x EBITDA (buybacks funded)</t>
        </is>
      </c>
    </row>
    <row r="44">
      <c r="A44" s="5" t="inlineStr">
        <is>
          <t>Cash interest</t>
        </is>
      </c>
      <c r="B44" s="12" t="n">
        <v>-17</v>
      </c>
      <c r="C44" s="12" t="n">
        <v>-15</v>
      </c>
      <c r="D44" s="12" t="n">
        <v>-13</v>
      </c>
      <c r="E44" s="12" t="n">
        <v>-65</v>
      </c>
      <c r="F44" s="12" t="n">
        <v>-112</v>
      </c>
      <c r="G44" s="20">
        <f>-G16*G43</f>
        <v/>
      </c>
      <c r="H44" s="20">
        <f>-H16*H43</f>
        <v/>
      </c>
      <c r="I44" s="20">
        <f>-I16*I43</f>
        <v/>
      </c>
      <c r="J44" s="20">
        <f>-J16*J43</f>
        <v/>
      </c>
      <c r="K44" s="20">
        <f>-K16*K43</f>
        <v/>
      </c>
      <c r="L44" s="20">
        <f>-L16*L43</f>
        <v/>
      </c>
      <c r="M44" s="20">
        <f>-M16*M43</f>
        <v/>
      </c>
      <c r="N44" s="20">
        <f>-N16*N43</f>
        <v/>
      </c>
      <c r="O44" s="20">
        <f>-O16*O43</f>
        <v/>
      </c>
      <c r="P44" s="20">
        <f>-P16*P43</f>
        <v/>
      </c>
      <c r="Q44" s="20">
        <f>-Q16*Q43</f>
        <v/>
      </c>
      <c r="R44" s="20">
        <f>-R16*R43</f>
        <v/>
      </c>
      <c r="S44" s="20">
        <f>-S16*S43</f>
        <v/>
      </c>
      <c r="T44" s="18" t="inlineStr">
        <is>
          <t>[D] FY23-25 related-party; FY26 ~$5m + $60m Q4 coupon [IR]; FY27 5.6% x $2.0bn</t>
        </is>
      </c>
    </row>
    <row r="45">
      <c r="A45" s="5" t="inlineStr">
        <is>
          <t>Cash taxes</t>
        </is>
      </c>
      <c r="B45" s="12" t="n">
        <v>-156</v>
      </c>
      <c r="C45" s="12" t="n">
        <v>-178</v>
      </c>
      <c r="D45" s="12" t="n">
        <v>-196</v>
      </c>
      <c r="E45" s="20">
        <f>-(E11*(E34+E42-E36-E13*E23+E44)+E18-E11*E17)</f>
        <v/>
      </c>
      <c r="F45" s="20">
        <f>-(F11*(F34+F42-F36-F13*F23+F44)+F18-F11*F17)</f>
        <v/>
      </c>
      <c r="G45" s="20">
        <f>-(G11*(G34+G42-G36-G13*G23+G44)+G18-G11*G17)</f>
        <v/>
      </c>
      <c r="H45" s="20">
        <f>-(H11*(H34+H42-H36-H13*H23+H44)+H18-H11*H17)</f>
        <v/>
      </c>
      <c r="I45" s="20">
        <f>-(I11*(I34+I42-I36-I13*I23+I44)+I18-I11*I17)</f>
        <v/>
      </c>
      <c r="J45" s="20">
        <f>-(J11*(J34+J42-J36-J13*J23+J44)+J18-J11*J17)</f>
        <v/>
      </c>
      <c r="K45" s="20">
        <f>-(K11*(K34+K42-K36-K13*K23+K44)+K18-K11*K17)</f>
        <v/>
      </c>
      <c r="L45" s="20">
        <f>-(L11*(L34+L42-L36-L13*L23+L44)+L18-L11*L17)</f>
        <v/>
      </c>
      <c r="M45" s="20">
        <f>-(M11*(M34+M42-M36-M13*M23+M44)+M18-M11*M17)</f>
        <v/>
      </c>
      <c r="N45" s="20">
        <f>-(N11*(N34+N42-N36-N13*N23+N44)+N18-N11*N17)</f>
        <v/>
      </c>
      <c r="O45" s="20">
        <f>-(O11*(O34+O42-O36-O13*O23+O44)+O18-O11*O17)</f>
        <v/>
      </c>
      <c r="P45" s="20">
        <f>-(P11*(P34+P42-P36-P13*P23+P44)+P18-P11*P17)</f>
        <v/>
      </c>
      <c r="Q45" s="20">
        <f>-(Q11*(Q34+Q42-Q36-Q13*Q23+Q44)+Q18-Q11*Q17)</f>
        <v/>
      </c>
      <c r="R45" s="20">
        <f>-(R11*(R34+R42-R36-R13*R23+R44)+R18-R11*R17)</f>
        <v/>
      </c>
      <c r="S45" s="20">
        <f>-(S11*(S34+S42-S36-S13*S23+S44)+S18-S11*S17)</f>
        <v/>
      </c>
      <c r="T45" s="18" t="inlineStr">
        <is>
          <t>[D] FY23-25 current tax; FY26+: ETR x tax base + ($89m gap - ETR x $296m amortization)</t>
        </is>
      </c>
    </row>
    <row r="46">
      <c r="A46" s="5" t="inlineStr">
        <is>
          <t>Capex, recurring</t>
        </is>
      </c>
      <c r="B46" s="12" t="n">
        <v>-18</v>
      </c>
      <c r="C46" s="12" t="n">
        <v>-15</v>
      </c>
      <c r="D46" s="12" t="n">
        <v>-24</v>
      </c>
      <c r="E46" s="20">
        <f>-E12*E23</f>
        <v/>
      </c>
      <c r="F46" s="20">
        <f>-F12*F23</f>
        <v/>
      </c>
      <c r="G46" s="20">
        <f>-G12*G23</f>
        <v/>
      </c>
      <c r="H46" s="20">
        <f>-H12*H23</f>
        <v/>
      </c>
      <c r="I46" s="20">
        <f>-I12*I23</f>
        <v/>
      </c>
      <c r="J46" s="20">
        <f>-J12*J23</f>
        <v/>
      </c>
      <c r="K46" s="20">
        <f>-K12*K23</f>
        <v/>
      </c>
      <c r="L46" s="20">
        <f>-L12*L23</f>
        <v/>
      </c>
      <c r="M46" s="20">
        <f>-M12*M23</f>
        <v/>
      </c>
      <c r="N46" s="20">
        <f>-N12*N23</f>
        <v/>
      </c>
      <c r="O46" s="20">
        <f>-O12*O23</f>
        <v/>
      </c>
      <c r="P46" s="20">
        <f>-P12*P23</f>
        <v/>
      </c>
      <c r="Q46" s="20">
        <f>-Q12*Q23</f>
        <v/>
      </c>
      <c r="R46" s="20">
        <f>-R12*R23</f>
        <v/>
      </c>
      <c r="S46" s="20">
        <f>-S12*S23</f>
        <v/>
      </c>
      <c r="T46" s="18" t="inlineStr">
        <is>
          <t>[D] FY23-25</t>
        </is>
      </c>
    </row>
    <row r="47">
      <c r="A47" s="5" t="inlineStr">
        <is>
          <t>Capex, one-off (spin, capitalised)</t>
        </is>
      </c>
      <c r="B47" s="12" t="n">
        <v>0</v>
      </c>
      <c r="C47" s="12" t="n">
        <v>0</v>
      </c>
      <c r="D47" s="12" t="n">
        <v>0</v>
      </c>
      <c r="E47" s="12" t="n">
        <v>-25</v>
      </c>
      <c r="F47" s="12" t="n">
        <v>-25</v>
      </c>
      <c r="G47" s="20">
        <f>0</f>
        <v/>
      </c>
      <c r="H47" s="20">
        <f>0</f>
        <v/>
      </c>
      <c r="I47" s="20">
        <f>0</f>
        <v/>
      </c>
      <c r="J47" s="20">
        <f>0</f>
        <v/>
      </c>
      <c r="K47" s="20">
        <f>0</f>
        <v/>
      </c>
      <c r="L47" s="20">
        <f>0</f>
        <v/>
      </c>
      <c r="M47" s="20">
        <f>0</f>
        <v/>
      </c>
      <c r="N47" s="20">
        <f>0</f>
        <v/>
      </c>
      <c r="O47" s="20">
        <f>0</f>
        <v/>
      </c>
      <c r="P47" s="20">
        <f>0</f>
        <v/>
      </c>
      <c r="Q47" s="20">
        <f>0</f>
        <v/>
      </c>
      <c r="R47" s="20">
        <f>0</f>
        <v/>
      </c>
      <c r="S47" s="20">
        <f>0</f>
        <v/>
      </c>
      <c r="T47" s="18" t="inlineStr">
        <is>
          <t>[IR] "roughly 50% of these one-time costs will be capitalized"</t>
        </is>
      </c>
    </row>
    <row r="48">
      <c r="A48" s="5" t="inlineStr">
        <is>
          <t>Working capital &amp; other</t>
        </is>
      </c>
      <c r="B48" s="12" t="n">
        <v>-2</v>
      </c>
      <c r="C48" s="12" t="n">
        <v>-15</v>
      </c>
      <c r="D48" s="12" t="n">
        <v>23</v>
      </c>
      <c r="E48" s="20">
        <f>E14*(E23-D23)</f>
        <v/>
      </c>
      <c r="F48" s="20">
        <f>F14*(F23-E23)</f>
        <v/>
      </c>
      <c r="G48" s="20">
        <f>G14*(G23-F23)</f>
        <v/>
      </c>
      <c r="H48" s="20">
        <f>H14*(H23-G23)</f>
        <v/>
      </c>
      <c r="I48" s="20">
        <f>I14*(I23-H23)</f>
        <v/>
      </c>
      <c r="J48" s="20">
        <f>J14*(J23-I23)</f>
        <v/>
      </c>
      <c r="K48" s="20">
        <f>K14*(K23-J23)</f>
        <v/>
      </c>
      <c r="L48" s="20">
        <f>L14*(L23-K23)</f>
        <v/>
      </c>
      <c r="M48" s="20">
        <f>M14*(M23-L23)</f>
        <v/>
      </c>
      <c r="N48" s="20">
        <f>N14*(N23-M23)</f>
        <v/>
      </c>
      <c r="O48" s="20">
        <f>O14*(O23-N23)</f>
        <v/>
      </c>
      <c r="P48" s="20">
        <f>P14*(P23-O23)</f>
        <v/>
      </c>
      <c r="Q48" s="20">
        <f>Q14*(Q23-P23)</f>
        <v/>
      </c>
      <c r="R48" s="20">
        <f>R14*(R23-Q23)</f>
        <v/>
      </c>
      <c r="S48" s="20">
        <f>S14*(S23-R23)</f>
        <v/>
      </c>
      <c r="T48" s="18" t="inlineStr">
        <is>
          <t>[D/C] reported "Other" less SBC add-back</t>
        </is>
      </c>
    </row>
    <row r="49">
      <c r="A49" s="8" t="inlineStr">
        <is>
          <t>FCF before SBC</t>
        </is>
      </c>
      <c r="B49" s="21">
        <f>B34+B42+B44+B45+B46+B47+B48</f>
        <v/>
      </c>
      <c r="C49" s="21">
        <f>C34+C42+C44+C45+C46+C47+C48</f>
        <v/>
      </c>
      <c r="D49" s="21">
        <f>D34+D42+D44+D45+D46+D47+D48</f>
        <v/>
      </c>
      <c r="E49" s="21">
        <f>E34+E42+E44+E45+E46+E47+E48</f>
        <v/>
      </c>
      <c r="F49" s="21">
        <f>F34+F42+F44+F45+F46+F47+F48</f>
        <v/>
      </c>
      <c r="G49" s="21">
        <f>G34+G42+G44+G45+G46+G47+G48</f>
        <v/>
      </c>
      <c r="H49" s="21">
        <f>H34+H42+H44+H45+H46+H47+H48</f>
        <v/>
      </c>
      <c r="I49" s="21">
        <f>I34+I42+I44+I45+I46+I47+I48</f>
        <v/>
      </c>
      <c r="J49" s="21">
        <f>J34+J42+J44+J45+J46+J47+J48</f>
        <v/>
      </c>
      <c r="K49" s="21">
        <f>K34+K42+K44+K45+K46+K47+K48</f>
        <v/>
      </c>
      <c r="L49" s="21">
        <f>L34+L42+L44+L45+L46+L47+L48</f>
        <v/>
      </c>
      <c r="M49" s="21">
        <f>M34+M42+M44+M45+M46+M47+M48</f>
        <v/>
      </c>
      <c r="N49" s="21">
        <f>N34+N42+N44+N45+N46+N47+N48</f>
        <v/>
      </c>
      <c r="O49" s="21">
        <f>O34+O42+O44+O45+O46+O47+O48</f>
        <v/>
      </c>
      <c r="P49" s="21">
        <f>P34+P42+P44+P45+P46+P47+P48</f>
        <v/>
      </c>
      <c r="Q49" s="21">
        <f>Q34+Q42+Q44+Q45+Q46+Q47+Q48</f>
        <v/>
      </c>
      <c r="R49" s="21">
        <f>R34+R42+R44+R45+R46+R47+R48</f>
        <v/>
      </c>
      <c r="S49" s="21">
        <f>S34+S42+S44+S45+S46+S47+S48</f>
        <v/>
      </c>
      <c r="T49" s="18" t="inlineStr">
        <is>
          <t>[C] FY23-25 tie to reported CFO - capex: 375 / 412 / 461</t>
        </is>
      </c>
    </row>
    <row r="50">
      <c r="A50" s="8" t="inlineStr">
        <is>
          <t>FCF after SBC</t>
        </is>
      </c>
      <c r="B50" s="21">
        <f>B49-B36</f>
        <v/>
      </c>
      <c r="C50" s="21">
        <f>C49-C36</f>
        <v/>
      </c>
      <c r="D50" s="21">
        <f>D49-D36</f>
        <v/>
      </c>
      <c r="E50" s="21">
        <f>E49-E36</f>
        <v/>
      </c>
      <c r="F50" s="21">
        <f>F49-F36</f>
        <v/>
      </c>
      <c r="G50" s="21">
        <f>G49-G36</f>
        <v/>
      </c>
      <c r="H50" s="21">
        <f>H49-H36</f>
        <v/>
      </c>
      <c r="I50" s="21">
        <f>I49-I36</f>
        <v/>
      </c>
      <c r="J50" s="21">
        <f>J49-J36</f>
        <v/>
      </c>
      <c r="K50" s="21">
        <f>K49-K36</f>
        <v/>
      </c>
      <c r="L50" s="21">
        <f>L49-L36</f>
        <v/>
      </c>
      <c r="M50" s="21">
        <f>M49-M36</f>
        <v/>
      </c>
      <c r="N50" s="21">
        <f>N49-N36</f>
        <v/>
      </c>
      <c r="O50" s="21">
        <f>O49-O36</f>
        <v/>
      </c>
      <c r="P50" s="21">
        <f>P49-P36</f>
        <v/>
      </c>
      <c r="Q50" s="21">
        <f>Q49-Q36</f>
        <v/>
      </c>
      <c r="R50" s="21">
        <f>R49-R36</f>
        <v/>
      </c>
      <c r="S50" s="21">
        <f>S49-S36</f>
        <v/>
      </c>
      <c r="T50" s="18" t="inlineStr">
        <is>
          <t>[C] SBC treated as a cash-equivalent cost</t>
        </is>
      </c>
    </row>
    <row r="51">
      <c r="A51" s="5" t="inlineStr">
        <is>
          <t>Recurring FCF after SBC (ex one-offs)</t>
        </is>
      </c>
      <c r="B51" s="20">
        <f>B50-B42-B47</f>
        <v/>
      </c>
      <c r="C51" s="20">
        <f>C50-C42-C47</f>
        <v/>
      </c>
      <c r="D51" s="20">
        <f>D50-D42-D47</f>
        <v/>
      </c>
      <c r="E51" s="20">
        <f>E50-E42-E47</f>
        <v/>
      </c>
      <c r="F51" s="20">
        <f>F50-F42-F47</f>
        <v/>
      </c>
      <c r="G51" s="20">
        <f>G50-G42-G47</f>
        <v/>
      </c>
      <c r="H51" s="20">
        <f>H50-H42-H47</f>
        <v/>
      </c>
      <c r="I51" s="20">
        <f>I50-I42-I47</f>
        <v/>
      </c>
      <c r="J51" s="20">
        <f>J50-J42-J47</f>
        <v/>
      </c>
      <c r="K51" s="20">
        <f>K50-K42-K47</f>
        <v/>
      </c>
      <c r="L51" s="20">
        <f>L50-L42-L47</f>
        <v/>
      </c>
      <c r="M51" s="20">
        <f>M50-M42-M47</f>
        <v/>
      </c>
      <c r="N51" s="20">
        <f>N50-N42-N47</f>
        <v/>
      </c>
      <c r="O51" s="20">
        <f>O50-O42-O47</f>
        <v/>
      </c>
      <c r="P51" s="20">
        <f>P50-P42-P47</f>
        <v/>
      </c>
      <c r="Q51" s="20">
        <f>Q50-Q42-Q47</f>
        <v/>
      </c>
      <c r="R51" s="20">
        <f>R50-R42-R47</f>
        <v/>
      </c>
      <c r="S51" s="20">
        <f>S50-S42-S47</f>
        <v/>
      </c>
      <c r="T51" s="18" t="inlineStr">
        <is>
          <t>[C]</t>
        </is>
      </c>
    </row>
    <row r="52">
      <c r="A52" s="5" t="inlineStr">
        <is>
          <t>FCF margin before SBC</t>
        </is>
      </c>
      <c r="B52" s="7">
        <f>B49/B23</f>
        <v/>
      </c>
      <c r="C52" s="7">
        <f>C49/C23</f>
        <v/>
      </c>
      <c r="D52" s="7">
        <f>D49/D23</f>
        <v/>
      </c>
      <c r="E52" s="7">
        <f>E49/E23</f>
        <v/>
      </c>
      <c r="F52" s="7">
        <f>F49/F23</f>
        <v/>
      </c>
      <c r="G52" s="7">
        <f>G49/G23</f>
        <v/>
      </c>
      <c r="H52" s="7">
        <f>H49/H23</f>
        <v/>
      </c>
      <c r="I52" s="7">
        <f>I49/I23</f>
        <v/>
      </c>
      <c r="J52" s="7">
        <f>J49/J23</f>
        <v/>
      </c>
      <c r="K52" s="7">
        <f>K49/K23</f>
        <v/>
      </c>
      <c r="L52" s="7">
        <f>L49/L23</f>
        <v/>
      </c>
      <c r="M52" s="7">
        <f>M49/M23</f>
        <v/>
      </c>
      <c r="N52" s="7">
        <f>N49/N23</f>
        <v/>
      </c>
      <c r="O52" s="7">
        <f>O49/O23</f>
        <v/>
      </c>
      <c r="P52" s="7">
        <f>P49/P23</f>
        <v/>
      </c>
      <c r="Q52" s="7">
        <f>Q49/Q23</f>
        <v/>
      </c>
      <c r="R52" s="7">
        <f>R49/R23</f>
        <v/>
      </c>
      <c r="S52" s="7">
        <f>S49/S23</f>
        <v/>
      </c>
      <c r="T52" s="18" t="inlineStr">
        <is>
          <t>[C]</t>
        </is>
      </c>
    </row>
    <row r="53">
      <c r="A53" s="5" t="inlineStr">
        <is>
          <t>FCF margin after SBC</t>
        </is>
      </c>
      <c r="B53" s="7">
        <f>B50/B23</f>
        <v/>
      </c>
      <c r="C53" s="7">
        <f>C50/C23</f>
        <v/>
      </c>
      <c r="D53" s="7">
        <f>D50/D23</f>
        <v/>
      </c>
      <c r="E53" s="7">
        <f>E50/E23</f>
        <v/>
      </c>
      <c r="F53" s="7">
        <f>F50/F23</f>
        <v/>
      </c>
      <c r="G53" s="7">
        <f>G50/G23</f>
        <v/>
      </c>
      <c r="H53" s="7">
        <f>H50/H23</f>
        <v/>
      </c>
      <c r="I53" s="7">
        <f>I50/I23</f>
        <v/>
      </c>
      <c r="J53" s="7">
        <f>J50/J23</f>
        <v/>
      </c>
      <c r="K53" s="7">
        <f>K50/K23</f>
        <v/>
      </c>
      <c r="L53" s="7">
        <f>L50/L23</f>
        <v/>
      </c>
      <c r="M53" s="7">
        <f>M50/M23</f>
        <v/>
      </c>
      <c r="N53" s="7">
        <f>N50/N23</f>
        <v/>
      </c>
      <c r="O53" s="7">
        <f>O50/O23</f>
        <v/>
      </c>
      <c r="P53" s="7">
        <f>P50/P23</f>
        <v/>
      </c>
      <c r="Q53" s="7">
        <f>Q50/Q23</f>
        <v/>
      </c>
      <c r="R53" s="7">
        <f>R50/R23</f>
        <v/>
      </c>
      <c r="S53" s="7">
        <f>S50/S23</f>
        <v/>
      </c>
      <c r="T53" s="18" t="inlineStr">
        <is>
          <t>[C]</t>
        </is>
      </c>
    </row>
    <row r="54">
      <c r="A54" s="5" t="inlineStr">
        <is>
          <t>FCF after SBC / Adj. EBITDA</t>
        </is>
      </c>
      <c r="B54" s="7">
        <f>B50/B34</f>
        <v/>
      </c>
      <c r="C54" s="7">
        <f>C50/C34</f>
        <v/>
      </c>
      <c r="D54" s="7">
        <f>D50/D34</f>
        <v/>
      </c>
      <c r="E54" s="7">
        <f>E50/E34</f>
        <v/>
      </c>
      <c r="F54" s="7">
        <f>F50/F34</f>
        <v/>
      </c>
      <c r="G54" s="7">
        <f>G50/G34</f>
        <v/>
      </c>
      <c r="H54" s="7">
        <f>H50/H34</f>
        <v/>
      </c>
      <c r="I54" s="7">
        <f>I50/I34</f>
        <v/>
      </c>
      <c r="J54" s="7">
        <f>J50/J34</f>
        <v/>
      </c>
      <c r="K54" s="7">
        <f>K50/K34</f>
        <v/>
      </c>
      <c r="L54" s="7">
        <f>L50/L34</f>
        <v/>
      </c>
      <c r="M54" s="7">
        <f>M50/M34</f>
        <v/>
      </c>
      <c r="N54" s="7">
        <f>N50/N34</f>
        <v/>
      </c>
      <c r="O54" s="7">
        <f>O50/O34</f>
        <v/>
      </c>
      <c r="P54" s="7">
        <f>P50/P34</f>
        <v/>
      </c>
      <c r="Q54" s="7">
        <f>Q50/Q34</f>
        <v/>
      </c>
      <c r="R54" s="7">
        <f>R50/R34</f>
        <v/>
      </c>
      <c r="S54" s="7">
        <f>S50/S34</f>
        <v/>
      </c>
      <c r="T54" s="18" t="inlineStr">
        <is>
          <t>[C]</t>
        </is>
      </c>
    </row>
    <row r="55">
      <c r="A55" s="23" t="inlineStr">
        <is>
          <t>CHECK: FY23-25 FCF vs reported (375/412/461)</t>
        </is>
      </c>
      <c r="B55" s="20">
        <f>B49-375</f>
        <v/>
      </c>
      <c r="C55" s="20">
        <f>C49-412</f>
        <v/>
      </c>
      <c r="D55" s="20">
        <f>D49-461</f>
        <v/>
      </c>
      <c r="T55" s="18" t="inlineStr">
        <is>
          <t>should be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Chart-ready series (linked to Projection; green = link)</t>
        </is>
      </c>
    </row>
    <row r="3">
      <c r="A3" s="3" t="inlineStr">
        <is>
          <t>Series</t>
        </is>
      </c>
      <c r="B3" s="4" t="inlineStr">
        <is>
          <t>FY2023</t>
        </is>
      </c>
      <c r="C3" s="4" t="inlineStr">
        <is>
          <t>FY2024</t>
        </is>
      </c>
      <c r="D3" s="4" t="inlineStr">
        <is>
          <t>FY2025</t>
        </is>
      </c>
      <c r="E3" s="4" t="inlineStr">
        <is>
          <t>FY2026</t>
        </is>
      </c>
      <c r="F3" s="4" t="inlineStr">
        <is>
          <t>FY2027</t>
        </is>
      </c>
      <c r="G3" s="4" t="inlineStr">
        <is>
          <t>FY2028</t>
        </is>
      </c>
      <c r="H3" s="4" t="inlineStr">
        <is>
          <t>FY2029</t>
        </is>
      </c>
      <c r="I3" s="4" t="inlineStr">
        <is>
          <t>FY2030</t>
        </is>
      </c>
      <c r="J3" s="4" t="inlineStr">
        <is>
          <t>FY2031</t>
        </is>
      </c>
      <c r="K3" s="4" t="inlineStr">
        <is>
          <t>FY2032</t>
        </is>
      </c>
      <c r="L3" s="4" t="inlineStr">
        <is>
          <t>FY2033</t>
        </is>
      </c>
      <c r="M3" s="4" t="inlineStr">
        <is>
          <t>FY2034</t>
        </is>
      </c>
      <c r="N3" s="4" t="inlineStr">
        <is>
          <t>FY2035</t>
        </is>
      </c>
      <c r="O3" s="4" t="inlineStr">
        <is>
          <t>FY2036</t>
        </is>
      </c>
      <c r="P3" s="4" t="inlineStr">
        <is>
          <t>FY2037</t>
        </is>
      </c>
      <c r="Q3" s="4" t="inlineStr">
        <is>
          <t>FY2038</t>
        </is>
      </c>
      <c r="R3" s="4" t="inlineStr">
        <is>
          <t>FY2039</t>
        </is>
      </c>
      <c r="S3" s="4" t="inlineStr">
        <is>
          <t>FY2040</t>
        </is>
      </c>
    </row>
    <row r="4">
      <c r="A4" s="10" t="inlineStr">
        <is>
          <t>Revenue mix ($m)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</row>
    <row r="5">
      <c r="A5" s="5" t="inlineStr">
        <is>
          <t>CARFAX</t>
        </is>
      </c>
      <c r="B5" s="24">
        <f>IF(Projection!B21="",NA(),Projection!B21)</f>
        <v/>
      </c>
      <c r="C5" s="24">
        <f>IF(Projection!C21="",NA(),Projection!C21)</f>
        <v/>
      </c>
      <c r="D5" s="24">
        <f>IF(Projection!D21="",NA(),Projection!D21)</f>
        <v/>
      </c>
      <c r="E5" s="24">
        <f>IF(Projection!E21="",NA(),Projection!E21)</f>
        <v/>
      </c>
      <c r="F5" s="24">
        <f>IF(Projection!F21="",NA(),Projection!F21)</f>
        <v/>
      </c>
      <c r="G5" s="24">
        <f>IF(Projection!G21="",NA(),Projection!G21)</f>
        <v/>
      </c>
      <c r="H5" s="24">
        <f>IF(Projection!H21="",NA(),Projection!H21)</f>
        <v/>
      </c>
      <c r="I5" s="24">
        <f>IF(Projection!I21="",NA(),Projection!I21)</f>
        <v/>
      </c>
      <c r="J5" s="24">
        <f>IF(Projection!J21="",NA(),Projection!J21)</f>
        <v/>
      </c>
      <c r="K5" s="24">
        <f>IF(Projection!K21="",NA(),Projection!K21)</f>
        <v/>
      </c>
      <c r="L5" s="24">
        <f>IF(Projection!L21="",NA(),Projection!L21)</f>
        <v/>
      </c>
      <c r="M5" s="24">
        <f>IF(Projection!M21="",NA(),Projection!M21)</f>
        <v/>
      </c>
      <c r="N5" s="24">
        <f>IF(Projection!N21="",NA(),Projection!N21)</f>
        <v/>
      </c>
      <c r="O5" s="24">
        <f>IF(Projection!O21="",NA(),Projection!O21)</f>
        <v/>
      </c>
      <c r="P5" s="24">
        <f>IF(Projection!P21="",NA(),Projection!P21)</f>
        <v/>
      </c>
      <c r="Q5" s="24">
        <f>IF(Projection!Q21="",NA(),Projection!Q21)</f>
        <v/>
      </c>
      <c r="R5" s="24">
        <f>IF(Projection!R21="",NA(),Projection!R21)</f>
        <v/>
      </c>
      <c r="S5" s="24">
        <f>IF(Projection!S21="",NA(),Projection!S21)</f>
        <v/>
      </c>
    </row>
    <row r="6">
      <c r="A6" s="5" t="inlineStr">
        <is>
          <t>B2B</t>
        </is>
      </c>
      <c r="B6" s="24">
        <f>IF(Projection!B22="",NA(),Projection!B22)</f>
        <v/>
      </c>
      <c r="C6" s="24">
        <f>IF(Projection!C22="",NA(),Projection!C22)</f>
        <v/>
      </c>
      <c r="D6" s="24">
        <f>IF(Projection!D22="",NA(),Projection!D22)</f>
        <v/>
      </c>
      <c r="E6" s="24">
        <f>IF(Projection!E22="",NA(),Projection!E22)</f>
        <v/>
      </c>
      <c r="F6" s="24">
        <f>IF(Projection!F22="",NA(),Projection!F22)</f>
        <v/>
      </c>
      <c r="G6" s="24">
        <f>IF(Projection!G22="",NA(),Projection!G22)</f>
        <v/>
      </c>
      <c r="H6" s="24">
        <f>IF(Projection!H22="",NA(),Projection!H22)</f>
        <v/>
      </c>
      <c r="I6" s="24">
        <f>IF(Projection!I22="",NA(),Projection!I22)</f>
        <v/>
      </c>
      <c r="J6" s="24">
        <f>IF(Projection!J22="",NA(),Projection!J22)</f>
        <v/>
      </c>
      <c r="K6" s="24">
        <f>IF(Projection!K22="",NA(),Projection!K22)</f>
        <v/>
      </c>
      <c r="L6" s="24">
        <f>IF(Projection!L22="",NA(),Projection!L22)</f>
        <v/>
      </c>
      <c r="M6" s="24">
        <f>IF(Projection!M22="",NA(),Projection!M22)</f>
        <v/>
      </c>
      <c r="N6" s="24">
        <f>IF(Projection!N22="",NA(),Projection!N22)</f>
        <v/>
      </c>
      <c r="O6" s="24">
        <f>IF(Projection!O22="",NA(),Projection!O22)</f>
        <v/>
      </c>
      <c r="P6" s="24">
        <f>IF(Projection!P22="",NA(),Projection!P22)</f>
        <v/>
      </c>
      <c r="Q6" s="24">
        <f>IF(Projection!Q22="",NA(),Projection!Q22)</f>
        <v/>
      </c>
      <c r="R6" s="24">
        <f>IF(Projection!R22="",NA(),Projection!R22)</f>
        <v/>
      </c>
      <c r="S6" s="24">
        <f>IF(Projection!S22="",NA(),Projection!S22)</f>
        <v/>
      </c>
    </row>
    <row r="8">
      <c r="A8" s="10" t="inlineStr">
        <is>
          <t>Growth (%)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</row>
    <row r="9">
      <c r="A9" s="5" t="inlineStr">
        <is>
          <t>Group</t>
        </is>
      </c>
      <c r="B9" s="25">
        <f>IF(Projection!B24="",NA(),Projection!B24)</f>
        <v/>
      </c>
      <c r="C9" s="25">
        <f>IF(Projection!C24="",NA(),Projection!C24)</f>
        <v/>
      </c>
      <c r="D9" s="25">
        <f>IF(Projection!D24="",NA(),Projection!D24)</f>
        <v/>
      </c>
      <c r="E9" s="25">
        <f>IF(Projection!E24="",NA(),Projection!E24)</f>
        <v/>
      </c>
      <c r="F9" s="25">
        <f>IF(Projection!F24="",NA(),Projection!F24)</f>
        <v/>
      </c>
      <c r="G9" s="25">
        <f>IF(Projection!G24="",NA(),Projection!G24)</f>
        <v/>
      </c>
      <c r="H9" s="25">
        <f>IF(Projection!H24="",NA(),Projection!H24)</f>
        <v/>
      </c>
      <c r="I9" s="25">
        <f>IF(Projection!I24="",NA(),Projection!I24)</f>
        <v/>
      </c>
      <c r="J9" s="25">
        <f>IF(Projection!J24="",NA(),Projection!J24)</f>
        <v/>
      </c>
      <c r="K9" s="25">
        <f>IF(Projection!K24="",NA(),Projection!K24)</f>
        <v/>
      </c>
      <c r="L9" s="25">
        <f>IF(Projection!L24="",NA(),Projection!L24)</f>
        <v/>
      </c>
      <c r="M9" s="25">
        <f>IF(Projection!M24="",NA(),Projection!M24)</f>
        <v/>
      </c>
      <c r="N9" s="25">
        <f>IF(Projection!N24="",NA(),Projection!N24)</f>
        <v/>
      </c>
      <c r="O9" s="25">
        <f>IF(Projection!O24="",NA(),Projection!O24)</f>
        <v/>
      </c>
      <c r="P9" s="25">
        <f>IF(Projection!P24="",NA(),Projection!P24)</f>
        <v/>
      </c>
      <c r="Q9" s="25">
        <f>IF(Projection!Q24="",NA(),Projection!Q24)</f>
        <v/>
      </c>
      <c r="R9" s="25">
        <f>IF(Projection!R24="",NA(),Projection!R24)</f>
        <v/>
      </c>
      <c r="S9" s="25">
        <f>IF(Projection!S24="",NA(),Projection!S24)</f>
        <v/>
      </c>
    </row>
    <row r="10">
      <c r="A10" s="5" t="inlineStr">
        <is>
          <t>CARFAX</t>
        </is>
      </c>
      <c r="B10" s="25">
        <f>IF(Projection!B25="",NA(),Projection!B25)</f>
        <v/>
      </c>
      <c r="C10" s="25">
        <f>IF(Projection!C25="",NA(),Projection!C25)</f>
        <v/>
      </c>
      <c r="D10" s="25">
        <f>IF(Projection!D25="",NA(),Projection!D25)</f>
        <v/>
      </c>
      <c r="E10" s="25">
        <f>IF(Projection!E25="",NA(),Projection!E25)</f>
        <v/>
      </c>
      <c r="F10" s="25">
        <f>IF(Projection!F25="",NA(),Projection!F25)</f>
        <v/>
      </c>
      <c r="G10" s="25">
        <f>IF(Projection!G25="",NA(),Projection!G25)</f>
        <v/>
      </c>
      <c r="H10" s="25">
        <f>IF(Projection!H25="",NA(),Projection!H25)</f>
        <v/>
      </c>
      <c r="I10" s="25">
        <f>IF(Projection!I25="",NA(),Projection!I25)</f>
        <v/>
      </c>
      <c r="J10" s="25">
        <f>IF(Projection!J25="",NA(),Projection!J25)</f>
        <v/>
      </c>
      <c r="K10" s="25">
        <f>IF(Projection!K25="",NA(),Projection!K25)</f>
        <v/>
      </c>
      <c r="L10" s="25">
        <f>IF(Projection!L25="",NA(),Projection!L25)</f>
        <v/>
      </c>
      <c r="M10" s="25">
        <f>IF(Projection!M25="",NA(),Projection!M25)</f>
        <v/>
      </c>
      <c r="N10" s="25">
        <f>IF(Projection!N25="",NA(),Projection!N25)</f>
        <v/>
      </c>
      <c r="O10" s="25">
        <f>IF(Projection!O25="",NA(),Projection!O25)</f>
        <v/>
      </c>
      <c r="P10" s="25">
        <f>IF(Projection!P25="",NA(),Projection!P25)</f>
        <v/>
      </c>
      <c r="Q10" s="25">
        <f>IF(Projection!Q25="",NA(),Projection!Q25)</f>
        <v/>
      </c>
      <c r="R10" s="25">
        <f>IF(Projection!R25="",NA(),Projection!R25)</f>
        <v/>
      </c>
      <c r="S10" s="25">
        <f>IF(Projection!S25="",NA(),Projection!S25)</f>
        <v/>
      </c>
    </row>
    <row r="11">
      <c r="A11" s="5" t="inlineStr">
        <is>
          <t>B2B</t>
        </is>
      </c>
      <c r="B11" s="25">
        <f>IF(Projection!B26="",NA(),Projection!B26)</f>
        <v/>
      </c>
      <c r="C11" s="25">
        <f>IF(Projection!C26="",NA(),Projection!C26)</f>
        <v/>
      </c>
      <c r="D11" s="25">
        <f>IF(Projection!D26="",NA(),Projection!D26)</f>
        <v/>
      </c>
      <c r="E11" s="25">
        <f>IF(Projection!E26="",NA(),Projection!E26)</f>
        <v/>
      </c>
      <c r="F11" s="25">
        <f>IF(Projection!F26="",NA(),Projection!F26)</f>
        <v/>
      </c>
      <c r="G11" s="25">
        <f>IF(Projection!G26="",NA(),Projection!G26)</f>
        <v/>
      </c>
      <c r="H11" s="25">
        <f>IF(Projection!H26="",NA(),Projection!H26)</f>
        <v/>
      </c>
      <c r="I11" s="25">
        <f>IF(Projection!I26="",NA(),Projection!I26)</f>
        <v/>
      </c>
      <c r="J11" s="25">
        <f>IF(Projection!J26="",NA(),Projection!J26)</f>
        <v/>
      </c>
      <c r="K11" s="25">
        <f>IF(Projection!K26="",NA(),Projection!K26)</f>
        <v/>
      </c>
      <c r="L11" s="25">
        <f>IF(Projection!L26="",NA(),Projection!L26)</f>
        <v/>
      </c>
      <c r="M11" s="25">
        <f>IF(Projection!M26="",NA(),Projection!M26)</f>
        <v/>
      </c>
      <c r="N11" s="25">
        <f>IF(Projection!N26="",NA(),Projection!N26)</f>
        <v/>
      </c>
      <c r="O11" s="25">
        <f>IF(Projection!O26="",NA(),Projection!O26)</f>
        <v/>
      </c>
      <c r="P11" s="25">
        <f>IF(Projection!P26="",NA(),Projection!P26)</f>
        <v/>
      </c>
      <c r="Q11" s="25">
        <f>IF(Projection!Q26="",NA(),Projection!Q26)</f>
        <v/>
      </c>
      <c r="R11" s="25">
        <f>IF(Projection!R26="",NA(),Projection!R26)</f>
        <v/>
      </c>
      <c r="S11" s="25">
        <f>IF(Projection!S26="",NA(),Projection!S26)</f>
        <v/>
      </c>
    </row>
    <row r="13">
      <c r="A13" s="10" t="inlineStr">
        <is>
          <t>Group growth: price vs volume (pt)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</row>
    <row r="14">
      <c r="A14" s="5" t="inlineStr">
        <is>
          <t>Price</t>
        </is>
      </c>
      <c r="B14" s="25">
        <f>IF(Projection!B29="",NA(),Projection!B29)</f>
        <v/>
      </c>
      <c r="C14" s="25">
        <f>IF(Projection!C29="",NA(),Projection!C29)</f>
        <v/>
      </c>
      <c r="D14" s="25">
        <f>IF(Projection!D29="",NA(),Projection!D29)</f>
        <v/>
      </c>
      <c r="E14" s="25">
        <f>IF(Projection!E29="",NA(),Projection!E29)</f>
        <v/>
      </c>
      <c r="F14" s="25">
        <f>IF(Projection!F29="",NA(),Projection!F29)</f>
        <v/>
      </c>
      <c r="G14" s="25">
        <f>IF(Projection!G29="",NA(),Projection!G29)</f>
        <v/>
      </c>
      <c r="H14" s="25">
        <f>IF(Projection!H29="",NA(),Projection!H29)</f>
        <v/>
      </c>
      <c r="I14" s="25">
        <f>IF(Projection!I29="",NA(),Projection!I29)</f>
        <v/>
      </c>
      <c r="J14" s="25">
        <f>IF(Projection!J29="",NA(),Projection!J29)</f>
        <v/>
      </c>
      <c r="K14" s="25">
        <f>IF(Projection!K29="",NA(),Projection!K29)</f>
        <v/>
      </c>
      <c r="L14" s="25">
        <f>IF(Projection!L29="",NA(),Projection!L29)</f>
        <v/>
      </c>
      <c r="M14" s="25">
        <f>IF(Projection!M29="",NA(),Projection!M29)</f>
        <v/>
      </c>
      <c r="N14" s="25">
        <f>IF(Projection!N29="",NA(),Projection!N29)</f>
        <v/>
      </c>
      <c r="O14" s="25">
        <f>IF(Projection!O29="",NA(),Projection!O29)</f>
        <v/>
      </c>
      <c r="P14" s="25">
        <f>IF(Projection!P29="",NA(),Projection!P29)</f>
        <v/>
      </c>
      <c r="Q14" s="25">
        <f>IF(Projection!Q29="",NA(),Projection!Q29)</f>
        <v/>
      </c>
      <c r="R14" s="25">
        <f>IF(Projection!R29="",NA(),Projection!R29)</f>
        <v/>
      </c>
      <c r="S14" s="25">
        <f>IF(Projection!S29="",NA(),Projection!S29)</f>
        <v/>
      </c>
    </row>
    <row r="15">
      <c r="A15" s="5" t="inlineStr">
        <is>
          <t>Volume / other</t>
        </is>
      </c>
      <c r="B15" s="25">
        <f>IF(Projection!B30="",NA(),Projection!B30)</f>
        <v/>
      </c>
      <c r="C15" s="25">
        <f>IF(Projection!C30="",NA(),Projection!C30)</f>
        <v/>
      </c>
      <c r="D15" s="25">
        <f>IF(Projection!D30="",NA(),Projection!D30)</f>
        <v/>
      </c>
      <c r="E15" s="25">
        <f>IF(Projection!E30="",NA(),Projection!E30)</f>
        <v/>
      </c>
      <c r="F15" s="25">
        <f>IF(Projection!F30="",NA(),Projection!F30)</f>
        <v/>
      </c>
      <c r="G15" s="25">
        <f>IF(Projection!G30="",NA(),Projection!G30)</f>
        <v/>
      </c>
      <c r="H15" s="25">
        <f>IF(Projection!H30="",NA(),Projection!H30)</f>
        <v/>
      </c>
      <c r="I15" s="25">
        <f>IF(Projection!I30="",NA(),Projection!I30)</f>
        <v/>
      </c>
      <c r="J15" s="25">
        <f>IF(Projection!J30="",NA(),Projection!J30)</f>
        <v/>
      </c>
      <c r="K15" s="25">
        <f>IF(Projection!K30="",NA(),Projection!K30)</f>
        <v/>
      </c>
      <c r="L15" s="25">
        <f>IF(Projection!L30="",NA(),Projection!L30)</f>
        <v/>
      </c>
      <c r="M15" s="25">
        <f>IF(Projection!M30="",NA(),Projection!M30)</f>
        <v/>
      </c>
      <c r="N15" s="25">
        <f>IF(Projection!N30="",NA(),Projection!N30)</f>
        <v/>
      </c>
      <c r="O15" s="25">
        <f>IF(Projection!O30="",NA(),Projection!O30)</f>
        <v/>
      </c>
      <c r="P15" s="25">
        <f>IF(Projection!P30="",NA(),Projection!P30)</f>
        <v/>
      </c>
      <c r="Q15" s="25">
        <f>IF(Projection!Q30="",NA(),Projection!Q30)</f>
        <v/>
      </c>
      <c r="R15" s="25">
        <f>IF(Projection!R30="",NA(),Projection!R30)</f>
        <v/>
      </c>
      <c r="S15" s="25">
        <f>IF(Projection!S30="",NA(),Projection!S30)</f>
        <v/>
      </c>
    </row>
    <row r="17">
      <c r="A17" s="10" t="inlineStr">
        <is>
          <t>Margins (%)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</row>
    <row r="18">
      <c r="A18" s="5" t="inlineStr">
        <is>
          <t>Adj. EBITDA margin</t>
        </is>
      </c>
      <c r="B18" s="25">
        <f>IF(Projection!B35="",NA(),Projection!B35)</f>
        <v/>
      </c>
      <c r="C18" s="25">
        <f>IF(Projection!C35="",NA(),Projection!C35)</f>
        <v/>
      </c>
      <c r="D18" s="25">
        <f>IF(Projection!D35="",NA(),Projection!D35)</f>
        <v/>
      </c>
      <c r="E18" s="25">
        <f>IF(Projection!E35="",NA(),Projection!E35)</f>
        <v/>
      </c>
      <c r="F18" s="25">
        <f>IF(Projection!F35="",NA(),Projection!F35)</f>
        <v/>
      </c>
      <c r="G18" s="25">
        <f>IF(Projection!G35="",NA(),Projection!G35)</f>
        <v/>
      </c>
      <c r="H18" s="25">
        <f>IF(Projection!H35="",NA(),Projection!H35)</f>
        <v/>
      </c>
      <c r="I18" s="25">
        <f>IF(Projection!I35="",NA(),Projection!I35)</f>
        <v/>
      </c>
      <c r="J18" s="25">
        <f>IF(Projection!J35="",NA(),Projection!J35)</f>
        <v/>
      </c>
      <c r="K18" s="25">
        <f>IF(Projection!K35="",NA(),Projection!K35)</f>
        <v/>
      </c>
      <c r="L18" s="25">
        <f>IF(Projection!L35="",NA(),Projection!L35)</f>
        <v/>
      </c>
      <c r="M18" s="25">
        <f>IF(Projection!M35="",NA(),Projection!M35)</f>
        <v/>
      </c>
      <c r="N18" s="25">
        <f>IF(Projection!N35="",NA(),Projection!N35)</f>
        <v/>
      </c>
      <c r="O18" s="25">
        <f>IF(Projection!O35="",NA(),Projection!O35)</f>
        <v/>
      </c>
      <c r="P18" s="25">
        <f>IF(Projection!P35="",NA(),Projection!P35)</f>
        <v/>
      </c>
      <c r="Q18" s="25">
        <f>IF(Projection!Q35="",NA(),Projection!Q35)</f>
        <v/>
      </c>
      <c r="R18" s="25">
        <f>IF(Projection!R35="",NA(),Projection!R35)</f>
        <v/>
      </c>
      <c r="S18" s="25">
        <f>IF(Projection!S35="",NA(),Projection!S35)</f>
        <v/>
      </c>
    </row>
    <row r="19">
      <c r="A19" s="5" t="inlineStr">
        <is>
          <t>Adj. EBITDA margin after SBC</t>
        </is>
      </c>
      <c r="B19" s="25">
        <f>IF(Projection!B37="",NA(),Projection!B37)</f>
        <v/>
      </c>
      <c r="C19" s="25">
        <f>IF(Projection!C37="",NA(),Projection!C37)</f>
        <v/>
      </c>
      <c r="D19" s="25">
        <f>IF(Projection!D37="",NA(),Projection!D37)</f>
        <v/>
      </c>
      <c r="E19" s="25">
        <f>IF(Projection!E37="",NA(),Projection!E37)</f>
        <v/>
      </c>
      <c r="F19" s="25">
        <f>IF(Projection!F37="",NA(),Projection!F37)</f>
        <v/>
      </c>
      <c r="G19" s="25">
        <f>IF(Projection!G37="",NA(),Projection!G37)</f>
        <v/>
      </c>
      <c r="H19" s="25">
        <f>IF(Projection!H37="",NA(),Projection!H37)</f>
        <v/>
      </c>
      <c r="I19" s="25">
        <f>IF(Projection!I37="",NA(),Projection!I37)</f>
        <v/>
      </c>
      <c r="J19" s="25">
        <f>IF(Projection!J37="",NA(),Projection!J37)</f>
        <v/>
      </c>
      <c r="K19" s="25">
        <f>IF(Projection!K37="",NA(),Projection!K37)</f>
        <v/>
      </c>
      <c r="L19" s="25">
        <f>IF(Projection!L37="",NA(),Projection!L37)</f>
        <v/>
      </c>
      <c r="M19" s="25">
        <f>IF(Projection!M37="",NA(),Projection!M37)</f>
        <v/>
      </c>
      <c r="N19" s="25">
        <f>IF(Projection!N37="",NA(),Projection!N37)</f>
        <v/>
      </c>
      <c r="O19" s="25">
        <f>IF(Projection!O37="",NA(),Projection!O37)</f>
        <v/>
      </c>
      <c r="P19" s="25">
        <f>IF(Projection!P37="",NA(),Projection!P37)</f>
        <v/>
      </c>
      <c r="Q19" s="25">
        <f>IF(Projection!Q37="",NA(),Projection!Q37)</f>
        <v/>
      </c>
      <c r="R19" s="25">
        <f>IF(Projection!R37="",NA(),Projection!R37)</f>
        <v/>
      </c>
      <c r="S19" s="25">
        <f>IF(Projection!S37="",NA(),Projection!S37)</f>
        <v/>
      </c>
    </row>
    <row r="20">
      <c r="A20" s="5" t="inlineStr">
        <is>
          <t>FCF margin before SBC</t>
        </is>
      </c>
      <c r="B20" s="25">
        <f>IF(Projection!B52="",NA(),Projection!B52)</f>
        <v/>
      </c>
      <c r="C20" s="25">
        <f>IF(Projection!C52="",NA(),Projection!C52)</f>
        <v/>
      </c>
      <c r="D20" s="25">
        <f>IF(Projection!D52="",NA(),Projection!D52)</f>
        <v/>
      </c>
      <c r="E20" s="25">
        <f>IF(Projection!E52="",NA(),Projection!E52)</f>
        <v/>
      </c>
      <c r="F20" s="25">
        <f>IF(Projection!F52="",NA(),Projection!F52)</f>
        <v/>
      </c>
      <c r="G20" s="25">
        <f>IF(Projection!G52="",NA(),Projection!G52)</f>
        <v/>
      </c>
      <c r="H20" s="25">
        <f>IF(Projection!H52="",NA(),Projection!H52)</f>
        <v/>
      </c>
      <c r="I20" s="25">
        <f>IF(Projection!I52="",NA(),Projection!I52)</f>
        <v/>
      </c>
      <c r="J20" s="25">
        <f>IF(Projection!J52="",NA(),Projection!J52)</f>
        <v/>
      </c>
      <c r="K20" s="25">
        <f>IF(Projection!K52="",NA(),Projection!K52)</f>
        <v/>
      </c>
      <c r="L20" s="25">
        <f>IF(Projection!L52="",NA(),Projection!L52)</f>
        <v/>
      </c>
      <c r="M20" s="25">
        <f>IF(Projection!M52="",NA(),Projection!M52)</f>
        <v/>
      </c>
      <c r="N20" s="25">
        <f>IF(Projection!N52="",NA(),Projection!N52)</f>
        <v/>
      </c>
      <c r="O20" s="25">
        <f>IF(Projection!O52="",NA(),Projection!O52)</f>
        <v/>
      </c>
      <c r="P20" s="25">
        <f>IF(Projection!P52="",NA(),Projection!P52)</f>
        <v/>
      </c>
      <c r="Q20" s="25">
        <f>IF(Projection!Q52="",NA(),Projection!Q52)</f>
        <v/>
      </c>
      <c r="R20" s="25">
        <f>IF(Projection!R52="",NA(),Projection!R52)</f>
        <v/>
      </c>
      <c r="S20" s="25">
        <f>IF(Projection!S52="",NA(),Projection!S52)</f>
        <v/>
      </c>
    </row>
    <row r="21">
      <c r="A21" s="5" t="inlineStr">
        <is>
          <t>FCF margin after SBC</t>
        </is>
      </c>
      <c r="B21" s="25">
        <f>IF(Projection!B53="",NA(),Projection!B53)</f>
        <v/>
      </c>
      <c r="C21" s="25">
        <f>IF(Projection!C53="",NA(),Projection!C53)</f>
        <v/>
      </c>
      <c r="D21" s="25">
        <f>IF(Projection!D53="",NA(),Projection!D53)</f>
        <v/>
      </c>
      <c r="E21" s="25">
        <f>IF(Projection!E53="",NA(),Projection!E53)</f>
        <v/>
      </c>
      <c r="F21" s="25">
        <f>IF(Projection!F53="",NA(),Projection!F53)</f>
        <v/>
      </c>
      <c r="G21" s="25">
        <f>IF(Projection!G53="",NA(),Projection!G53)</f>
        <v/>
      </c>
      <c r="H21" s="25">
        <f>IF(Projection!H53="",NA(),Projection!H53)</f>
        <v/>
      </c>
      <c r="I21" s="25">
        <f>IF(Projection!I53="",NA(),Projection!I53)</f>
        <v/>
      </c>
      <c r="J21" s="25">
        <f>IF(Projection!J53="",NA(),Projection!J53)</f>
        <v/>
      </c>
      <c r="K21" s="25">
        <f>IF(Projection!K53="",NA(),Projection!K53)</f>
        <v/>
      </c>
      <c r="L21" s="25">
        <f>IF(Projection!L53="",NA(),Projection!L53)</f>
        <v/>
      </c>
      <c r="M21" s="25">
        <f>IF(Projection!M53="",NA(),Projection!M53)</f>
        <v/>
      </c>
      <c r="N21" s="25">
        <f>IF(Projection!N53="",NA(),Projection!N53)</f>
        <v/>
      </c>
      <c r="O21" s="25">
        <f>IF(Projection!O53="",NA(),Projection!O53)</f>
        <v/>
      </c>
      <c r="P21" s="25">
        <f>IF(Projection!P53="",NA(),Projection!P53)</f>
        <v/>
      </c>
      <c r="Q21" s="25">
        <f>IF(Projection!Q53="",NA(),Projection!Q53)</f>
        <v/>
      </c>
      <c r="R21" s="25">
        <f>IF(Projection!R53="",NA(),Projection!R53)</f>
        <v/>
      </c>
      <c r="S21" s="25">
        <f>IF(Projection!S53="",NA(),Projection!S53)</f>
        <v/>
      </c>
    </row>
    <row r="23">
      <c r="A23" s="10" t="inlineStr">
        <is>
          <t>FCF ($m)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</row>
    <row r="24">
      <c r="A24" s="5" t="inlineStr">
        <is>
          <t>Adj. EBITDA</t>
        </is>
      </c>
      <c r="B24" s="24">
        <f>IF(Projection!B34="",NA(),Projection!B34)</f>
        <v/>
      </c>
      <c r="C24" s="24">
        <f>IF(Projection!C34="",NA(),Projection!C34)</f>
        <v/>
      </c>
      <c r="D24" s="24">
        <f>IF(Projection!D34="",NA(),Projection!D34)</f>
        <v/>
      </c>
      <c r="E24" s="24">
        <f>IF(Projection!E34="",NA(),Projection!E34)</f>
        <v/>
      </c>
      <c r="F24" s="24">
        <f>IF(Projection!F34="",NA(),Projection!F34)</f>
        <v/>
      </c>
      <c r="G24" s="24">
        <f>IF(Projection!G34="",NA(),Projection!G34)</f>
        <v/>
      </c>
      <c r="H24" s="24">
        <f>IF(Projection!H34="",NA(),Projection!H34)</f>
        <v/>
      </c>
      <c r="I24" s="24">
        <f>IF(Projection!I34="",NA(),Projection!I34)</f>
        <v/>
      </c>
      <c r="J24" s="24">
        <f>IF(Projection!J34="",NA(),Projection!J34)</f>
        <v/>
      </c>
      <c r="K24" s="24">
        <f>IF(Projection!K34="",NA(),Projection!K34)</f>
        <v/>
      </c>
      <c r="L24" s="24">
        <f>IF(Projection!L34="",NA(),Projection!L34)</f>
        <v/>
      </c>
      <c r="M24" s="24">
        <f>IF(Projection!M34="",NA(),Projection!M34)</f>
        <v/>
      </c>
      <c r="N24" s="24">
        <f>IF(Projection!N34="",NA(),Projection!N34)</f>
        <v/>
      </c>
      <c r="O24" s="24">
        <f>IF(Projection!O34="",NA(),Projection!O34)</f>
        <v/>
      </c>
      <c r="P24" s="24">
        <f>IF(Projection!P34="",NA(),Projection!P34)</f>
        <v/>
      </c>
      <c r="Q24" s="24">
        <f>IF(Projection!Q34="",NA(),Projection!Q34)</f>
        <v/>
      </c>
      <c r="R24" s="24">
        <f>IF(Projection!R34="",NA(),Projection!R34)</f>
        <v/>
      </c>
      <c r="S24" s="24">
        <f>IF(Projection!S34="",NA(),Projection!S34)</f>
        <v/>
      </c>
    </row>
    <row r="25">
      <c r="A25" s="5" t="inlineStr">
        <is>
          <t>FCF before SBC</t>
        </is>
      </c>
      <c r="B25" s="24">
        <f>IF(Projection!B49="",NA(),Projection!B49)</f>
        <v/>
      </c>
      <c r="C25" s="24">
        <f>IF(Projection!C49="",NA(),Projection!C49)</f>
        <v/>
      </c>
      <c r="D25" s="24">
        <f>IF(Projection!D49="",NA(),Projection!D49)</f>
        <v/>
      </c>
      <c r="E25" s="24">
        <f>IF(Projection!E49="",NA(),Projection!E49)</f>
        <v/>
      </c>
      <c r="F25" s="24">
        <f>IF(Projection!F49="",NA(),Projection!F49)</f>
        <v/>
      </c>
      <c r="G25" s="24">
        <f>IF(Projection!G49="",NA(),Projection!G49)</f>
        <v/>
      </c>
      <c r="H25" s="24">
        <f>IF(Projection!H49="",NA(),Projection!H49)</f>
        <v/>
      </c>
      <c r="I25" s="24">
        <f>IF(Projection!I49="",NA(),Projection!I49)</f>
        <v/>
      </c>
      <c r="J25" s="24">
        <f>IF(Projection!J49="",NA(),Projection!J49)</f>
        <v/>
      </c>
      <c r="K25" s="24">
        <f>IF(Projection!K49="",NA(),Projection!K49)</f>
        <v/>
      </c>
      <c r="L25" s="24">
        <f>IF(Projection!L49="",NA(),Projection!L49)</f>
        <v/>
      </c>
      <c r="M25" s="24">
        <f>IF(Projection!M49="",NA(),Projection!M49)</f>
        <v/>
      </c>
      <c r="N25" s="24">
        <f>IF(Projection!N49="",NA(),Projection!N49)</f>
        <v/>
      </c>
      <c r="O25" s="24">
        <f>IF(Projection!O49="",NA(),Projection!O49)</f>
        <v/>
      </c>
      <c r="P25" s="24">
        <f>IF(Projection!P49="",NA(),Projection!P49)</f>
        <v/>
      </c>
      <c r="Q25" s="24">
        <f>IF(Projection!Q49="",NA(),Projection!Q49)</f>
        <v/>
      </c>
      <c r="R25" s="24">
        <f>IF(Projection!R49="",NA(),Projection!R49)</f>
        <v/>
      </c>
      <c r="S25" s="24">
        <f>IF(Projection!S49="",NA(),Projection!S49)</f>
        <v/>
      </c>
    </row>
    <row r="26">
      <c r="A26" s="5" t="inlineStr">
        <is>
          <t>FCF after SBC</t>
        </is>
      </c>
      <c r="B26" s="24">
        <f>IF(Projection!B50="",NA(),Projection!B50)</f>
        <v/>
      </c>
      <c r="C26" s="24">
        <f>IF(Projection!C50="",NA(),Projection!C50)</f>
        <v/>
      </c>
      <c r="D26" s="24">
        <f>IF(Projection!D50="",NA(),Projection!D50)</f>
        <v/>
      </c>
      <c r="E26" s="24">
        <f>IF(Projection!E50="",NA(),Projection!E50)</f>
        <v/>
      </c>
      <c r="F26" s="24">
        <f>IF(Projection!F50="",NA(),Projection!F50)</f>
        <v/>
      </c>
      <c r="G26" s="24">
        <f>IF(Projection!G50="",NA(),Projection!G50)</f>
        <v/>
      </c>
      <c r="H26" s="24">
        <f>IF(Projection!H50="",NA(),Projection!H50)</f>
        <v/>
      </c>
      <c r="I26" s="24">
        <f>IF(Projection!I50="",NA(),Projection!I50)</f>
        <v/>
      </c>
      <c r="J26" s="24">
        <f>IF(Projection!J50="",NA(),Projection!J50)</f>
        <v/>
      </c>
      <c r="K26" s="24">
        <f>IF(Projection!K50="",NA(),Projection!K50)</f>
        <v/>
      </c>
      <c r="L26" s="24">
        <f>IF(Projection!L50="",NA(),Projection!L50)</f>
        <v/>
      </c>
      <c r="M26" s="24">
        <f>IF(Projection!M50="",NA(),Projection!M50)</f>
        <v/>
      </c>
      <c r="N26" s="24">
        <f>IF(Projection!N50="",NA(),Projection!N50)</f>
        <v/>
      </c>
      <c r="O26" s="24">
        <f>IF(Projection!O50="",NA(),Projection!O50)</f>
        <v/>
      </c>
      <c r="P26" s="24">
        <f>IF(Projection!P50="",NA(),Projection!P50)</f>
        <v/>
      </c>
      <c r="Q26" s="24">
        <f>IF(Projection!Q50="",NA(),Projection!Q50)</f>
        <v/>
      </c>
      <c r="R26" s="24">
        <f>IF(Projection!R50="",NA(),Projection!R50)</f>
        <v/>
      </c>
      <c r="S26" s="24">
        <f>IF(Projection!S50="",NA(),Projection!S50)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52" customWidth="1" min="9" max="9"/>
  </cols>
  <sheetData>
    <row r="1">
      <c r="A1" s="1" t="inlineStr">
        <is>
          <t>Peer benchmarks: medium/long-term growth and margin (APPROXIMATE, not verified)</t>
        </is>
      </c>
    </row>
    <row r="3">
      <c r="A3" s="3" t="inlineStr">
        <is>
          <t>Company</t>
        </is>
      </c>
      <c r="B3" s="4" t="inlineStr">
        <is>
          <t>Ticker</t>
        </is>
      </c>
      <c r="C3" s="4" t="inlineStr">
        <is>
          <t>Group</t>
        </is>
      </c>
      <c r="D3" s="4" t="inlineStr">
        <is>
          <t>Organic growth low</t>
        </is>
      </c>
      <c r="E3" s="4" t="inlineStr">
        <is>
          <t>Organic growth high</t>
        </is>
      </c>
      <c r="F3" s="4" t="inlineStr">
        <is>
          <t>Growth mid</t>
        </is>
      </c>
      <c r="G3" s="4" t="inlineStr">
        <is>
          <t>EBITDA margin (approx.)</t>
        </is>
      </c>
      <c r="H3" s="4" t="inlineStr">
        <is>
          <t>Price share of growth</t>
        </is>
      </c>
      <c r="I3" s="4" t="inlineStr">
        <is>
          <t>Relevance</t>
        </is>
      </c>
    </row>
    <row r="4">
      <c r="A4" s="8" t="inlineStr">
        <is>
          <t>Mobility Global (target)</t>
        </is>
      </c>
      <c r="B4" s="5" t="inlineStr">
        <is>
          <t>MBGL</t>
        </is>
      </c>
      <c r="C4" s="5" t="inlineStr">
        <is>
          <t>Subject</t>
        </is>
      </c>
      <c r="D4" s="6" t="n">
        <v>0.075</v>
      </c>
      <c r="E4" s="6" t="n">
        <v>0.1</v>
      </c>
      <c r="F4" s="7">
        <f>AVERAGE(D4:E4)</f>
        <v/>
      </c>
      <c r="G4" s="6" t="n">
        <v>0.406</v>
      </c>
      <c r="H4" s="5" t="inlineStr">
        <is>
          <t>Majority (~55% H1-26)</t>
        </is>
      </c>
      <c r="I4" s="5" t="inlineStr">
        <is>
          <t>Medium-term framework [IR]; FY25 margin [D]</t>
        </is>
      </c>
    </row>
    <row r="5">
      <c r="A5" s="5" t="inlineStr">
        <is>
          <t>Auto Trader Group</t>
        </is>
      </c>
      <c r="B5" s="5" t="inlineStr">
        <is>
          <t>AUTO LN</t>
        </is>
      </c>
      <c r="C5" s="5" t="inlineStr">
        <is>
          <t>Dealer-pay marketplace</t>
        </is>
      </c>
      <c r="D5" s="6" t="n">
        <v>0.07000000000000001</v>
      </c>
      <c r="E5" s="6" t="n">
        <v>0.1</v>
      </c>
      <c r="F5" s="7">
        <f>AVERAGE(D5:E5)</f>
        <v/>
      </c>
      <c r="G5" s="6" t="n">
        <v>0.7</v>
      </c>
      <c r="H5" s="5" t="inlineStr">
        <is>
          <t>High (ARPR-led)</t>
        </is>
      </c>
      <c r="I5" s="5" t="inlineStr">
        <is>
          <t>Best analogue for mature CARFAX: flat retailer count, ARPR growth</t>
        </is>
      </c>
    </row>
    <row r="6">
      <c r="A6" s="5" t="inlineStr">
        <is>
          <t>Verisk</t>
        </is>
      </c>
      <c r="B6" s="5" t="inlineStr">
        <is>
          <t>VRSK</t>
        </is>
      </c>
      <c r="C6" s="5" t="inlineStr">
        <is>
          <t>Data &amp; analytics</t>
        </is>
      </c>
      <c r="D6" s="6" t="n">
        <v>0.07000000000000001</v>
      </c>
      <c r="E6" s="6" t="n">
        <v>0.08</v>
      </c>
      <c r="F6" s="7">
        <f>AVERAGE(D6:E6)</f>
        <v/>
      </c>
      <c r="G6" s="6" t="n">
        <v>0.55</v>
      </c>
      <c r="H6" s="5" t="inlineStr">
        <is>
          <t>Mixed</t>
        </is>
      </c>
      <c r="I6" s="5" t="inlineStr">
        <is>
          <t>Contributed data / insurance; data-margin ceiling</t>
        </is>
      </c>
    </row>
    <row r="7">
      <c r="A7" s="5" t="inlineStr">
        <is>
          <t>CCC Intelligent Solutions</t>
        </is>
      </c>
      <c r="B7" s="5" t="inlineStr">
        <is>
          <t>CCCS</t>
        </is>
      </c>
      <c r="C7" s="5" t="inlineStr">
        <is>
          <t>Auto data &amp; software</t>
        </is>
      </c>
      <c r="D7" s="6" t="n">
        <v>0.07000000000000001</v>
      </c>
      <c r="E7" s="6" t="n">
        <v>0.09</v>
      </c>
      <c r="F7" s="7">
        <f>AVERAGE(D7:E7)</f>
        <v/>
      </c>
      <c r="G7" s="6" t="n">
        <v>0.41</v>
      </c>
      <c r="H7" s="5" t="inlineStr">
        <is>
          <t>Mixed (cross-sell)</t>
        </is>
      </c>
      <c r="I7" s="5" t="inlineStr">
        <is>
          <t>Auto claims, insurers, repairers; B2B analogue</t>
        </is>
      </c>
    </row>
    <row r="8">
      <c r="A8" s="5" t="inlineStr">
        <is>
          <t>Fair Isaac (Scores)</t>
        </is>
      </c>
      <c r="B8" s="5" t="inlineStr">
        <is>
          <t>FICO</t>
        </is>
      </c>
      <c r="C8" s="5" t="inlineStr">
        <is>
          <t>Data &amp; analytics</t>
        </is>
      </c>
      <c r="D8" s="6" t="n">
        <v>0.1</v>
      </c>
      <c r="E8" s="6" t="n">
        <v>0.12</v>
      </c>
      <c r="F8" s="7">
        <f>AVERAGE(D8:E8)</f>
        <v/>
      </c>
      <c r="G8" s="6" t="n">
        <v>0.55</v>
      </c>
      <c r="H8" s="5" t="inlineStr">
        <is>
          <t>Very high</t>
        </is>
      </c>
      <c r="I8" s="5" t="inlineStr">
        <is>
          <t>Limits of pricing power; regulatory backlash risk</t>
        </is>
      </c>
    </row>
    <row r="9">
      <c r="A9" s="5" t="inlineStr">
        <is>
          <t>Experian</t>
        </is>
      </c>
      <c r="B9" s="5" t="inlineStr">
        <is>
          <t>EXPN LN</t>
        </is>
      </c>
      <c r="C9" s="5" t="inlineStr">
        <is>
          <t>Credit bureau</t>
        </is>
      </c>
      <c r="D9" s="6" t="n">
        <v>0.05</v>
      </c>
      <c r="E9" s="6" t="n">
        <v>0.08</v>
      </c>
      <c r="F9" s="7">
        <f>AVERAGE(D9:E9)</f>
        <v/>
      </c>
      <c r="G9" s="6" t="n">
        <v>0.37</v>
      </c>
      <c r="H9" s="5" t="inlineStr">
        <is>
          <t>Moderate</t>
        </is>
      </c>
      <c r="I9" s="5" t="inlineStr">
        <is>
          <t>Owns AutoCheck; contributed-data economics</t>
        </is>
      </c>
    </row>
    <row r="10">
      <c r="A10" s="5" t="inlineStr">
        <is>
          <t>Equifax</t>
        </is>
      </c>
      <c r="B10" s="5" t="inlineStr">
        <is>
          <t>EFX</t>
        </is>
      </c>
      <c r="C10" s="5" t="inlineStr">
        <is>
          <t>Credit bureau</t>
        </is>
      </c>
      <c r="D10" s="6" t="n">
        <v>0.05</v>
      </c>
      <c r="E10" s="6" t="n">
        <v>0.08</v>
      </c>
      <c r="F10" s="7">
        <f>AVERAGE(D10:E10)</f>
        <v/>
      </c>
      <c r="G10" s="6" t="n">
        <v>0.33</v>
      </c>
      <c r="H10" s="5" t="inlineStr">
        <is>
          <t>Moderate</t>
        </is>
      </c>
      <c r="I10" s="5" t="inlineStr">
        <is>
          <t>Contributed-data economics</t>
        </is>
      </c>
    </row>
    <row r="11">
      <c r="A11" s="5" t="inlineStr">
        <is>
          <t>TransUnion</t>
        </is>
      </c>
      <c r="B11" s="5" t="inlineStr">
        <is>
          <t>TRU</t>
        </is>
      </c>
      <c r="C11" s="5" t="inlineStr">
        <is>
          <t>Credit bureau</t>
        </is>
      </c>
      <c r="D11" s="6" t="n">
        <v>0.05</v>
      </c>
      <c r="E11" s="6" t="n">
        <v>0.08</v>
      </c>
      <c r="F11" s="7">
        <f>AVERAGE(D11:E11)</f>
        <v/>
      </c>
      <c r="G11" s="6" t="n">
        <v>0.36</v>
      </c>
      <c r="H11" s="5" t="inlineStr">
        <is>
          <t>Moderate</t>
        </is>
      </c>
      <c r="I11" s="5" t="inlineStr">
        <is>
          <t>Contributed-data economics</t>
        </is>
      </c>
    </row>
    <row r="12">
      <c r="A12" s="5" t="inlineStr">
        <is>
          <t>CarGurus</t>
        </is>
      </c>
      <c r="B12" s="5" t="inlineStr">
        <is>
          <t>CARG</t>
        </is>
      </c>
      <c r="C12" s="5" t="inlineStr">
        <is>
          <t>Dealer-pay marketplace</t>
        </is>
      </c>
      <c r="D12" s="6" t="n">
        <v>0.03</v>
      </c>
      <c r="E12" s="6" t="n">
        <v>0.06</v>
      </c>
      <c r="F12" s="7">
        <f>AVERAGE(D12:E12)</f>
        <v/>
      </c>
      <c r="G12" s="6" t="n">
        <v>0.3</v>
      </c>
      <c r="H12" s="5" t="inlineStr">
        <is>
          <t>Mixed</t>
        </is>
      </c>
      <c r="I12" s="5" t="inlineStr">
        <is>
          <t>Competes for same US dealer budget</t>
        </is>
      </c>
    </row>
    <row r="13">
      <c r="A13" s="5" t="inlineStr">
        <is>
          <t>Cars.com</t>
        </is>
      </c>
      <c r="B13" s="5" t="inlineStr">
        <is>
          <t>CARS</t>
        </is>
      </c>
      <c r="C13" s="5" t="inlineStr">
        <is>
          <t>Dealer-pay marketplace</t>
        </is>
      </c>
      <c r="D13" s="6" t="n">
        <v>0.02</v>
      </c>
      <c r="E13" s="6" t="n">
        <v>0.05</v>
      </c>
      <c r="F13" s="7">
        <f>AVERAGE(D13:E13)</f>
        <v/>
      </c>
      <c r="G13" s="6" t="n">
        <v>0.29</v>
      </c>
      <c r="H13" s="5" t="inlineStr">
        <is>
          <t>Mixed</t>
        </is>
      </c>
      <c r="I13" s="5" t="inlineStr">
        <is>
          <t>Competes for same US dealer budget</t>
        </is>
      </c>
    </row>
    <row r="14">
      <c r="A14" s="5" t="inlineStr">
        <is>
          <t>REA Group</t>
        </is>
      </c>
      <c r="B14" s="5" t="inlineStr">
        <is>
          <t>REA AU</t>
        </is>
      </c>
      <c r="C14" s="5" t="inlineStr">
        <is>
          <t>Dominant-brand marketplace</t>
        </is>
      </c>
      <c r="D14" s="6" t="n">
        <v>0.08</v>
      </c>
      <c r="E14" s="6" t="n">
        <v>0.12</v>
      </c>
      <c r="F14" s="7">
        <f>AVERAGE(D14:E14)</f>
        <v/>
      </c>
      <c r="G14" s="6" t="n">
        <v>0.57</v>
      </c>
      <c r="H14" s="5" t="inlineStr">
        <is>
          <t>High</t>
        </is>
      </c>
      <c r="I14" s="5" t="inlineStr">
        <is>
          <t>Dominant-brand pricing benchmark</t>
        </is>
      </c>
    </row>
    <row r="15">
      <c r="A15" s="5" t="inlineStr">
        <is>
          <t>Rightmove</t>
        </is>
      </c>
      <c r="B15" s="5" t="inlineStr">
        <is>
          <t>RMV LN</t>
        </is>
      </c>
      <c r="C15" s="5" t="inlineStr">
        <is>
          <t>Dominant-brand marketplace</t>
        </is>
      </c>
      <c r="D15" s="6" t="n">
        <v>0.07000000000000001</v>
      </c>
      <c r="E15" s="6" t="n">
        <v>0.1</v>
      </c>
      <c r="F15" s="7">
        <f>AVERAGE(D15:E15)</f>
        <v/>
      </c>
      <c r="G15" s="6" t="n">
        <v>0.7</v>
      </c>
      <c r="H15" s="5" t="inlineStr">
        <is>
          <t>High</t>
        </is>
      </c>
      <c r="I15" s="5" t="inlineStr">
        <is>
          <t>Dominant-brand pricing benchmark (operating margin)</t>
        </is>
      </c>
    </row>
    <row r="17">
      <c r="A17" s="26" t="inlineStr">
        <is>
          <t>Peer figures are approximate from general knowledge and NOT verified for this project. Auto Trader and Rightmove are operating margins. Replace with filed figures before external use.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History: IHS Markit Transportation (FY14-21, Nov FYE) and Mobility carve-out (FY23-25) [D]</t>
        </is>
      </c>
    </row>
    <row r="3">
      <c r="A3" s="3" t="inlineStr">
        <is>
          <t>$m</t>
        </is>
      </c>
      <c r="B3" s="4" t="inlineStr">
        <is>
          <t>FY2014</t>
        </is>
      </c>
      <c r="C3" s="4" t="inlineStr">
        <is>
          <t>FY2015</t>
        </is>
      </c>
      <c r="D3" s="4" t="inlineStr">
        <is>
          <t>FY2016</t>
        </is>
      </c>
      <c r="E3" s="4" t="inlineStr">
        <is>
          <t>FY2017</t>
        </is>
      </c>
      <c r="F3" s="4" t="inlineStr">
        <is>
          <t>FY2018</t>
        </is>
      </c>
      <c r="G3" s="4" t="inlineStr">
        <is>
          <t>FY2019</t>
        </is>
      </c>
      <c r="H3" s="4" t="inlineStr">
        <is>
          <t>FY2020</t>
        </is>
      </c>
      <c r="I3" s="4" t="inlineStr">
        <is>
          <t>FY2021</t>
        </is>
      </c>
      <c r="J3" s="4" t="inlineStr">
        <is>
          <t>FY2023</t>
        </is>
      </c>
      <c r="K3" s="4" t="inlineStr">
        <is>
          <t>FY2024</t>
        </is>
      </c>
      <c r="L3" s="4" t="inlineStr">
        <is>
          <t>FY2025</t>
        </is>
      </c>
    </row>
    <row r="4">
      <c r="A4" s="5" t="inlineStr">
        <is>
          <t>Revenue</t>
        </is>
      </c>
      <c r="B4" s="12" t="n">
        <v>662.6</v>
      </c>
      <c r="C4" s="12" t="n">
        <v>758.4</v>
      </c>
      <c r="D4" s="12" t="n">
        <v>892.8</v>
      </c>
      <c r="E4" s="12" t="n">
        <v>991.6</v>
      </c>
      <c r="F4" s="12" t="n">
        <v>1160.2</v>
      </c>
      <c r="G4" s="12" t="n">
        <v>1246.1</v>
      </c>
      <c r="H4" s="12" t="n">
        <v>1151.6</v>
      </c>
      <c r="I4" s="12" t="n">
        <v>1354.4</v>
      </c>
      <c r="J4" s="12" t="n">
        <v>1485</v>
      </c>
      <c r="K4" s="12" t="n">
        <v>1613</v>
      </c>
      <c r="L4" s="12" t="n">
        <v>1750</v>
      </c>
    </row>
    <row r="5">
      <c r="A5" s="5" t="inlineStr">
        <is>
          <t>Adj. EBITDA</t>
        </is>
      </c>
      <c r="B5" s="12" t="n">
        <v>234.3</v>
      </c>
      <c r="C5" s="12" t="n">
        <v>282.7</v>
      </c>
      <c r="D5" s="12" t="n">
        <v>353.3</v>
      </c>
      <c r="E5" s="12" t="n">
        <v>408.6</v>
      </c>
      <c r="F5" s="12" t="n">
        <v>479.3</v>
      </c>
      <c r="G5" s="12" t="n">
        <v>520.9</v>
      </c>
      <c r="H5" s="12" t="n">
        <v>514.7</v>
      </c>
      <c r="I5" s="12" t="n">
        <v>645</v>
      </c>
      <c r="J5" s="12" t="n">
        <v>598</v>
      </c>
      <c r="K5" s="12" t="n">
        <v>658</v>
      </c>
      <c r="L5" s="12" t="n">
        <v>711</v>
      </c>
    </row>
    <row r="6">
      <c r="A6" s="5" t="inlineStr">
        <is>
          <t>Adj. EBITDA margin</t>
        </is>
      </c>
      <c r="B6" s="7">
        <f>B5/B4</f>
        <v/>
      </c>
      <c r="C6" s="7">
        <f>C5/C4</f>
        <v/>
      </c>
      <c r="D6" s="7">
        <f>D5/D4</f>
        <v/>
      </c>
      <c r="E6" s="7">
        <f>E5/E4</f>
        <v/>
      </c>
      <c r="F6" s="7">
        <f>F5/F4</f>
        <v/>
      </c>
      <c r="G6" s="7">
        <f>G5/G4</f>
        <v/>
      </c>
      <c r="H6" s="7">
        <f>H5/H4</f>
        <v/>
      </c>
      <c r="I6" s="7">
        <f>I5/I4</f>
        <v/>
      </c>
      <c r="J6" s="7">
        <f>J5/J4</f>
        <v/>
      </c>
      <c r="K6" s="7">
        <f>K5/K4</f>
        <v/>
      </c>
      <c r="L6" s="7">
        <f>L5/L4</f>
        <v/>
      </c>
    </row>
    <row r="7">
      <c r="A7" s="5" t="inlineStr">
        <is>
          <t>Basis</t>
        </is>
      </c>
      <c r="B7" s="5" t="inlineStr">
        <is>
          <t>IHS Transp.</t>
        </is>
      </c>
      <c r="C7" s="5" t="inlineStr">
        <is>
          <t>IHS Transp.</t>
        </is>
      </c>
      <c r="D7" s="5" t="inlineStr">
        <is>
          <t>IHS Transp.</t>
        </is>
      </c>
      <c r="E7" s="5" t="inlineStr">
        <is>
          <t>IHS Transp.</t>
        </is>
      </c>
      <c r="F7" s="5" t="inlineStr">
        <is>
          <t>IHS Transp.</t>
        </is>
      </c>
      <c r="G7" s="5" t="inlineStr">
        <is>
          <t>IHS Transp.</t>
        </is>
      </c>
      <c r="H7" s="5" t="inlineStr">
        <is>
          <t>IHS Transp.</t>
        </is>
      </c>
      <c r="I7" s="5" t="inlineStr">
        <is>
          <t>IHS Transp.</t>
        </is>
      </c>
      <c r="J7" s="5" t="inlineStr">
        <is>
          <t>Carve-out</t>
        </is>
      </c>
      <c r="K7" s="5" t="inlineStr">
        <is>
          <t>Carve-out</t>
        </is>
      </c>
      <c r="L7" s="5" t="inlineStr">
        <is>
          <t>Carve-out</t>
        </is>
      </c>
    </row>
    <row r="9" ht="45" customHeight="1">
      <c r="A9" s="27" t="inlineStr">
        <is>
          <t>Not comparable across eras: IHS Markit segment EBITDA includes Maritime &amp; Trade (~$100-145m revenue, moved to S&amp;P Global Market Intelligence) and different cost allocations; FY22 (S&amp;P Global, ~10 months) omitted. FY21 S&amp;P Global pro forma Mobility: revenue $1,209m ($1,246m adjusted), adjusted operating profit $492m.</t>
        </is>
      </c>
    </row>
  </sheetData>
  <mergeCells count="1">
    <mergeCell ref="A9:L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inlineStr">
        <is>
          <t>Charts (all linked to the data tabs; edit blue inputs and they update)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2026-10-30T01:34:55Z</dcterms:created>
  <dcterms:modified xmlns:dcterms="http://purl.org/dc/terms/" xmlns:xsi="http://www.w3.org/2001/XMLSchema-instance" xsi:type="dcterms:W3CDTF">2026-10-30T01:34:55Z</dcterms:modified>
</cp:coreProperties>
</file>