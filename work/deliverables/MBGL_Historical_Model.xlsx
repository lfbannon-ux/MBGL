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ual Summary" sheetId="1" state="visible" r:id="rId1"/>
    <sheet xmlns:r="http://schemas.openxmlformats.org/officeDocument/2006/relationships" name="Cover &amp; Basis" sheetId="2" state="visible" r:id="rId2"/>
    <sheet xmlns:r="http://schemas.openxmlformats.org/officeDocument/2006/relationships" name="Accounting Notes" sheetId="3" state="visible" r:id="rId3"/>
    <sheet xmlns:r="http://schemas.openxmlformats.org/officeDocument/2006/relationships" name="IS" sheetId="4" state="visible" r:id="rId4"/>
    <sheet xmlns:r="http://schemas.openxmlformats.org/officeDocument/2006/relationships" name="BS" sheetId="5" state="visible" r:id="rId5"/>
    <sheet xmlns:r="http://schemas.openxmlformats.org/officeDocument/2006/relationships" name="CF" sheetId="6" state="visible" r:id="rId6"/>
    <sheet xmlns:r="http://schemas.openxmlformats.org/officeDocument/2006/relationships" name="Key Metrics" sheetId="7" state="visible" r:id="rId7"/>
    <sheet xmlns:r="http://schemas.openxmlformats.org/officeDocument/2006/relationships" name="Segment P&amp;L" sheetId="8" state="visible" r:id="rId8"/>
    <sheet xmlns:r="http://schemas.openxmlformats.org/officeDocument/2006/relationships" name="Segments" sheetId="9" state="visible" r:id="rId9"/>
    <sheet xmlns:r="http://schemas.openxmlformats.org/officeDocument/2006/relationships" name="Revenue Detail" sheetId="10" state="visible" r:id="rId10"/>
    <sheet xmlns:r="http://schemas.openxmlformats.org/officeDocument/2006/relationships" name="Adjusted Non-GAAP" sheetId="11" state="visible" r:id="rId11"/>
    <sheet xmlns:r="http://schemas.openxmlformats.org/officeDocument/2006/relationships" name="Operating KPIs" sheetId="12" state="visible" r:id="rId12"/>
    <sheet xmlns:r="http://schemas.openxmlformats.org/officeDocument/2006/relationships" name="Debt Schedule" sheetId="13" state="visible" r:id="rId13"/>
    <sheet xmlns:r="http://schemas.openxmlformats.org/officeDocument/2006/relationships" name="Tax Reconciliation" sheetId="14" state="visible" r:id="rId14"/>
    <sheet xmlns:r="http://schemas.openxmlformats.org/officeDocument/2006/relationships" name="Equity Roll-Forward" sheetId="15" state="visible" r:id="rId15"/>
    <sheet xmlns:r="http://schemas.openxmlformats.org/officeDocument/2006/relationships" name="OCI" sheetId="16" state="visible" r:id="rId16"/>
    <sheet xmlns:r="http://schemas.openxmlformats.org/officeDocument/2006/relationships" name="Pension" sheetId="17" state="visible" r:id="rId17"/>
    <sheet xmlns:r="http://schemas.openxmlformats.org/officeDocument/2006/relationships" name="Goodwill &amp; Intangibles" sheetId="18" state="visible" r:id="rId18"/>
    <sheet xmlns:r="http://schemas.openxmlformats.org/officeDocument/2006/relationships" name="Related Party" sheetId="19" state="visible" r:id="rId19"/>
    <sheet xmlns:r="http://schemas.openxmlformats.org/officeDocument/2006/relationships" name="Leases" sheetId="20" state="visible" r:id="rId20"/>
    <sheet xmlns:r="http://schemas.openxmlformats.org/officeDocument/2006/relationships" name="Commitments" sheetId="21" state="visible" r:id="rId21"/>
    <sheet xmlns:r="http://schemas.openxmlformats.org/officeDocument/2006/relationships" name="Deferred Revenue" sheetId="22" state="visible" r:id="rId22"/>
    <sheet xmlns:r="http://schemas.openxmlformats.org/officeDocument/2006/relationships" name="Pro Forma" sheetId="23" state="visible" r:id="rId23"/>
    <sheet xmlns:r="http://schemas.openxmlformats.org/officeDocument/2006/relationships" name="Predecessor Segments" sheetId="24" state="visible" r:id="rId24"/>
    <sheet xmlns:r="http://schemas.openxmlformats.org/officeDocument/2006/relationships" name="Segment History" sheetId="25" state="visible" r:id="rId25"/>
    <sheet xmlns:r="http://schemas.openxmlformats.org/officeDocument/2006/relationships" name="Acquisitions" sheetId="26" state="visible" r:id="rId26"/>
    <sheet xmlns:r="http://schemas.openxmlformats.org/officeDocument/2006/relationships" name="Presentation Data" sheetId="27" state="visible" r:id="rId27"/>
    <sheet xmlns:r="http://schemas.openxmlformats.org/officeDocument/2006/relationships" name="Qualitative" sheetId="28" state="visible" r:id="rId28"/>
    <sheet xmlns:r="http://schemas.openxmlformats.org/officeDocument/2006/relationships" name="Caption Map" sheetId="29" state="visible" r:id="rId29"/>
  </sheets>
  <definedNames/>
  <calcPr calcId="124519" fullCalcOnLoad="1"/>
</workbook>
</file>

<file path=xl/styles.xml><?xml version="1.0" encoding="utf-8"?>
<styleSheet xmlns="http://schemas.openxmlformats.org/spreadsheetml/2006/main">
  <numFmts count="5">
    <numFmt numFmtId="164" formatCode="#,##0.0;(#,##0.0);&quot;-&quot;"/>
    <numFmt numFmtId="165" formatCode="$#,##0.00;($#,##0.00);&quot;-&quot;"/>
    <numFmt numFmtId="166" formatCode="0.0%"/>
    <numFmt numFmtId="167" formatCode="#,##0;(#,##0);&quot;-&quot;"/>
    <numFmt numFmtId="168" formatCode="0.0&quot;%&quot;"/>
  </numFmts>
  <fonts count="15">
    <font>
      <name val="Calibri"/>
      <family val="2"/>
      <color theme="1"/>
      <sz val="11"/>
      <scheme val="minor"/>
    </font>
    <font>
      <name val="Arial"/>
      <b val="1"/>
      <color rgb="00FFFFFF"/>
      <sz val="12"/>
    </font>
    <font>
      <name val="Arial"/>
      <i val="1"/>
      <color rgb="00595959"/>
      <sz val="8"/>
    </font>
    <font>
      <name val="Arial"/>
      <b val="1"/>
      <color rgb="00FFFFFF"/>
      <sz val="9"/>
    </font>
    <font>
      <name val="Arial"/>
      <b val="1"/>
      <sz val="9"/>
    </font>
    <font>
      <name val="Arial"/>
      <b val="1"/>
      <color rgb="000000FF"/>
      <sz val="9"/>
    </font>
    <font>
      <name val="Arial"/>
      <sz val="9"/>
    </font>
    <font>
      <name val="Arial"/>
      <color rgb="000000FF"/>
      <sz val="9"/>
    </font>
    <font>
      <name val="Arial"/>
      <b val="1"/>
      <color rgb="00000000"/>
      <sz val="9"/>
    </font>
    <font>
      <name val="Arial"/>
      <color rgb="00000000"/>
      <sz val="9"/>
    </font>
    <font>
      <name val="Arial"/>
      <color rgb="0000803C"/>
      <sz val="9"/>
    </font>
    <font>
      <name val="Arial"/>
      <b val="1"/>
      <i val="1"/>
      <color rgb="000000FF"/>
      <sz val="9"/>
    </font>
    <font>
      <name val="Arial"/>
      <b val="1"/>
      <color rgb="00FFFFFF"/>
      <sz val="7"/>
    </font>
    <font>
      <name val="Arial"/>
      <b val="1"/>
      <color rgb="0000803C"/>
      <sz val="9"/>
    </font>
    <font>
      <name val="Arial"/>
      <color theme="1"/>
      <sz val="11"/>
    </font>
  </fonts>
  <fills count="8">
    <fill>
      <patternFill/>
    </fill>
    <fill>
      <patternFill patternType="gray125"/>
    </fill>
    <fill>
      <patternFill patternType="solid">
        <fgColor rgb="001F3864"/>
      </patternFill>
    </fill>
    <fill>
      <patternFill patternType="solid">
        <fgColor rgb="00D9E1F2"/>
      </patternFill>
    </fill>
    <fill>
      <patternFill patternType="solid">
        <fgColor rgb="00F2F2F2"/>
      </patternFill>
    </fill>
    <fill>
      <patternFill patternType="solid">
        <fgColor rgb="002E5597"/>
      </patternFill>
    </fill>
    <fill>
      <patternFill patternType="solid">
        <fgColor rgb="0044546A"/>
      </patternFill>
    </fill>
    <fill>
      <patternFill patternType="solid">
        <fgColor rgb="007F6000"/>
      </patternFill>
    </fill>
  </fills>
  <borders count="1">
    <border>
      <left/>
      <right/>
      <top/>
      <bottom/>
      <diagonal/>
    </border>
  </borders>
  <cellStyleXfs count="1">
    <xf numFmtId="0" fontId="0" fillId="0" borderId="0"/>
  </cellStyleXfs>
  <cellXfs count="52">
    <xf numFmtId="0" fontId="0" fillId="0" borderId="0" pivotButton="0" quotePrefix="0" xfId="0"/>
    <xf numFmtId="0" fontId="1" fillId="2" borderId="0" pivotButton="0" quotePrefix="0" xfId="0"/>
    <xf numFmtId="0" fontId="14" fillId="2" borderId="0" pivotButton="0" quotePrefix="0" xfId="0"/>
    <xf numFmtId="0" fontId="14" fillId="0" borderId="0" pivotButton="0" quotePrefix="0" xfId="0"/>
    <xf numFmtId="0" fontId="2" fillId="0" borderId="0" pivotButton="0" quotePrefix="0" xfId="0"/>
    <xf numFmtId="0" fontId="12" fillId="5" borderId="0" applyAlignment="1" pivotButton="0" quotePrefix="0" xfId="0">
      <alignment vertical="top" wrapText="1"/>
    </xf>
    <xf numFmtId="0" fontId="12" fillId="6" borderId="0" applyAlignment="1" pivotButton="0" quotePrefix="0" xfId="0">
      <alignment vertical="top" wrapText="1"/>
    </xf>
    <xf numFmtId="0" fontId="12" fillId="2" borderId="0" applyAlignment="1" pivotButton="0" quotePrefix="0" xfId="0">
      <alignment vertical="top" wrapText="1"/>
    </xf>
    <xf numFmtId="0" fontId="12" fillId="7" borderId="0" applyAlignment="1" pivotButton="0" quotePrefix="0" xfId="0">
      <alignment vertical="top" wrapText="1"/>
    </xf>
    <xf numFmtId="0" fontId="3" fillId="2" borderId="0" pivotButton="0" quotePrefix="0" xfId="0"/>
    <xf numFmtId="0" fontId="3" fillId="5" borderId="0" applyAlignment="1" pivotButton="0" quotePrefix="0" xfId="0">
      <alignment horizontal="center"/>
    </xf>
    <xf numFmtId="0" fontId="3" fillId="6" borderId="0" applyAlignment="1" pivotButton="0" quotePrefix="0" xfId="0">
      <alignment horizontal="center"/>
    </xf>
    <xf numFmtId="0" fontId="3" fillId="2" borderId="0" applyAlignment="1" pivotButton="0" quotePrefix="0" xfId="0">
      <alignment horizontal="center"/>
    </xf>
    <xf numFmtId="0" fontId="3" fillId="7" borderId="0" applyAlignment="1" pivotButton="0" quotePrefix="0" xfId="0">
      <alignment horizontal="center"/>
    </xf>
    <xf numFmtId="0" fontId="4" fillId="3" borderId="0" pivotButton="0" quotePrefix="0" xfId="0"/>
    <xf numFmtId="0" fontId="14" fillId="3" borderId="0" pivotButton="0" quotePrefix="0" xfId="0"/>
    <xf numFmtId="0" fontId="4" fillId="0" borderId="0" pivotButton="0" quotePrefix="0" xfId="0"/>
    <xf numFmtId="164" fontId="13" fillId="0" borderId="0" pivotButton="0" quotePrefix="0" xfId="0"/>
    <xf numFmtId="164" fontId="5" fillId="0" borderId="0" pivotButton="0" quotePrefix="0" xfId="0"/>
    <xf numFmtId="0" fontId="6" fillId="0" borderId="0" pivotButton="0" quotePrefix="0" xfId="0"/>
    <xf numFmtId="166" fontId="9" fillId="0" borderId="0" pivotButton="0" quotePrefix="0" xfId="0"/>
    <xf numFmtId="168" fontId="10" fillId="0" borderId="0" pivotButton="0" quotePrefix="0" xfId="0"/>
    <xf numFmtId="164" fontId="10" fillId="0" borderId="0" pivotButton="0" quotePrefix="0" xfId="0"/>
    <xf numFmtId="164" fontId="9" fillId="0" borderId="0" pivotButton="0" quotePrefix="0" xfId="0"/>
    <xf numFmtId="164" fontId="8" fillId="0" borderId="0" pivotButton="0" quotePrefix="0" xfId="0"/>
    <xf numFmtId="0" fontId="2" fillId="4" borderId="0" pivotButton="0" quotePrefix="0" xfId="0"/>
    <xf numFmtId="0" fontId="14" fillId="4" borderId="0" pivotButton="0" quotePrefix="0" xfId="0"/>
    <xf numFmtId="164" fontId="9" fillId="4" borderId="0" pivotButton="0" quotePrefix="0" xfId="0"/>
    <xf numFmtId="0" fontId="6" fillId="0" borderId="0" applyAlignment="1" pivotButton="0" quotePrefix="0" xfId="0">
      <alignment vertical="top" wrapText="1"/>
    </xf>
    <xf numFmtId="0" fontId="3" fillId="2" borderId="0" applyAlignment="1" pivotButton="0" quotePrefix="0" xfId="0">
      <alignment horizontal="center" wrapText="1"/>
    </xf>
    <xf numFmtId="164" fontId="7" fillId="0" borderId="0" pivotButton="0" quotePrefix="0" xfId="0"/>
    <xf numFmtId="0" fontId="8" fillId="0" borderId="0" pivotButton="0" quotePrefix="0" xfId="0"/>
    <xf numFmtId="165" fontId="7" fillId="0" borderId="0" pivotButton="0" quotePrefix="0" xfId="0"/>
    <xf numFmtId="164" fontId="14" fillId="4" borderId="0" pivotButton="0" quotePrefix="0" xfId="0"/>
    <xf numFmtId="164" fontId="10" fillId="4" borderId="0" pivotButton="0" quotePrefix="0" xfId="0"/>
    <xf numFmtId="166" fontId="10" fillId="0" borderId="0" pivotButton="0" quotePrefix="0" xfId="0"/>
    <xf numFmtId="0" fontId="9" fillId="0" borderId="0" pivotButton="0" quotePrefix="0" xfId="0"/>
    <xf numFmtId="166" fontId="8" fillId="0" borderId="0" pivotButton="0" quotePrefix="0" xfId="0"/>
    <xf numFmtId="0" fontId="6" fillId="0" borderId="0" applyAlignment="1" pivotButton="0" quotePrefix="0" xfId="0">
      <alignment/>
    </xf>
    <xf numFmtId="0" fontId="4" fillId="0" borderId="0" applyAlignment="1" pivotButton="0" quotePrefix="0" xfId="0">
      <alignment/>
    </xf>
    <xf numFmtId="167" fontId="7" fillId="0" borderId="0" pivotButton="0" quotePrefix="0" xfId="0"/>
    <xf numFmtId="168" fontId="7" fillId="0" borderId="0" pivotButton="0" quotePrefix="0" xfId="0"/>
    <xf numFmtId="0" fontId="7" fillId="0" borderId="0" pivotButton="0" quotePrefix="0" xfId="0"/>
    <xf numFmtId="168" fontId="5" fillId="0" borderId="0" pivotButton="0" quotePrefix="0" xfId="0"/>
    <xf numFmtId="167" fontId="5" fillId="0" borderId="0" pivotButton="0" quotePrefix="0" xfId="0"/>
    <xf numFmtId="0" fontId="3" fillId="5" borderId="0" applyAlignment="1" pivotButton="0" quotePrefix="0" xfId="0">
      <alignment horizontal="center" wrapText="1"/>
    </xf>
    <xf numFmtId="164" fontId="11" fillId="0" borderId="0" pivotButton="0" quotePrefix="0" xfId="0"/>
    <xf numFmtId="168" fontId="11" fillId="0" borderId="0" pivotButton="0" quotePrefix="0" xfId="0"/>
    <xf numFmtId="0" fontId="3" fillId="5" borderId="0" pivotButton="0" quotePrefix="0" xfId="0"/>
    <xf numFmtId="0" fontId="5" fillId="0" borderId="0" pivotButton="0" quotePrefix="0" xfId="0"/>
    <xf numFmtId="164" fontId="14" fillId="0" borderId="0" pivotButton="0" quotePrefix="0" xfId="0"/>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2" customWidth="1" min="15" max="15"/>
    <col width="9.5" customWidth="1" min="16" max="16"/>
    <col width="9.5" customWidth="1" min="17" max="17"/>
    <col width="46" customWidth="1" min="18" max="18"/>
    <col hidden="1" width="13" customWidth="1" min="26" max="26"/>
  </cols>
  <sheetData>
    <row r="1" ht="20" customHeight="1">
      <c r="A1" s="1" t="inlineStr">
        <is>
          <t>Mobility Global (MBGL): annual summary FY2014–FY2026E. P&amp;L, balance sheet, cash flow and segments</t>
        </is>
      </c>
      <c r="B1" s="2" t="n"/>
      <c r="C1" s="2" t="n"/>
      <c r="D1" s="2" t="n"/>
      <c r="E1" s="2" t="n"/>
      <c r="F1" s="2" t="n"/>
      <c r="G1" s="2" t="n"/>
      <c r="H1" s="2" t="n"/>
      <c r="I1" s="2" t="n"/>
      <c r="J1" s="2" t="n"/>
      <c r="K1" s="2" t="n"/>
      <c r="L1" s="2" t="n"/>
      <c r="M1" s="2" t="n"/>
      <c r="N1" s="2" t="n"/>
      <c r="O1" s="2" t="n"/>
      <c r="P1" s="2" t="n"/>
      <c r="Q1" s="2" t="n"/>
      <c r="R1" s="2" t="n"/>
      <c r="S1" s="3" t="n"/>
      <c r="T1" s="3" t="n"/>
      <c r="U1" s="3" t="n"/>
      <c r="V1" s="3" t="n"/>
      <c r="W1" s="3" t="n"/>
      <c r="X1" s="3" t="n"/>
      <c r="Y1" s="3" t="n"/>
      <c r="Z1" s="3" t="n"/>
    </row>
    <row r="2">
      <c r="A2" s="4" t="inlineStr">
        <is>
          <t>Every historical figure links to the as-reported tab (green). Eras are NOT comparable, so growth is computed only within an era. FY2026E = company guidance midpoint (revenue $1,870–1,885m; Adj. EBITDA $745–760m), not an actual. 1H = six months to 30 June. USD millions.</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34" customHeight="1">
      <c r="A4" s="2" t="inlineStr"/>
      <c r="B4" s="5" t="inlineStr">
        <is>
          <t>IHS Markit Transportation segment
(Nov-30 FYE)</t>
        </is>
      </c>
      <c r="C4" s="5" t="n"/>
      <c r="D4" s="5" t="n"/>
      <c r="E4" s="5" t="n"/>
      <c r="F4" s="5" t="n"/>
      <c r="G4" s="5" t="n"/>
      <c r="H4" s="5" t="n"/>
      <c r="I4" s="5" t="n"/>
      <c r="J4" s="6" t="inlineStr">
        <is>
          <t>S&amp;P Global Mobility segment
(~10 months)</t>
        </is>
      </c>
      <c r="K4" s="7" t="inlineStr">
        <is>
          <t>Mobility Global
combined (carve-out)</t>
        </is>
      </c>
      <c r="L4" s="7" t="n"/>
      <c r="M4" s="7" t="n"/>
      <c r="N4" s="8" t="inlineStr">
        <is>
          <t>Guidance
(8-K 2026-08-07)</t>
        </is>
      </c>
      <c r="O4" s="3" t="n"/>
      <c r="P4" s="7" t="inlineStr">
        <is>
          <t>Mobility Global
combined (carve-out)</t>
        </is>
      </c>
      <c r="Q4" s="7" t="n"/>
      <c r="R4" s="3" t="n"/>
      <c r="S4" s="3" t="n"/>
      <c r="T4" s="3" t="n"/>
      <c r="U4" s="3" t="n"/>
      <c r="V4" s="3" t="n"/>
      <c r="W4" s="3" t="n"/>
      <c r="X4" s="3" t="n"/>
      <c r="Y4" s="3" t="n"/>
      <c r="Z4" s="3" t="n"/>
    </row>
    <row r="5">
      <c r="A5" s="9" t="inlineStr">
        <is>
          <t>USD millions</t>
        </is>
      </c>
      <c r="B5" s="10" t="inlineStr">
        <is>
          <t>FY14</t>
        </is>
      </c>
      <c r="C5" s="10" t="inlineStr">
        <is>
          <t>FY15</t>
        </is>
      </c>
      <c r="D5" s="10" t="inlineStr">
        <is>
          <t>FY16</t>
        </is>
      </c>
      <c r="E5" s="10" t="inlineStr">
        <is>
          <t>FY17</t>
        </is>
      </c>
      <c r="F5" s="10" t="inlineStr">
        <is>
          <t>FY18</t>
        </is>
      </c>
      <c r="G5" s="10" t="inlineStr">
        <is>
          <t>FY19</t>
        </is>
      </c>
      <c r="H5" s="10" t="inlineStr">
        <is>
          <t>FY20</t>
        </is>
      </c>
      <c r="I5" s="10" t="inlineStr">
        <is>
          <t>FY21</t>
        </is>
      </c>
      <c r="J5" s="11" t="inlineStr">
        <is>
          <t>FY22</t>
        </is>
      </c>
      <c r="K5" s="12" t="inlineStr">
        <is>
          <t>FY23</t>
        </is>
      </c>
      <c r="L5" s="12" t="inlineStr">
        <is>
          <t>FY24</t>
        </is>
      </c>
      <c r="M5" s="12" t="inlineStr">
        <is>
          <t>FY25</t>
        </is>
      </c>
      <c r="N5" s="13" t="inlineStr">
        <is>
          <t>FY26E</t>
        </is>
      </c>
      <c r="O5" s="3" t="n"/>
      <c r="P5" s="12" t="inlineStr">
        <is>
          <t>1H25</t>
        </is>
      </c>
      <c r="Q5" s="12" t="inlineStr">
        <is>
          <t>1H26</t>
        </is>
      </c>
      <c r="R5" s="9" t="inlineStr">
        <is>
          <t>Source / basis</t>
        </is>
      </c>
      <c r="S5" s="3" t="n"/>
      <c r="T5" s="3" t="n"/>
      <c r="U5" s="3" t="n"/>
      <c r="V5" s="3" t="n"/>
      <c r="W5" s="3" t="n"/>
      <c r="X5" s="3" t="n"/>
      <c r="Y5" s="3" t="n"/>
      <c r="Z5" s="3" t="n"/>
    </row>
    <row r="6">
      <c r="A6" s="14" t="inlineStr">
        <is>
          <t>Income statement</t>
        </is>
      </c>
      <c r="B6" s="15" t="n"/>
      <c r="C6" s="15" t="n"/>
      <c r="D6" s="15" t="n"/>
      <c r="E6" s="15" t="n"/>
      <c r="F6" s="15" t="n"/>
      <c r="G6" s="15" t="n"/>
      <c r="H6" s="15" t="n"/>
      <c r="I6" s="15" t="n"/>
      <c r="J6" s="15" t="n"/>
      <c r="K6" s="15" t="n"/>
      <c r="L6" s="15" t="n"/>
      <c r="M6" s="15" t="n"/>
      <c r="N6" s="15" t="n"/>
      <c r="O6" s="15" t="n"/>
      <c r="P6" s="15" t="n"/>
      <c r="Q6" s="15" t="n"/>
      <c r="R6" s="3" t="n"/>
      <c r="S6" s="3" t="n"/>
      <c r="T6" s="3" t="n"/>
      <c r="U6" s="3" t="n"/>
      <c r="V6" s="3" t="n"/>
      <c r="W6" s="3" t="n"/>
      <c r="X6" s="3" t="n"/>
      <c r="Y6" s="3" t="n"/>
      <c r="Z6" s="3" t="n"/>
    </row>
    <row r="7">
      <c r="A7" s="16" t="inlineStr">
        <is>
          <t>Revenue</t>
        </is>
      </c>
      <c r="B7" s="17">
        <f>'Segment History'!B6</f>
        <v/>
      </c>
      <c r="C7" s="17">
        <f>'Segment History'!C6</f>
        <v/>
      </c>
      <c r="D7" s="17">
        <f>'Segment History'!D6</f>
        <v/>
      </c>
      <c r="E7" s="17">
        <f>'Segment History'!E6</f>
        <v/>
      </c>
      <c r="F7" s="17">
        <f>'Segment History'!F6</f>
        <v/>
      </c>
      <c r="G7" s="17">
        <f>'Segment History'!G6</f>
        <v/>
      </c>
      <c r="H7" s="17">
        <f>'Segment History'!H6</f>
        <v/>
      </c>
      <c r="I7" s="17">
        <f>'Segment History'!I6</f>
        <v/>
      </c>
      <c r="J7" s="17">
        <f>'Segment History'!J27</f>
        <v/>
      </c>
      <c r="K7" s="17">
        <f>'IS'!B6</f>
        <v/>
      </c>
      <c r="L7" s="17">
        <f>'IS'!C6</f>
        <v/>
      </c>
      <c r="M7" s="17">
        <f>'IS'!D6</f>
        <v/>
      </c>
      <c r="N7" s="18" t="n">
        <v>1877.5</v>
      </c>
      <c r="O7" s="3" t="n"/>
      <c r="P7" s="17">
        <f>'IS'!G6</f>
        <v/>
      </c>
      <c r="Q7" s="17">
        <f>'IS'!J6</f>
        <v/>
      </c>
      <c r="R7" s="4" t="inlineStr">
        <is>
          <t>FY14–21 IHS Markit 10-Ks; FY22 SPGI 10-K (Mar–Dec); FY23+ IS tab; FY26E guide midpoint</t>
        </is>
      </c>
      <c r="S7" s="3" t="n"/>
      <c r="T7" s="3" t="n"/>
      <c r="U7" s="3" t="n"/>
      <c r="V7" s="3" t="n"/>
      <c r="W7" s="3" t="n"/>
      <c r="X7" s="3" t="n"/>
      <c r="Y7" s="3" t="n"/>
      <c r="Z7" s="3" t="n"/>
    </row>
    <row r="8">
      <c r="A8" s="19" t="inlineStr">
        <is>
          <t xml:space="preserve">   Revenue growth y/y</t>
        </is>
      </c>
      <c r="B8" s="3" t="n"/>
      <c r="C8" s="20">
        <f>C7/B7-1</f>
        <v/>
      </c>
      <c r="D8" s="20">
        <f>D7/C7-1</f>
        <v/>
      </c>
      <c r="E8" s="20">
        <f>E7/D7-1</f>
        <v/>
      </c>
      <c r="F8" s="20">
        <f>F7/E7-1</f>
        <v/>
      </c>
      <c r="G8" s="20">
        <f>G7/F7-1</f>
        <v/>
      </c>
      <c r="H8" s="20">
        <f>H7/G7-1</f>
        <v/>
      </c>
      <c r="I8" s="20">
        <f>I7/H7-1</f>
        <v/>
      </c>
      <c r="J8" s="3" t="n"/>
      <c r="K8" s="3" t="n"/>
      <c r="L8" s="20">
        <f>L7/K7-1</f>
        <v/>
      </c>
      <c r="M8" s="20">
        <f>M7/L7-1</f>
        <v/>
      </c>
      <c r="N8" s="20">
        <f>N7/M7-1</f>
        <v/>
      </c>
      <c r="O8" s="3" t="n"/>
      <c r="P8" s="3" t="n"/>
      <c r="Q8" s="20">
        <f>Q7/P7-1</f>
        <v/>
      </c>
      <c r="R8" s="4" t="inlineStr">
        <is>
          <t>[C] within era only; FY2026E vs FY2025; 1H26 vs 1H25</t>
        </is>
      </c>
      <c r="S8" s="3" t="n"/>
      <c r="T8" s="3" t="n"/>
      <c r="U8" s="3" t="n"/>
      <c r="V8" s="3" t="n"/>
      <c r="W8" s="3" t="n"/>
      <c r="X8" s="3" t="n"/>
      <c r="Y8" s="3" t="n"/>
      <c r="Z8" s="3" t="n"/>
    </row>
    <row r="9">
      <c r="A9" s="19" t="inlineStr">
        <is>
          <t xml:space="preserve">   Organic growth (as printed)</t>
        </is>
      </c>
      <c r="B9" s="3" t="n"/>
      <c r="C9" s="21">
        <f>'Segment History'!C9</f>
        <v/>
      </c>
      <c r="D9" s="21">
        <f>'Segment History'!D9</f>
        <v/>
      </c>
      <c r="E9" s="21">
        <f>'Segment History'!E9</f>
        <v/>
      </c>
      <c r="F9" s="21">
        <f>'Segment History'!F9</f>
        <v/>
      </c>
      <c r="G9" s="21">
        <f>'Segment History'!G9</f>
        <v/>
      </c>
      <c r="H9" s="21">
        <f>'Segment History'!H9</f>
        <v/>
      </c>
      <c r="I9" s="21">
        <f>'Segment History'!I9</f>
        <v/>
      </c>
      <c r="J9" s="3" t="n"/>
      <c r="K9" s="3" t="n"/>
      <c r="L9" s="3" t="n"/>
      <c r="M9" s="3" t="n"/>
      <c r="N9" s="3" t="n"/>
      <c r="O9" s="3" t="n"/>
      <c r="P9" s="3" t="n"/>
      <c r="Q9" s="3" t="n"/>
      <c r="R9" s="4" t="inlineStr">
        <is>
          <t>IHS Markit 10-K growth bridge [D]; MBGL prints no organic growth</t>
        </is>
      </c>
      <c r="S9" s="3" t="n"/>
      <c r="T9" s="3" t="n"/>
      <c r="U9" s="3" t="n"/>
      <c r="V9" s="3" t="n"/>
      <c r="W9" s="3" t="n"/>
      <c r="X9" s="3" t="n"/>
      <c r="Y9" s="3" t="n"/>
      <c r="Z9" s="3" t="n"/>
    </row>
    <row r="10">
      <c r="A10" s="19" t="inlineStr">
        <is>
          <t xml:space="preserve">   Subscription revenue (FY20: IHS "recurring")</t>
        </is>
      </c>
      <c r="B10" s="3" t="n"/>
      <c r="C10" s="3" t="n"/>
      <c r="D10" s="3" t="n"/>
      <c r="E10" s="3" t="n"/>
      <c r="F10" s="3" t="n"/>
      <c r="G10" s="3" t="n"/>
      <c r="H10" s="22">
        <f>'Segment History'!F69</f>
        <v/>
      </c>
      <c r="I10" s="3" t="n"/>
      <c r="J10" s="22">
        <f>'Segment History'!J29</f>
        <v/>
      </c>
      <c r="K10" s="22">
        <f>'Segment P&amp;L'!B79</f>
        <v/>
      </c>
      <c r="L10" s="22">
        <f>'Segment P&amp;L'!C79</f>
        <v/>
      </c>
      <c r="M10" s="22">
        <f>'Segment P&amp;L'!D79</f>
        <v/>
      </c>
      <c r="N10" s="3" t="n"/>
      <c r="O10" s="3" t="n"/>
      <c r="P10" s="22">
        <f>'Segment P&amp;L'!G79</f>
        <v/>
      </c>
      <c r="Q10" s="22">
        <f>'Segment P&amp;L'!J79</f>
        <v/>
      </c>
      <c r="R10" s="4" t="inlineStr">
        <is>
          <t>FY20 IHS decks; FY22 SPGI; FY23+ Segment P&amp;L</t>
        </is>
      </c>
      <c r="S10" s="3" t="n"/>
      <c r="T10" s="3" t="n"/>
      <c r="U10" s="3" t="n"/>
      <c r="V10" s="3" t="n"/>
      <c r="W10" s="3" t="n"/>
      <c r="X10" s="3" t="n"/>
      <c r="Y10" s="3" t="n"/>
      <c r="Z10" s="3" t="n"/>
    </row>
    <row r="11">
      <c r="A11" s="19" t="inlineStr">
        <is>
          <t xml:space="preserve">   Non-subscription revenue (FY20: "non-recurring")</t>
        </is>
      </c>
      <c r="B11" s="3" t="n"/>
      <c r="C11" s="3" t="n"/>
      <c r="D11" s="3" t="n"/>
      <c r="E11" s="3" t="n"/>
      <c r="F11" s="3" t="n"/>
      <c r="G11" s="3" t="n"/>
      <c r="H11" s="22">
        <f>'Segment History'!F70</f>
        <v/>
      </c>
      <c r="I11" s="3" t="n"/>
      <c r="J11" s="22">
        <f>'Segment History'!J30</f>
        <v/>
      </c>
      <c r="K11" s="22">
        <f>'Segment P&amp;L'!B80</f>
        <v/>
      </c>
      <c r="L11" s="22">
        <f>'Segment P&amp;L'!C80</f>
        <v/>
      </c>
      <c r="M11" s="22">
        <f>'Segment P&amp;L'!D80</f>
        <v/>
      </c>
      <c r="N11" s="3" t="n"/>
      <c r="O11" s="3" t="n"/>
      <c r="P11" s="22">
        <f>'Segment P&amp;L'!G80</f>
        <v/>
      </c>
      <c r="Q11" s="22">
        <f>'Segment P&amp;L'!J80</f>
        <v/>
      </c>
      <c r="R11" s="4" t="inlineStr"/>
      <c r="S11" s="3" t="n"/>
      <c r="T11" s="3" t="n"/>
      <c r="U11" s="3" t="n"/>
      <c r="V11" s="3" t="n"/>
      <c r="W11" s="3" t="n"/>
      <c r="X11" s="3" t="n"/>
      <c r="Y11" s="3" t="n"/>
      <c r="Z11" s="3" t="n"/>
    </row>
    <row r="12">
      <c r="A12" s="19" t="inlineStr">
        <is>
          <t xml:space="preserve">   Subscription share of revenue</t>
        </is>
      </c>
      <c r="B12" s="3" t="n"/>
      <c r="C12" s="3" t="n"/>
      <c r="D12" s="3" t="n"/>
      <c r="E12" s="3" t="n"/>
      <c r="F12" s="3" t="n"/>
      <c r="G12" s="3" t="n"/>
      <c r="H12" s="20">
        <f>IF(H7=0,"",H10/H7)</f>
        <v/>
      </c>
      <c r="I12" s="3" t="n"/>
      <c r="J12" s="20">
        <f>IF(J7=0,"",J10/J7)</f>
        <v/>
      </c>
      <c r="K12" s="20">
        <f>IF(K7=0,"",K10/K7)</f>
        <v/>
      </c>
      <c r="L12" s="20">
        <f>IF(L7=0,"",L10/L7)</f>
        <v/>
      </c>
      <c r="M12" s="20">
        <f>IF(M7=0,"",M10/M7)</f>
        <v/>
      </c>
      <c r="N12" s="3" t="n"/>
      <c r="O12" s="3" t="n"/>
      <c r="P12" s="20">
        <f>IF(P7=0,"",P10/P7)</f>
        <v/>
      </c>
      <c r="Q12" s="20">
        <f>IF(Q7=0,"",Q10/Q7)</f>
        <v/>
      </c>
      <c r="R12" s="4" t="inlineStr">
        <is>
          <t>[C]</t>
        </is>
      </c>
      <c r="S12" s="3" t="n"/>
      <c r="T12" s="3" t="n"/>
      <c r="U12" s="3" t="n"/>
      <c r="V12" s="3" t="n"/>
      <c r="W12" s="3" t="n"/>
      <c r="X12" s="3" t="n"/>
      <c r="Y12" s="3" t="n"/>
      <c r="Z12" s="3" t="n"/>
    </row>
    <row r="13">
      <c r="A13" s="19" t="inlineStr">
        <is>
          <t xml:space="preserve">   U.S. revenue</t>
        </is>
      </c>
      <c r="B13" s="3" t="n"/>
      <c r="C13" s="3" t="n"/>
      <c r="D13" s="3" t="n"/>
      <c r="E13" s="3" t="n"/>
      <c r="F13" s="3" t="n"/>
      <c r="G13" s="3" t="n"/>
      <c r="H13" s="3" t="n"/>
      <c r="I13" s="3" t="n"/>
      <c r="J13" s="22">
        <f>'Segment History'!J32</f>
        <v/>
      </c>
      <c r="K13" s="22">
        <f>'Segment P&amp;L'!B81</f>
        <v/>
      </c>
      <c r="L13" s="22">
        <f>'Segment P&amp;L'!C81</f>
        <v/>
      </c>
      <c r="M13" s="22">
        <f>'Segment P&amp;L'!D81</f>
        <v/>
      </c>
      <c r="N13" s="3" t="n"/>
      <c r="O13" s="3" t="n"/>
      <c r="P13" s="22">
        <f>'Segment P&amp;L'!G81</f>
        <v/>
      </c>
      <c r="Q13" s="22">
        <f>'Segment P&amp;L'!J81</f>
        <v/>
      </c>
      <c r="R13" s="4" t="inlineStr"/>
      <c r="S13" s="3" t="n"/>
      <c r="T13" s="3" t="n"/>
      <c r="U13" s="3" t="n"/>
      <c r="V13" s="3" t="n"/>
      <c r="W13" s="3" t="n"/>
      <c r="X13" s="3" t="n"/>
      <c r="Y13" s="3" t="n"/>
      <c r="Z13" s="3" t="n"/>
    </row>
    <row r="14">
      <c r="A14" s="19" t="inlineStr">
        <is>
          <t xml:space="preserve">   International revenue</t>
        </is>
      </c>
      <c r="B14" s="3" t="n"/>
      <c r="C14" s="3" t="n"/>
      <c r="D14" s="3" t="n"/>
      <c r="E14" s="3" t="n"/>
      <c r="F14" s="3" t="n"/>
      <c r="G14" s="3" t="n"/>
      <c r="H14" s="3" t="n"/>
      <c r="I14" s="3" t="n"/>
      <c r="J14" s="22">
        <f>'Segment History'!J33</f>
        <v/>
      </c>
      <c r="K14" s="22">
        <f>'Segment P&amp;L'!B82</f>
        <v/>
      </c>
      <c r="L14" s="22">
        <f>'Segment P&amp;L'!C82</f>
        <v/>
      </c>
      <c r="M14" s="22">
        <f>'Segment P&amp;L'!D82</f>
        <v/>
      </c>
      <c r="N14" s="3" t="n"/>
      <c r="O14" s="3" t="n"/>
      <c r="P14" s="22">
        <f>'Segment P&amp;L'!G82</f>
        <v/>
      </c>
      <c r="Q14" s="22">
        <f>'Segment P&amp;L'!J82</f>
        <v/>
      </c>
      <c r="R14" s="4" t="inlineStr"/>
      <c r="S14" s="3" t="n"/>
      <c r="T14" s="3" t="n"/>
      <c r="U14" s="3" t="n"/>
      <c r="V14" s="3" t="n"/>
      <c r="W14" s="3" t="n"/>
      <c r="X14" s="3" t="n"/>
      <c r="Y14" s="3" t="n"/>
      <c r="Z14" s="3" t="n"/>
    </row>
    <row r="15">
      <c r="A15" s="19" t="inlineStr">
        <is>
          <t xml:space="preserve">   CARFAX segment revenue</t>
        </is>
      </c>
      <c r="B15" s="3" t="n"/>
      <c r="C15" s="3" t="n"/>
      <c r="D15" s="3" t="n"/>
      <c r="E15" s="3" t="n"/>
      <c r="F15" s="3" t="n"/>
      <c r="G15" s="3" t="n"/>
      <c r="H15" s="3" t="n"/>
      <c r="I15" s="3" t="n"/>
      <c r="J15" s="3" t="n"/>
      <c r="K15" s="22">
        <f>'Segment P&amp;L'!B6</f>
        <v/>
      </c>
      <c r="L15" s="22">
        <f>'Segment P&amp;L'!C6</f>
        <v/>
      </c>
      <c r="M15" s="22">
        <f>'Segment P&amp;L'!D6</f>
        <v/>
      </c>
      <c r="N15" s="3" t="n"/>
      <c r="O15" s="3" t="n"/>
      <c r="P15" s="22">
        <f>'Segment P&amp;L'!G6</f>
        <v/>
      </c>
      <c r="Q15" s="22">
        <f>'Segment P&amp;L'!J6</f>
        <v/>
      </c>
      <c r="R15" s="4" t="inlineStr">
        <is>
          <t>Segment P&amp;L tab (Form 10/A; 10-Q)</t>
        </is>
      </c>
      <c r="S15" s="3" t="n"/>
      <c r="T15" s="3" t="n"/>
      <c r="U15" s="3" t="n"/>
      <c r="V15" s="3" t="n"/>
      <c r="W15" s="3" t="n"/>
      <c r="X15" s="3" t="n"/>
      <c r="Y15" s="3" t="n"/>
      <c r="Z15" s="3" t="n"/>
    </row>
    <row r="16">
      <c r="A16" s="19" t="inlineStr">
        <is>
          <t xml:space="preserve">   B2B segment revenue</t>
        </is>
      </c>
      <c r="B16" s="3" t="n"/>
      <c r="C16" s="3" t="n"/>
      <c r="D16" s="3" t="n"/>
      <c r="E16" s="3" t="n"/>
      <c r="F16" s="3" t="n"/>
      <c r="G16" s="3" t="n"/>
      <c r="H16" s="3" t="n"/>
      <c r="I16" s="3" t="n"/>
      <c r="J16" s="3" t="n"/>
      <c r="K16" s="22">
        <f>'Segment P&amp;L'!B35</f>
        <v/>
      </c>
      <c r="L16" s="22">
        <f>'Segment P&amp;L'!C35</f>
        <v/>
      </c>
      <c r="M16" s="22">
        <f>'Segment P&amp;L'!D35</f>
        <v/>
      </c>
      <c r="N16" s="3" t="n"/>
      <c r="O16" s="3" t="n"/>
      <c r="P16" s="22">
        <f>'Segment P&amp;L'!G35</f>
        <v/>
      </c>
      <c r="Q16" s="22">
        <f>'Segment P&amp;L'!J35</f>
        <v/>
      </c>
      <c r="R16" s="4" t="inlineStr"/>
      <c r="S16" s="3" t="n"/>
      <c r="T16" s="3" t="n"/>
      <c r="U16" s="3" t="n"/>
      <c r="V16" s="3" t="n"/>
      <c r="W16" s="3" t="n"/>
      <c r="X16" s="3" t="n"/>
      <c r="Y16" s="3" t="n"/>
      <c r="Z16" s="3" t="n"/>
    </row>
    <row r="17">
      <c r="A17" s="19" t="inlineStr">
        <is>
          <t xml:space="preserve">   CARFAX growth y/y</t>
        </is>
      </c>
      <c r="B17" s="3" t="n"/>
      <c r="C17" s="3" t="n"/>
      <c r="D17" s="3" t="n"/>
      <c r="E17" s="3" t="n"/>
      <c r="F17" s="3" t="n"/>
      <c r="G17" s="3" t="n"/>
      <c r="H17" s="3" t="n"/>
      <c r="I17" s="3" t="n"/>
      <c r="J17" s="3" t="n"/>
      <c r="K17" s="3" t="n"/>
      <c r="L17" s="20">
        <f>L15/K15-1</f>
        <v/>
      </c>
      <c r="M17" s="20">
        <f>M15/L15-1</f>
        <v/>
      </c>
      <c r="N17" s="3" t="n"/>
      <c r="O17" s="3" t="n"/>
      <c r="P17" s="3" t="n"/>
      <c r="Q17" s="20">
        <f>Q15/P15-1</f>
        <v/>
      </c>
      <c r="R17" s="4" t="inlineStr">
        <is>
          <t>[C] within era only; FY2026E vs FY2025; 1H26 vs 1H25</t>
        </is>
      </c>
      <c r="S17" s="3" t="n"/>
      <c r="T17" s="3" t="n"/>
      <c r="U17" s="3" t="n"/>
      <c r="V17" s="3" t="n"/>
      <c r="W17" s="3" t="n"/>
      <c r="X17" s="3" t="n"/>
      <c r="Y17" s="3" t="n"/>
      <c r="Z17" s="3" t="n"/>
    </row>
    <row r="18">
      <c r="A18" s="19" t="inlineStr">
        <is>
          <t xml:space="preserve">   B2B growth y/y</t>
        </is>
      </c>
      <c r="B18" s="3" t="n"/>
      <c r="C18" s="3" t="n"/>
      <c r="D18" s="3" t="n"/>
      <c r="E18" s="3" t="n"/>
      <c r="F18" s="3" t="n"/>
      <c r="G18" s="3" t="n"/>
      <c r="H18" s="3" t="n"/>
      <c r="I18" s="3" t="n"/>
      <c r="J18" s="3" t="n"/>
      <c r="K18" s="3" t="n"/>
      <c r="L18" s="20">
        <f>L16/K16-1</f>
        <v/>
      </c>
      <c r="M18" s="20">
        <f>M16/L16-1</f>
        <v/>
      </c>
      <c r="N18" s="3" t="n"/>
      <c r="O18" s="3" t="n"/>
      <c r="P18" s="3" t="n"/>
      <c r="Q18" s="20">
        <f>Q16/P16-1</f>
        <v/>
      </c>
      <c r="R18" s="4" t="inlineStr">
        <is>
          <t>[C] within era only; FY2026E vs FY2025; 1H26 vs 1H25</t>
        </is>
      </c>
      <c r="S18" s="3" t="n"/>
      <c r="T18" s="3" t="n"/>
      <c r="U18" s="3" t="n"/>
      <c r="V18" s="3" t="n"/>
      <c r="W18" s="3" t="n"/>
      <c r="X18" s="3" t="n"/>
      <c r="Y18" s="3" t="n"/>
      <c r="Z18" s="3" t="n"/>
    </row>
    <row r="19">
      <c r="A19" s="19" t="inlineStr">
        <is>
          <t>Operating-related expenses</t>
        </is>
      </c>
      <c r="B19" s="3" t="n"/>
      <c r="C19" s="3" t="n"/>
      <c r="D19" s="3" t="n"/>
      <c r="E19" s="3" t="n"/>
      <c r="F19" s="3" t="n"/>
      <c r="G19" s="3" t="n"/>
      <c r="H19" s="3" t="n"/>
      <c r="I19" s="3" t="n"/>
      <c r="J19" s="3" t="n"/>
      <c r="K19" s="22">
        <f>'IS'!B7</f>
        <v/>
      </c>
      <c r="L19" s="22">
        <f>'IS'!C7</f>
        <v/>
      </c>
      <c r="M19" s="22">
        <f>'IS'!D7</f>
        <v/>
      </c>
      <c r="N19" s="3" t="n"/>
      <c r="O19" s="3" t="n"/>
      <c r="P19" s="22">
        <f>'IS'!G7</f>
        <v/>
      </c>
      <c r="Q19" s="22">
        <f>'IS'!J7</f>
        <v/>
      </c>
      <c r="R19" s="4" t="inlineStr">
        <is>
          <t>IS tab</t>
        </is>
      </c>
      <c r="S19" s="3" t="n"/>
      <c r="T19" s="3" t="n"/>
      <c r="U19" s="3" t="n"/>
      <c r="V19" s="3" t="n"/>
      <c r="W19" s="3" t="n"/>
      <c r="X19" s="3" t="n"/>
      <c r="Y19" s="3" t="n"/>
      <c r="Z19" s="3" t="n"/>
    </row>
    <row r="20">
      <c r="A20" s="19" t="inlineStr">
        <is>
          <t>Selling and general expenses</t>
        </is>
      </c>
      <c r="B20" s="3" t="n"/>
      <c r="C20" s="3" t="n"/>
      <c r="D20" s="3" t="n"/>
      <c r="E20" s="3" t="n"/>
      <c r="F20" s="3" t="n"/>
      <c r="G20" s="3" t="n"/>
      <c r="H20" s="3" t="n"/>
      <c r="I20" s="3" t="n"/>
      <c r="J20" s="3" t="n"/>
      <c r="K20" s="22">
        <f>'IS'!B8</f>
        <v/>
      </c>
      <c r="L20" s="22">
        <f>'IS'!C8</f>
        <v/>
      </c>
      <c r="M20" s="22">
        <f>'IS'!D8</f>
        <v/>
      </c>
      <c r="N20" s="3" t="n"/>
      <c r="O20" s="3" t="n"/>
      <c r="P20" s="22">
        <f>'IS'!G8</f>
        <v/>
      </c>
      <c r="Q20" s="22">
        <f>'IS'!J8</f>
        <v/>
      </c>
      <c r="R20" s="4" t="inlineStr"/>
      <c r="S20" s="3" t="n"/>
      <c r="T20" s="3" t="n"/>
      <c r="U20" s="3" t="n"/>
      <c r="V20" s="3" t="n"/>
      <c r="W20" s="3" t="n"/>
      <c r="X20" s="3" t="n"/>
      <c r="Y20" s="3" t="n"/>
      <c r="Z20" s="3" t="n"/>
    </row>
    <row r="21">
      <c r="A21" s="19" t="inlineStr">
        <is>
          <t>Depreciation</t>
        </is>
      </c>
      <c r="B21" s="3" t="n"/>
      <c r="C21" s="3" t="n"/>
      <c r="D21" s="3" t="n"/>
      <c r="E21" s="3" t="n"/>
      <c r="F21" s="3" t="n"/>
      <c r="G21" s="3" t="n"/>
      <c r="H21" s="3" t="n"/>
      <c r="I21" s="3" t="n"/>
      <c r="J21" s="3" t="n"/>
      <c r="K21" s="22">
        <f>'IS'!B9</f>
        <v/>
      </c>
      <c r="L21" s="22">
        <f>'IS'!C9</f>
        <v/>
      </c>
      <c r="M21" s="22">
        <f>'IS'!D9</f>
        <v/>
      </c>
      <c r="N21" s="3" t="n"/>
      <c r="O21" s="3" t="n"/>
      <c r="P21" s="22">
        <f>'IS'!G9</f>
        <v/>
      </c>
      <c r="Q21" s="22">
        <f>'IS'!J9</f>
        <v/>
      </c>
      <c r="R21" s="4" t="inlineStr"/>
      <c r="S21" s="3" t="n"/>
      <c r="T21" s="3" t="n"/>
      <c r="U21" s="3" t="n"/>
      <c r="V21" s="3" t="n"/>
      <c r="W21" s="3" t="n"/>
      <c r="X21" s="3" t="n"/>
      <c r="Y21" s="3" t="n"/>
      <c r="Z21" s="3" t="n"/>
    </row>
    <row r="22">
      <c r="A22" s="19" t="inlineStr">
        <is>
          <t>Amortization of acquired intangibles</t>
        </is>
      </c>
      <c r="B22" s="3" t="n"/>
      <c r="C22" s="3" t="n"/>
      <c r="D22" s="3" t="n"/>
      <c r="E22" s="3" t="n"/>
      <c r="F22" s="3" t="n"/>
      <c r="G22" s="3" t="n"/>
      <c r="H22" s="3" t="n"/>
      <c r="I22" s="3" t="n"/>
      <c r="J22" s="3" t="n"/>
      <c r="K22" s="22">
        <f>'IS'!B10</f>
        <v/>
      </c>
      <c r="L22" s="22">
        <f>'IS'!C10</f>
        <v/>
      </c>
      <c r="M22" s="22">
        <f>'IS'!D10</f>
        <v/>
      </c>
      <c r="N22" s="3" t="n"/>
      <c r="O22" s="3" t="n"/>
      <c r="P22" s="22">
        <f>'IS'!G10</f>
        <v/>
      </c>
      <c r="Q22" s="22">
        <f>'IS'!J10</f>
        <v/>
      </c>
      <c r="R22" s="4" t="inlineStr">
        <is>
          <t>IHS Markit merger step-up</t>
        </is>
      </c>
      <c r="S22" s="3" t="n"/>
      <c r="T22" s="3" t="n"/>
      <c r="U22" s="3" t="n"/>
      <c r="V22" s="3" t="n"/>
      <c r="W22" s="3" t="n"/>
      <c r="X22" s="3" t="n"/>
      <c r="Y22" s="3" t="n"/>
      <c r="Z22" s="3" t="n"/>
    </row>
    <row r="23">
      <c r="A23" s="19" t="inlineStr">
        <is>
          <t xml:space="preserve">   Depreciation &amp; amortization (segment total)</t>
        </is>
      </c>
      <c r="B23" s="3" t="n"/>
      <c r="C23" s="3" t="n"/>
      <c r="D23" s="3" t="n"/>
      <c r="E23" s="3" t="n"/>
      <c r="F23" s="3" t="n"/>
      <c r="G23" s="3" t="n"/>
      <c r="H23" s="3" t="n"/>
      <c r="I23" s="3" t="n"/>
      <c r="J23" s="22">
        <f>'Segment History'!J37</f>
        <v/>
      </c>
      <c r="K23" s="3" t="n"/>
      <c r="L23" s="3" t="n"/>
      <c r="M23" s="3" t="n"/>
      <c r="N23" s="3" t="n"/>
      <c r="O23" s="3" t="n"/>
      <c r="P23" s="3" t="n"/>
      <c r="Q23" s="3" t="n"/>
      <c r="R23" s="4" t="inlineStr">
        <is>
          <t>FY22 SPGI segment note</t>
        </is>
      </c>
      <c r="S23" s="3" t="n"/>
      <c r="T23" s="3" t="n"/>
      <c r="U23" s="3" t="n"/>
      <c r="V23" s="3" t="n"/>
      <c r="W23" s="3" t="n"/>
      <c r="X23" s="3" t="n"/>
      <c r="Y23" s="3" t="n"/>
      <c r="Z23" s="3" t="n"/>
    </row>
    <row r="24">
      <c r="A24" s="16" t="inlineStr">
        <is>
          <t>Operating profit</t>
        </is>
      </c>
      <c r="B24" s="3" t="n"/>
      <c r="C24" s="3" t="n"/>
      <c r="D24" s="3" t="n"/>
      <c r="E24" s="3" t="n"/>
      <c r="F24" s="3" t="n"/>
      <c r="G24" s="3" t="n"/>
      <c r="H24" s="3" t="n"/>
      <c r="I24" s="3" t="n"/>
      <c r="J24" s="17">
        <f>'Segment History'!J34</f>
        <v/>
      </c>
      <c r="K24" s="17">
        <f>'IS'!B12</f>
        <v/>
      </c>
      <c r="L24" s="17">
        <f>'IS'!C12</f>
        <v/>
      </c>
      <c r="M24" s="17">
        <f>'IS'!D12</f>
        <v/>
      </c>
      <c r="N24" s="3" t="n"/>
      <c r="O24" s="3" t="n"/>
      <c r="P24" s="17">
        <f>'IS'!G12</f>
        <v/>
      </c>
      <c r="Q24" s="17">
        <f>'IS'!J12</f>
        <v/>
      </c>
      <c r="R24" s="4" t="inlineStr">
        <is>
          <t>FY22 SPGI segment OP; FY23+ IS</t>
        </is>
      </c>
      <c r="S24" s="3" t="n"/>
      <c r="T24" s="3" t="n"/>
      <c r="U24" s="3" t="n"/>
      <c r="V24" s="3" t="n"/>
      <c r="W24" s="3" t="n"/>
      <c r="X24" s="3" t="n"/>
      <c r="Y24" s="3" t="n"/>
      <c r="Z24" s="3" t="n"/>
    </row>
    <row r="25">
      <c r="A25" s="19" t="inlineStr">
        <is>
          <t xml:space="preserve">   Operating margin</t>
        </is>
      </c>
      <c r="B25" s="3" t="n"/>
      <c r="C25" s="3" t="n"/>
      <c r="D25" s="3" t="n"/>
      <c r="E25" s="3" t="n"/>
      <c r="F25" s="3" t="n"/>
      <c r="G25" s="3" t="n"/>
      <c r="H25" s="3" t="n"/>
      <c r="I25" s="3" t="n"/>
      <c r="J25" s="20">
        <f>IF(J7=0,"",J24/J7)</f>
        <v/>
      </c>
      <c r="K25" s="20">
        <f>IF(K7=0,"",K24/K7)</f>
        <v/>
      </c>
      <c r="L25" s="20">
        <f>IF(L7=0,"",L24/L7)</f>
        <v/>
      </c>
      <c r="M25" s="20">
        <f>IF(M7=0,"",M24/M7)</f>
        <v/>
      </c>
      <c r="N25" s="3" t="n"/>
      <c r="O25" s="3" t="n"/>
      <c r="P25" s="20">
        <f>IF(P7=0,"",P24/P7)</f>
        <v/>
      </c>
      <c r="Q25" s="20">
        <f>IF(Q7=0,"",Q24/Q7)</f>
        <v/>
      </c>
      <c r="R25" s="4" t="inlineStr">
        <is>
          <t>[C]</t>
        </is>
      </c>
      <c r="S25" s="3" t="n"/>
      <c r="T25" s="3" t="n"/>
      <c r="U25" s="3" t="n"/>
      <c r="V25" s="3" t="n"/>
      <c r="W25" s="3" t="n"/>
      <c r="X25" s="3" t="n"/>
      <c r="Y25" s="3" t="n"/>
      <c r="Z25" s="3" t="n"/>
    </row>
    <row r="26">
      <c r="A26" s="19" t="inlineStr">
        <is>
          <t>Interest expense, net</t>
        </is>
      </c>
      <c r="B26" s="3" t="n"/>
      <c r="C26" s="3" t="n"/>
      <c r="D26" s="3" t="n"/>
      <c r="E26" s="3" t="n"/>
      <c r="F26" s="3" t="n"/>
      <c r="G26" s="3" t="n"/>
      <c r="H26" s="3" t="n"/>
      <c r="I26" s="3" t="n"/>
      <c r="J26" s="3" t="n"/>
      <c r="K26" s="22">
        <f>'IS'!B14</f>
        <v/>
      </c>
      <c r="L26" s="22">
        <f>'IS'!C14</f>
        <v/>
      </c>
      <c r="M26" s="22">
        <f>'IS'!D14</f>
        <v/>
      </c>
      <c r="N26" s="3" t="n"/>
      <c r="O26" s="3" t="n"/>
      <c r="P26" s="22">
        <f>'IS'!G14</f>
        <v/>
      </c>
      <c r="Q26" s="22">
        <f>'IS'!J14</f>
        <v/>
      </c>
      <c r="R26" s="4" t="inlineStr"/>
      <c r="S26" s="3" t="n"/>
      <c r="T26" s="3" t="n"/>
      <c r="U26" s="3" t="n"/>
      <c r="V26" s="3" t="n"/>
      <c r="W26" s="3" t="n"/>
      <c r="X26" s="3" t="n"/>
      <c r="Y26" s="3" t="n"/>
      <c r="Z26" s="3" t="n"/>
    </row>
    <row r="27">
      <c r="A27" s="19" t="inlineStr">
        <is>
          <t>Income before taxes</t>
        </is>
      </c>
      <c r="B27" s="3" t="n"/>
      <c r="C27" s="3" t="n"/>
      <c r="D27" s="3" t="n"/>
      <c r="E27" s="3" t="n"/>
      <c r="F27" s="3" t="n"/>
      <c r="G27" s="3" t="n"/>
      <c r="H27" s="3" t="n"/>
      <c r="I27" s="3" t="n"/>
      <c r="J27" s="3" t="n"/>
      <c r="K27" s="22">
        <f>'IS'!B15</f>
        <v/>
      </c>
      <c r="L27" s="22">
        <f>'IS'!C15</f>
        <v/>
      </c>
      <c r="M27" s="22">
        <f>'IS'!D15</f>
        <v/>
      </c>
      <c r="N27" s="3" t="n"/>
      <c r="O27" s="3" t="n"/>
      <c r="P27" s="22">
        <f>'IS'!G15</f>
        <v/>
      </c>
      <c r="Q27" s="22">
        <f>'IS'!J15</f>
        <v/>
      </c>
      <c r="R27" s="4" t="inlineStr"/>
      <c r="S27" s="3" t="n"/>
      <c r="T27" s="3" t="n"/>
      <c r="U27" s="3" t="n"/>
      <c r="V27" s="3" t="n"/>
      <c r="W27" s="3" t="n"/>
      <c r="X27" s="3" t="n"/>
      <c r="Y27" s="3" t="n"/>
      <c r="Z27" s="3" t="n"/>
    </row>
    <row r="28">
      <c r="A28" s="19" t="inlineStr">
        <is>
          <t>Provision for taxes</t>
        </is>
      </c>
      <c r="B28" s="3" t="n"/>
      <c r="C28" s="3" t="n"/>
      <c r="D28" s="3" t="n"/>
      <c r="E28" s="3" t="n"/>
      <c r="F28" s="3" t="n"/>
      <c r="G28" s="3" t="n"/>
      <c r="H28" s="3" t="n"/>
      <c r="I28" s="3" t="n"/>
      <c r="J28" s="3" t="n"/>
      <c r="K28" s="22">
        <f>'IS'!B16</f>
        <v/>
      </c>
      <c r="L28" s="22">
        <f>'IS'!C16</f>
        <v/>
      </c>
      <c r="M28" s="22">
        <f>'IS'!D16</f>
        <v/>
      </c>
      <c r="N28" s="3" t="n"/>
      <c r="O28" s="3" t="n"/>
      <c r="P28" s="22">
        <f>'IS'!G16</f>
        <v/>
      </c>
      <c r="Q28" s="22">
        <f>'IS'!J16</f>
        <v/>
      </c>
      <c r="R28" s="4" t="inlineStr"/>
      <c r="S28" s="3" t="n"/>
      <c r="T28" s="3" t="n"/>
      <c r="U28" s="3" t="n"/>
      <c r="V28" s="3" t="n"/>
      <c r="W28" s="3" t="n"/>
      <c r="X28" s="3" t="n"/>
      <c r="Y28" s="3" t="n"/>
      <c r="Z28" s="3" t="n"/>
    </row>
    <row r="29">
      <c r="A29" s="16" t="inlineStr">
        <is>
          <t>Net income</t>
        </is>
      </c>
      <c r="B29" s="3" t="n"/>
      <c r="C29" s="3" t="n"/>
      <c r="D29" s="3" t="n"/>
      <c r="E29" s="3" t="n"/>
      <c r="F29" s="3" t="n"/>
      <c r="G29" s="3" t="n"/>
      <c r="H29" s="3" t="n"/>
      <c r="I29" s="3" t="n"/>
      <c r="J29" s="3" t="n"/>
      <c r="K29" s="17">
        <f>'IS'!B17</f>
        <v/>
      </c>
      <c r="L29" s="17">
        <f>'IS'!C17</f>
        <v/>
      </c>
      <c r="M29" s="17">
        <f>'IS'!D17</f>
        <v/>
      </c>
      <c r="N29" s="3" t="n"/>
      <c r="O29" s="3" t="n"/>
      <c r="P29" s="17">
        <f>'IS'!G17</f>
        <v/>
      </c>
      <c r="Q29" s="17">
        <f>'IS'!J17</f>
        <v/>
      </c>
      <c r="R29" s="4" t="inlineStr">
        <is>
          <t>Carve-out; excludes $2.0bn notes issued May-2026 (interest from 2H26)</t>
        </is>
      </c>
      <c r="S29" s="3" t="n"/>
      <c r="T29" s="3" t="n"/>
      <c r="U29" s="3" t="n"/>
      <c r="V29" s="3" t="n"/>
      <c r="W29" s="3" t="n"/>
      <c r="X29" s="3" t="n"/>
      <c r="Y29" s="3" t="n"/>
      <c r="Z29" s="3" t="n"/>
    </row>
    <row r="30">
      <c r="A30" s="14" t="inlineStr">
        <is>
          <t>Adjusted EBITDA (company definition of each era) and segment profit</t>
        </is>
      </c>
      <c r="B30" s="15" t="n"/>
      <c r="C30" s="15" t="n"/>
      <c r="D30" s="15" t="n"/>
      <c r="E30" s="15" t="n"/>
      <c r="F30" s="15" t="n"/>
      <c r="G30" s="15" t="n"/>
      <c r="H30" s="15" t="n"/>
      <c r="I30" s="15" t="n"/>
      <c r="J30" s="15" t="n"/>
      <c r="K30" s="15" t="n"/>
      <c r="L30" s="15" t="n"/>
      <c r="M30" s="15" t="n"/>
      <c r="N30" s="15" t="n"/>
      <c r="O30" s="15" t="n"/>
      <c r="P30" s="15" t="n"/>
      <c r="Q30" s="15" t="n"/>
      <c r="R30" s="3" t="n"/>
      <c r="S30" s="3" t="n"/>
      <c r="T30" s="3" t="n"/>
      <c r="U30" s="3" t="n"/>
      <c r="V30" s="3" t="n"/>
      <c r="W30" s="3" t="n"/>
      <c r="X30" s="3" t="n"/>
      <c r="Y30" s="3" t="n"/>
      <c r="Z30" s="3" t="n"/>
    </row>
    <row r="31">
      <c r="A31" s="16" t="inlineStr">
        <is>
          <t>Adjusted EBITDA</t>
        </is>
      </c>
      <c r="B31" s="17">
        <f>'Segment History'!B13</f>
        <v/>
      </c>
      <c r="C31" s="17">
        <f>'Segment History'!C13</f>
        <v/>
      </c>
      <c r="D31" s="17">
        <f>'Segment History'!D13</f>
        <v/>
      </c>
      <c r="E31" s="17">
        <f>'Segment History'!E13</f>
        <v/>
      </c>
      <c r="F31" s="17">
        <f>'Segment History'!F13</f>
        <v/>
      </c>
      <c r="G31" s="17">
        <f>'Segment History'!G13</f>
        <v/>
      </c>
      <c r="H31" s="17">
        <f>'Segment History'!H13</f>
        <v/>
      </c>
      <c r="I31" s="17">
        <f>'Segment History'!I13</f>
        <v/>
      </c>
      <c r="J31" s="3" t="n"/>
      <c r="K31" s="17">
        <f>'Segment P&amp;L'!B100</f>
        <v/>
      </c>
      <c r="L31" s="17">
        <f>'Segment P&amp;L'!C100</f>
        <v/>
      </c>
      <c r="M31" s="17">
        <f>'Segment P&amp;L'!D100</f>
        <v/>
      </c>
      <c r="N31" s="18" t="n">
        <v>752.5</v>
      </c>
      <c r="O31" s="3" t="n"/>
      <c r="P31" s="17">
        <f>'Segment P&amp;L'!G100</f>
        <v/>
      </c>
      <c r="Q31" s="17">
        <f>'Segment P&amp;L'!J100</f>
        <v/>
      </c>
      <c r="R31" s="4" t="inlineStr">
        <is>
          <t>IHS Adj. EBITDA (FY14–21); MBGL Adj. EBITDA (10 exclusions to Q1-26, 6 after); FY26E guide midpoint. FY22: n/a</t>
        </is>
      </c>
      <c r="S31" s="3" t="n"/>
      <c r="T31" s="3" t="n"/>
      <c r="U31" s="3" t="n"/>
      <c r="V31" s="3" t="n"/>
      <c r="W31" s="3" t="n"/>
      <c r="X31" s="3" t="n"/>
      <c r="Y31" s="3" t="n"/>
      <c r="Z31" s="3" t="n"/>
    </row>
    <row r="32">
      <c r="A32" s="19" t="inlineStr">
        <is>
          <t xml:space="preserve">   Adjusted EBITDA growth y/y</t>
        </is>
      </c>
      <c r="B32" s="3" t="n"/>
      <c r="C32" s="20">
        <f>C31/B31-1</f>
        <v/>
      </c>
      <c r="D32" s="20">
        <f>D31/C31-1</f>
        <v/>
      </c>
      <c r="E32" s="20">
        <f>E31/D31-1</f>
        <v/>
      </c>
      <c r="F32" s="20">
        <f>F31/E31-1</f>
        <v/>
      </c>
      <c r="G32" s="20">
        <f>G31/F31-1</f>
        <v/>
      </c>
      <c r="H32" s="20">
        <f>H31/G31-1</f>
        <v/>
      </c>
      <c r="I32" s="20">
        <f>I31/H31-1</f>
        <v/>
      </c>
      <c r="J32" s="3" t="n"/>
      <c r="K32" s="3" t="n"/>
      <c r="L32" s="20">
        <f>L31/K31-1</f>
        <v/>
      </c>
      <c r="M32" s="20">
        <f>M31/L31-1</f>
        <v/>
      </c>
      <c r="N32" s="20">
        <f>N31/M31-1</f>
        <v/>
      </c>
      <c r="O32" s="3" t="n"/>
      <c r="P32" s="3" t="n"/>
      <c r="Q32" s="20">
        <f>Q31/P31-1</f>
        <v/>
      </c>
      <c r="R32" s="4" t="inlineStr">
        <is>
          <t>[C] within era only; FY2026E vs FY2025; 1H26 vs 1H25</t>
        </is>
      </c>
      <c r="S32" s="3" t="n"/>
      <c r="T32" s="3" t="n"/>
      <c r="U32" s="3" t="n"/>
      <c r="V32" s="3" t="n"/>
      <c r="W32" s="3" t="n"/>
      <c r="X32" s="3" t="n"/>
      <c r="Y32" s="3" t="n"/>
      <c r="Z32" s="3" t="n"/>
    </row>
    <row r="33">
      <c r="A33" s="19" t="inlineStr">
        <is>
          <t xml:space="preserve">   Adjusted EBITDA margin</t>
        </is>
      </c>
      <c r="B33" s="20">
        <f>IF(B7=0,"",B31/B7)</f>
        <v/>
      </c>
      <c r="C33" s="20">
        <f>IF(C7=0,"",C31/C7)</f>
        <v/>
      </c>
      <c r="D33" s="20">
        <f>IF(D7=0,"",D31/D7)</f>
        <v/>
      </c>
      <c r="E33" s="20">
        <f>IF(E7=0,"",E31/E7)</f>
        <v/>
      </c>
      <c r="F33" s="20">
        <f>IF(F7=0,"",F31/F7)</f>
        <v/>
      </c>
      <c r="G33" s="20">
        <f>IF(G7=0,"",G31/G7)</f>
        <v/>
      </c>
      <c r="H33" s="20">
        <f>IF(H7=0,"",H31/H7)</f>
        <v/>
      </c>
      <c r="I33" s="20">
        <f>IF(I7=0,"",I31/I7)</f>
        <v/>
      </c>
      <c r="J33" s="3" t="n"/>
      <c r="K33" s="20">
        <f>IF(K7=0,"",K31/K7)</f>
        <v/>
      </c>
      <c r="L33" s="20">
        <f>IF(L7=0,"",L31/L7)</f>
        <v/>
      </c>
      <c r="M33" s="20">
        <f>IF(M7=0,"",M31/M7)</f>
        <v/>
      </c>
      <c r="N33" s="20">
        <f>IF(N7=0,"",N31/N7)</f>
        <v/>
      </c>
      <c r="O33" s="3" t="n"/>
      <c r="P33" s="20">
        <f>IF(P7=0,"",P31/P7)</f>
        <v/>
      </c>
      <c r="Q33" s="20">
        <f>IF(Q7=0,"",Q31/Q7)</f>
        <v/>
      </c>
      <c r="R33" s="4" t="inlineStr">
        <is>
          <t>[C]</t>
        </is>
      </c>
      <c r="S33" s="3" t="n"/>
      <c r="T33" s="3" t="n"/>
      <c r="U33" s="3" t="n"/>
      <c r="V33" s="3" t="n"/>
      <c r="W33" s="3" t="n"/>
      <c r="X33" s="3" t="n"/>
      <c r="Y33" s="3" t="n"/>
      <c r="Z33" s="3" t="n"/>
    </row>
    <row r="34">
      <c r="A34" s="19" t="inlineStr">
        <is>
          <t xml:space="preserve">   Memo: operating profit + D&amp;A (unadjusted) [C]</t>
        </is>
      </c>
      <c r="B34" s="3" t="n"/>
      <c r="C34" s="3" t="n"/>
      <c r="D34" s="3" t="n"/>
      <c r="E34" s="3" t="n"/>
      <c r="F34" s="3" t="n"/>
      <c r="G34" s="3" t="n"/>
      <c r="H34" s="3" t="n"/>
      <c r="I34" s="3" t="n"/>
      <c r="J34" s="22">
        <f>'Segment History'!J38</f>
        <v/>
      </c>
      <c r="K34" s="23">
        <f>K24+K21+K22</f>
        <v/>
      </c>
      <c r="L34" s="23">
        <f>L24+L21+L22</f>
        <v/>
      </c>
      <c r="M34" s="23">
        <f>M24+M21+M22</f>
        <v/>
      </c>
      <c r="N34" s="3" t="n"/>
      <c r="O34" s="3" t="n"/>
      <c r="P34" s="23">
        <f>P24+P21+P22</f>
        <v/>
      </c>
      <c r="Q34" s="23">
        <f>Q24+Q21+Q22</f>
        <v/>
      </c>
      <c r="R34" s="4" t="inlineStr">
        <is>
          <t>FY22 SPGI segment; FY23+ IS</t>
        </is>
      </c>
      <c r="S34" s="3" t="n"/>
      <c r="T34" s="3" t="n"/>
      <c r="U34" s="3" t="n"/>
      <c r="V34" s="3" t="n"/>
      <c r="W34" s="3" t="n"/>
      <c r="X34" s="3" t="n"/>
      <c r="Y34" s="3" t="n"/>
      <c r="Z34" s="3" t="n"/>
    </row>
    <row r="35">
      <c r="A35" s="19" t="inlineStr">
        <is>
          <t xml:space="preserve">   Segment Adj. EBITDA: CARFAX</t>
        </is>
      </c>
      <c r="B35" s="3" t="n"/>
      <c r="C35" s="3" t="n"/>
      <c r="D35" s="3" t="n"/>
      <c r="E35" s="3" t="n"/>
      <c r="F35" s="3" t="n"/>
      <c r="G35" s="3" t="n"/>
      <c r="H35" s="3" t="n"/>
      <c r="I35" s="3" t="n"/>
      <c r="J35" s="3" t="n"/>
      <c r="K35" s="22">
        <f>'Segment P&amp;L'!B25</f>
        <v/>
      </c>
      <c r="L35" s="22">
        <f>'Segment P&amp;L'!C25</f>
        <v/>
      </c>
      <c r="M35" s="22">
        <f>'Segment P&amp;L'!D25</f>
        <v/>
      </c>
      <c r="N35" s="3" t="n"/>
      <c r="O35" s="3" t="n"/>
      <c r="P35" s="22">
        <f>'Segment P&amp;L'!G25</f>
        <v/>
      </c>
      <c r="Q35" s="22">
        <f>'Segment P&amp;L'!J25</f>
        <v/>
      </c>
      <c r="R35" s="4" t="inlineStr">
        <is>
          <t>Segment P&amp;L tab (company-reported)</t>
        </is>
      </c>
      <c r="S35" s="3" t="n"/>
      <c r="T35" s="3" t="n"/>
      <c r="U35" s="3" t="n"/>
      <c r="V35" s="3" t="n"/>
      <c r="W35" s="3" t="n"/>
      <c r="X35" s="3" t="n"/>
      <c r="Y35" s="3" t="n"/>
      <c r="Z35" s="3" t="n"/>
    </row>
    <row r="36">
      <c r="A36" s="19" t="inlineStr">
        <is>
          <t xml:space="preserve">   Segment Adj. EBITDA: B2B</t>
        </is>
      </c>
      <c r="B36" s="3" t="n"/>
      <c r="C36" s="3" t="n"/>
      <c r="D36" s="3" t="n"/>
      <c r="E36" s="3" t="n"/>
      <c r="F36" s="3" t="n"/>
      <c r="G36" s="3" t="n"/>
      <c r="H36" s="3" t="n"/>
      <c r="I36" s="3" t="n"/>
      <c r="J36" s="3" t="n"/>
      <c r="K36" s="22">
        <f>'Segment P&amp;L'!B54</f>
        <v/>
      </c>
      <c r="L36" s="22">
        <f>'Segment P&amp;L'!C54</f>
        <v/>
      </c>
      <c r="M36" s="22">
        <f>'Segment P&amp;L'!D54</f>
        <v/>
      </c>
      <c r="N36" s="3" t="n"/>
      <c r="O36" s="3" t="n"/>
      <c r="P36" s="22">
        <f>'Segment P&amp;L'!G54</f>
        <v/>
      </c>
      <c r="Q36" s="22">
        <f>'Segment P&amp;L'!J54</f>
        <v/>
      </c>
      <c r="R36" s="4" t="inlineStr">
        <is>
          <t>Segment P&amp;L tab (company-reported)</t>
        </is>
      </c>
      <c r="S36" s="3" t="n"/>
      <c r="T36" s="3" t="n"/>
      <c r="U36" s="3" t="n"/>
      <c r="V36" s="3" t="n"/>
      <c r="W36" s="3" t="n"/>
      <c r="X36" s="3" t="n"/>
      <c r="Y36" s="3" t="n"/>
      <c r="Z36" s="3" t="n"/>
    </row>
    <row r="37">
      <c r="A37" s="19" t="inlineStr">
        <is>
          <t xml:space="preserve">   Segment Adj. EBITDA: Corporate</t>
        </is>
      </c>
      <c r="B37" s="3" t="n"/>
      <c r="C37" s="3" t="n"/>
      <c r="D37" s="3" t="n"/>
      <c r="E37" s="3" t="n"/>
      <c r="F37" s="3" t="n"/>
      <c r="G37" s="3" t="n"/>
      <c r="H37" s="3" t="n"/>
      <c r="I37" s="3" t="n"/>
      <c r="J37" s="3" t="n"/>
      <c r="K37" s="22">
        <f>'Segment P&amp;L'!B73</f>
        <v/>
      </c>
      <c r="L37" s="22">
        <f>'Segment P&amp;L'!C73</f>
        <v/>
      </c>
      <c r="M37" s="22">
        <f>'Segment P&amp;L'!D73</f>
        <v/>
      </c>
      <c r="N37" s="3" t="n"/>
      <c r="O37" s="3" t="n"/>
      <c r="P37" s="22">
        <f>'Segment P&amp;L'!G73</f>
        <v/>
      </c>
      <c r="Q37" s="22">
        <f>'Segment P&amp;L'!J73</f>
        <v/>
      </c>
      <c r="R37" s="4" t="inlineStr">
        <is>
          <t>Segment P&amp;L tab (company-reported)</t>
        </is>
      </c>
      <c r="S37" s="3" t="n"/>
      <c r="T37" s="3" t="n"/>
      <c r="U37" s="3" t="n"/>
      <c r="V37" s="3" t="n"/>
      <c r="W37" s="3" t="n"/>
      <c r="X37" s="3" t="n"/>
      <c r="Y37" s="3" t="n"/>
      <c r="Z37" s="3" t="n"/>
    </row>
    <row r="38">
      <c r="A38" s="19" t="inlineStr">
        <is>
          <t xml:space="preserve">   CARFAX Adj. EBITDA margin</t>
        </is>
      </c>
      <c r="B38" s="3" t="n"/>
      <c r="C38" s="3" t="n"/>
      <c r="D38" s="3" t="n"/>
      <c r="E38" s="3" t="n"/>
      <c r="F38" s="3" t="n"/>
      <c r="G38" s="3" t="n"/>
      <c r="H38" s="3" t="n"/>
      <c r="I38" s="3" t="n"/>
      <c r="J38" s="3" t="n"/>
      <c r="K38" s="20">
        <f>IF(K15=0,"",K35/K15)</f>
        <v/>
      </c>
      <c r="L38" s="20">
        <f>IF(L15=0,"",L35/L15)</f>
        <v/>
      </c>
      <c r="M38" s="20">
        <f>IF(M15=0,"",M35/M15)</f>
        <v/>
      </c>
      <c r="N38" s="3" t="n"/>
      <c r="O38" s="3" t="n"/>
      <c r="P38" s="20">
        <f>IF(P15=0,"",P35/P15)</f>
        <v/>
      </c>
      <c r="Q38" s="20">
        <f>IF(Q15=0,"",Q35/Q15)</f>
        <v/>
      </c>
      <c r="R38" s="4" t="inlineStr">
        <is>
          <t>[C]</t>
        </is>
      </c>
      <c r="S38" s="3" t="n"/>
      <c r="T38" s="3" t="n"/>
      <c r="U38" s="3" t="n"/>
      <c r="V38" s="3" t="n"/>
      <c r="W38" s="3" t="n"/>
      <c r="X38" s="3" t="n"/>
      <c r="Y38" s="3" t="n"/>
      <c r="Z38" s="3" t="n"/>
    </row>
    <row r="39">
      <c r="A39" s="19" t="inlineStr">
        <is>
          <t xml:space="preserve">   B2B Adj. EBITDA margin</t>
        </is>
      </c>
      <c r="B39" s="3" t="n"/>
      <c r="C39" s="3" t="n"/>
      <c r="D39" s="3" t="n"/>
      <c r="E39" s="3" t="n"/>
      <c r="F39" s="3" t="n"/>
      <c r="G39" s="3" t="n"/>
      <c r="H39" s="3" t="n"/>
      <c r="I39" s="3" t="n"/>
      <c r="J39" s="3" t="n"/>
      <c r="K39" s="20">
        <f>IF(K16=0,"",K36/K16)</f>
        <v/>
      </c>
      <c r="L39" s="20">
        <f>IF(L16=0,"",L36/L16)</f>
        <v/>
      </c>
      <c r="M39" s="20">
        <f>IF(M16=0,"",M36/M16)</f>
        <v/>
      </c>
      <c r="N39" s="3" t="n"/>
      <c r="O39" s="3" t="n"/>
      <c r="P39" s="20">
        <f>IF(P16=0,"",P36/P16)</f>
        <v/>
      </c>
      <c r="Q39" s="20">
        <f>IF(Q16=0,"",Q36/Q16)</f>
        <v/>
      </c>
      <c r="R39" s="4" t="inlineStr">
        <is>
          <t>[C]</t>
        </is>
      </c>
      <c r="S39" s="3" t="n"/>
      <c r="T39" s="3" t="n"/>
      <c r="U39" s="3" t="n"/>
      <c r="V39" s="3" t="n"/>
      <c r="W39" s="3" t="n"/>
      <c r="X39" s="3" t="n"/>
      <c r="Y39" s="3" t="n"/>
      <c r="Z39" s="3" t="n"/>
    </row>
    <row r="40">
      <c r="A40" s="14" t="inlineStr">
        <is>
          <t>Balance sheet (period-end). Segment assets only before FY2024</t>
        </is>
      </c>
      <c r="B40" s="15" t="n"/>
      <c r="C40" s="15" t="n"/>
      <c r="D40" s="15" t="n"/>
      <c r="E40" s="15" t="n"/>
      <c r="F40" s="15" t="n"/>
      <c r="G40" s="15" t="n"/>
      <c r="H40" s="15" t="n"/>
      <c r="I40" s="15" t="n"/>
      <c r="J40" s="15" t="n"/>
      <c r="K40" s="15" t="n"/>
      <c r="L40" s="15" t="n"/>
      <c r="M40" s="15" t="n"/>
      <c r="N40" s="15" t="n"/>
      <c r="O40" s="15" t="n"/>
      <c r="P40" s="15" t="n"/>
      <c r="Q40" s="15" t="n"/>
      <c r="R40" s="3" t="n"/>
      <c r="S40" s="3" t="n"/>
      <c r="T40" s="3" t="n"/>
      <c r="U40" s="3" t="n"/>
      <c r="V40" s="3" t="n"/>
      <c r="W40" s="3" t="n"/>
      <c r="X40" s="3" t="n"/>
      <c r="Y40" s="3" t="n"/>
      <c r="Z40" s="3" t="n"/>
    </row>
    <row r="41">
      <c r="A41" s="19" t="inlineStr">
        <is>
          <t>Segment total assets (IHS Transportation / SPGI Mobility)</t>
        </is>
      </c>
      <c r="B41" s="22">
        <f>'Segment History'!B20</f>
        <v/>
      </c>
      <c r="C41" s="22">
        <f>'Segment History'!C20</f>
        <v/>
      </c>
      <c r="D41" s="22">
        <f>'Segment History'!D20</f>
        <v/>
      </c>
      <c r="E41" s="22">
        <f>'Segment History'!E20</f>
        <v/>
      </c>
      <c r="F41" s="22">
        <f>'Segment History'!F20</f>
        <v/>
      </c>
      <c r="G41" s="22">
        <f>'Segment History'!G20</f>
        <v/>
      </c>
      <c r="H41" s="22">
        <f>'Segment History'!H20</f>
        <v/>
      </c>
      <c r="I41" s="22">
        <f>'Segment History'!I20</f>
        <v/>
      </c>
      <c r="J41" s="22">
        <f>'Segment History'!J41</f>
        <v/>
      </c>
      <c r="K41" s="22">
        <f>'Segment History'!K41</f>
        <v/>
      </c>
      <c r="L41" s="3" t="n"/>
      <c r="M41" s="3" t="n"/>
      <c r="N41" s="3" t="n"/>
      <c r="O41" s="3" t="n"/>
      <c r="P41" s="3" t="n"/>
      <c r="Q41" s="3" t="n"/>
      <c r="R41" s="4" t="inlineStr">
        <is>
          <t>IHS / SPGI segment notes. FY22 jump = S&amp;P Global purchase accounting (goodwill/intangibles step-up), not growth</t>
        </is>
      </c>
      <c r="S41" s="3" t="n"/>
      <c r="T41" s="3" t="n"/>
      <c r="U41" s="3" t="n"/>
      <c r="V41" s="3" t="n"/>
      <c r="W41" s="3" t="n"/>
      <c r="X41" s="3" t="n"/>
      <c r="Y41" s="3" t="n"/>
      <c r="Z41" s="3" t="n"/>
    </row>
    <row r="42">
      <c r="A42" s="19" t="inlineStr">
        <is>
          <t xml:space="preserve">   Segment goodwill (IHS Transportation)</t>
        </is>
      </c>
      <c r="B42" s="22">
        <f>'Segment History'!B21</f>
        <v/>
      </c>
      <c r="C42" s="22">
        <f>'Segment History'!C21</f>
        <v/>
      </c>
      <c r="D42" s="22">
        <f>'Segment History'!D21</f>
        <v/>
      </c>
      <c r="E42" s="22">
        <f>'Segment History'!E21</f>
        <v/>
      </c>
      <c r="F42" s="22">
        <f>'Segment History'!F21</f>
        <v/>
      </c>
      <c r="G42" s="22">
        <f>'Segment History'!G21</f>
        <v/>
      </c>
      <c r="H42" s="22">
        <f>'Segment History'!H21</f>
        <v/>
      </c>
      <c r="I42" s="22">
        <f>'Segment History'!I21</f>
        <v/>
      </c>
      <c r="J42" s="3" t="n"/>
      <c r="K42" s="3" t="n"/>
      <c r="L42" s="3" t="n"/>
      <c r="M42" s="3" t="n"/>
      <c r="N42" s="3" t="n"/>
      <c r="O42" s="3" t="n"/>
      <c r="P42" s="3" t="n"/>
      <c r="Q42" s="3" t="n"/>
      <c r="R42" s="4" t="inlineStr"/>
      <c r="S42" s="3" t="n"/>
      <c r="T42" s="3" t="n"/>
      <c r="U42" s="3" t="n"/>
      <c r="V42" s="3" t="n"/>
      <c r="W42" s="3" t="n"/>
      <c r="X42" s="3" t="n"/>
      <c r="Y42" s="3" t="n"/>
      <c r="Z42" s="3" t="n"/>
    </row>
    <row r="43">
      <c r="A43" s="19" t="inlineStr">
        <is>
          <t>Cash and cash equivalents</t>
        </is>
      </c>
      <c r="B43" s="3" t="n"/>
      <c r="C43" s="3" t="n"/>
      <c r="D43" s="3" t="n"/>
      <c r="E43" s="3" t="n"/>
      <c r="F43" s="3" t="n"/>
      <c r="G43" s="3" t="n"/>
      <c r="H43" s="3" t="n"/>
      <c r="I43" s="3" t="n"/>
      <c r="J43" s="3" t="n"/>
      <c r="K43" s="3" t="n"/>
      <c r="L43" s="22">
        <f>'BS'!B6</f>
        <v/>
      </c>
      <c r="M43" s="22">
        <f>'BS'!C6</f>
        <v/>
      </c>
      <c r="N43" s="3" t="n"/>
      <c r="O43" s="3" t="n"/>
      <c r="P43" s="3" t="n"/>
      <c r="Q43" s="22">
        <f>'BS'!E6</f>
        <v/>
      </c>
      <c r="R43" s="4" t="inlineStr">
        <is>
          <t>BS tab (combined); 1H26 = 30 Jun 2026</t>
        </is>
      </c>
      <c r="S43" s="3" t="n"/>
      <c r="T43" s="3" t="n"/>
      <c r="U43" s="3" t="n"/>
      <c r="V43" s="3" t="n"/>
      <c r="W43" s="3" t="n"/>
      <c r="X43" s="3" t="n"/>
      <c r="Y43" s="3" t="n"/>
      <c r="Z43" s="3" t="n"/>
    </row>
    <row r="44">
      <c r="A44" s="19" t="inlineStr">
        <is>
          <t>Accounts receivable, net</t>
        </is>
      </c>
      <c r="B44" s="3" t="n"/>
      <c r="C44" s="3" t="n"/>
      <c r="D44" s="3" t="n"/>
      <c r="E44" s="3" t="n"/>
      <c r="F44" s="3" t="n"/>
      <c r="G44" s="3" t="n"/>
      <c r="H44" s="3" t="n"/>
      <c r="I44" s="3" t="n"/>
      <c r="J44" s="3" t="n"/>
      <c r="K44" s="3" t="n"/>
      <c r="L44" s="22">
        <f>'BS'!B8</f>
        <v/>
      </c>
      <c r="M44" s="22">
        <f>'BS'!C8</f>
        <v/>
      </c>
      <c r="N44" s="3" t="n"/>
      <c r="O44" s="3" t="n"/>
      <c r="P44" s="3" t="n"/>
      <c r="Q44" s="22">
        <f>'BS'!E8</f>
        <v/>
      </c>
      <c r="R44" s="4" t="inlineStr"/>
      <c r="S44" s="3" t="n"/>
      <c r="T44" s="3" t="n"/>
      <c r="U44" s="3" t="n"/>
      <c r="V44" s="3" t="n"/>
      <c r="W44" s="3" t="n"/>
      <c r="X44" s="3" t="n"/>
      <c r="Y44" s="3" t="n"/>
      <c r="Z44" s="3" t="n"/>
    </row>
    <row r="45">
      <c r="A45" s="19" t="inlineStr">
        <is>
          <t>Goodwill</t>
        </is>
      </c>
      <c r="B45" s="3" t="n"/>
      <c r="C45" s="3" t="n"/>
      <c r="D45" s="3" t="n"/>
      <c r="E45" s="3" t="n"/>
      <c r="F45" s="3" t="n"/>
      <c r="G45" s="3" t="n"/>
      <c r="H45" s="3" t="n"/>
      <c r="I45" s="3" t="n"/>
      <c r="J45" s="3" t="n"/>
      <c r="K45" s="3" t="n"/>
      <c r="L45" s="22">
        <f>'BS'!B15</f>
        <v/>
      </c>
      <c r="M45" s="22">
        <f>'BS'!C15</f>
        <v/>
      </c>
      <c r="N45" s="3" t="n"/>
      <c r="O45" s="3" t="n"/>
      <c r="P45" s="3" t="n"/>
      <c r="Q45" s="22">
        <f>'BS'!E15</f>
        <v/>
      </c>
      <c r="R45" s="4" t="inlineStr"/>
      <c r="S45" s="3" t="n"/>
      <c r="T45" s="3" t="n"/>
      <c r="U45" s="3" t="n"/>
      <c r="V45" s="3" t="n"/>
      <c r="W45" s="3" t="n"/>
      <c r="X45" s="3" t="n"/>
      <c r="Y45" s="3" t="n"/>
      <c r="Z45" s="3" t="n"/>
    </row>
    <row r="46">
      <c r="A46" s="19" t="inlineStr">
        <is>
          <t>Other intangible assets, net</t>
        </is>
      </c>
      <c r="B46" s="3" t="n"/>
      <c r="C46" s="3" t="n"/>
      <c r="D46" s="3" t="n"/>
      <c r="E46" s="3" t="n"/>
      <c r="F46" s="3" t="n"/>
      <c r="G46" s="3" t="n"/>
      <c r="H46" s="3" t="n"/>
      <c r="I46" s="3" t="n"/>
      <c r="J46" s="3" t="n"/>
      <c r="K46" s="3" t="n"/>
      <c r="L46" s="22">
        <f>'BS'!B16</f>
        <v/>
      </c>
      <c r="M46" s="22">
        <f>'BS'!C16</f>
        <v/>
      </c>
      <c r="N46" s="3" t="n"/>
      <c r="O46" s="3" t="n"/>
      <c r="P46" s="3" t="n"/>
      <c r="Q46" s="22">
        <f>'BS'!E16</f>
        <v/>
      </c>
      <c r="R46" s="4" t="inlineStr"/>
      <c r="S46" s="3" t="n"/>
      <c r="T46" s="3" t="n"/>
      <c r="U46" s="3" t="n"/>
      <c r="V46" s="3" t="n"/>
      <c r="W46" s="3" t="n"/>
      <c r="X46" s="3" t="n"/>
      <c r="Y46" s="3" t="n"/>
      <c r="Z46" s="3" t="n"/>
    </row>
    <row r="47">
      <c r="A47" s="16" t="inlineStr">
        <is>
          <t>Total assets</t>
        </is>
      </c>
      <c r="B47" s="3" t="n"/>
      <c r="C47" s="3" t="n"/>
      <c r="D47" s="3" t="n"/>
      <c r="E47" s="3" t="n"/>
      <c r="F47" s="3" t="n"/>
      <c r="G47" s="3" t="n"/>
      <c r="H47" s="3" t="n"/>
      <c r="I47" s="3" t="n"/>
      <c r="J47" s="3" t="n"/>
      <c r="K47" s="3" t="n"/>
      <c r="L47" s="17">
        <f>'BS'!B19</f>
        <v/>
      </c>
      <c r="M47" s="17">
        <f>'BS'!C19</f>
        <v/>
      </c>
      <c r="N47" s="3" t="n"/>
      <c r="O47" s="3" t="n"/>
      <c r="P47" s="3" t="n"/>
      <c r="Q47" s="17">
        <f>'BS'!E19</f>
        <v/>
      </c>
      <c r="R47" s="4" t="inlineStr"/>
      <c r="S47" s="3" t="n"/>
      <c r="T47" s="3" t="n"/>
      <c r="U47" s="3" t="n"/>
      <c r="V47" s="3" t="n"/>
      <c r="W47" s="3" t="n"/>
      <c r="X47" s="3" t="n"/>
      <c r="Y47" s="3" t="n"/>
      <c r="Z47" s="3" t="n"/>
    </row>
    <row r="48">
      <c r="A48" s="19" t="inlineStr">
        <is>
          <t>Unearned revenue</t>
        </is>
      </c>
      <c r="B48" s="3" t="n"/>
      <c r="C48" s="3" t="n"/>
      <c r="D48" s="3" t="n"/>
      <c r="E48" s="3" t="n"/>
      <c r="F48" s="3" t="n"/>
      <c r="G48" s="3" t="n"/>
      <c r="H48" s="3" t="n"/>
      <c r="I48" s="3" t="n"/>
      <c r="J48" s="3" t="n"/>
      <c r="K48" s="3" t="n"/>
      <c r="L48" s="22">
        <f>'BS'!B24</f>
        <v/>
      </c>
      <c r="M48" s="22">
        <f>'BS'!C24</f>
        <v/>
      </c>
      <c r="N48" s="3" t="n"/>
      <c r="O48" s="3" t="n"/>
      <c r="P48" s="3" t="n"/>
      <c r="Q48" s="22">
        <f>'BS'!E24</f>
        <v/>
      </c>
      <c r="R48" s="4" t="inlineStr"/>
      <c r="S48" s="3" t="n"/>
      <c r="T48" s="3" t="n"/>
      <c r="U48" s="3" t="n"/>
      <c r="V48" s="3" t="n"/>
      <c r="W48" s="3" t="n"/>
      <c r="X48" s="3" t="n"/>
      <c r="Y48" s="3" t="n"/>
      <c r="Z48" s="3" t="n"/>
    </row>
    <row r="49">
      <c r="A49" s="19" t="inlineStr">
        <is>
          <t>Long-term debt (Senior Notes)</t>
        </is>
      </c>
      <c r="B49" s="3" t="n"/>
      <c r="C49" s="3" t="n"/>
      <c r="D49" s="3" t="n"/>
      <c r="E49" s="3" t="n"/>
      <c r="F49" s="3" t="n"/>
      <c r="G49" s="3" t="n"/>
      <c r="H49" s="3" t="n"/>
      <c r="I49" s="3" t="n"/>
      <c r="J49" s="3" t="n"/>
      <c r="K49" s="3" t="n"/>
      <c r="L49" s="3" t="n"/>
      <c r="M49" s="3" t="n"/>
      <c r="N49" s="3" t="n"/>
      <c r="O49" s="3" t="n"/>
      <c r="P49" s="3" t="n"/>
      <c r="Q49" s="22">
        <f>'BS'!E27</f>
        <v/>
      </c>
      <c r="R49" s="4" t="inlineStr">
        <is>
          <t>$2.0bn notes issued 29 May 2026</t>
        </is>
      </c>
      <c r="S49" s="3" t="n"/>
      <c r="T49" s="3" t="n"/>
      <c r="U49" s="3" t="n"/>
      <c r="V49" s="3" t="n"/>
      <c r="W49" s="3" t="n"/>
      <c r="X49" s="3" t="n"/>
      <c r="Y49" s="3" t="n"/>
      <c r="Z49" s="3" t="n"/>
    </row>
    <row r="50">
      <c r="A50" s="19" t="inlineStr">
        <is>
          <t>Deferred tax liability</t>
        </is>
      </c>
      <c r="B50" s="3" t="n"/>
      <c r="C50" s="3" t="n"/>
      <c r="D50" s="3" t="n"/>
      <c r="E50" s="3" t="n"/>
      <c r="F50" s="3" t="n"/>
      <c r="G50" s="3" t="n"/>
      <c r="H50" s="3" t="n"/>
      <c r="I50" s="3" t="n"/>
      <c r="J50" s="3" t="n"/>
      <c r="K50" s="3" t="n"/>
      <c r="L50" s="22">
        <f>'BS'!B29</f>
        <v/>
      </c>
      <c r="M50" s="22">
        <f>'BS'!C29</f>
        <v/>
      </c>
      <c r="N50" s="3" t="n"/>
      <c r="O50" s="3" t="n"/>
      <c r="P50" s="3" t="n"/>
      <c r="Q50" s="22">
        <f>'BS'!E29</f>
        <v/>
      </c>
      <c r="R50" s="4" t="inlineStr"/>
      <c r="S50" s="3" t="n"/>
      <c r="T50" s="3" t="n"/>
      <c r="U50" s="3" t="n"/>
      <c r="V50" s="3" t="n"/>
      <c r="W50" s="3" t="n"/>
      <c r="X50" s="3" t="n"/>
      <c r="Y50" s="3" t="n"/>
      <c r="Z50" s="3" t="n"/>
    </row>
    <row r="51">
      <c r="A51" s="19" t="inlineStr">
        <is>
          <t>Total liabilities</t>
        </is>
      </c>
      <c r="B51" s="3" t="n"/>
      <c r="C51" s="3" t="n"/>
      <c r="D51" s="3" t="n"/>
      <c r="E51" s="3" t="n"/>
      <c r="F51" s="3" t="n"/>
      <c r="G51" s="3" t="n"/>
      <c r="H51" s="3" t="n"/>
      <c r="I51" s="3" t="n"/>
      <c r="J51" s="3" t="n"/>
      <c r="K51" s="3" t="n"/>
      <c r="L51" s="22">
        <f>'BS'!B32</f>
        <v/>
      </c>
      <c r="M51" s="22">
        <f>'BS'!C32</f>
        <v/>
      </c>
      <c r="N51" s="3" t="n"/>
      <c r="O51" s="3" t="n"/>
      <c r="P51" s="3" t="n"/>
      <c r="Q51" s="22">
        <f>'BS'!E32</f>
        <v/>
      </c>
      <c r="R51" s="4" t="inlineStr"/>
      <c r="S51" s="3" t="n"/>
      <c r="T51" s="3" t="n"/>
      <c r="U51" s="3" t="n"/>
      <c r="V51" s="3" t="n"/>
      <c r="W51" s="3" t="n"/>
      <c r="X51" s="3" t="n"/>
      <c r="Y51" s="3" t="n"/>
      <c r="Z51" s="3" t="n"/>
    </row>
    <row r="52">
      <c r="A52" s="16" t="inlineStr">
        <is>
          <t>Total equity (parent company investment)</t>
        </is>
      </c>
      <c r="B52" s="3" t="n"/>
      <c r="C52" s="3" t="n"/>
      <c r="D52" s="3" t="n"/>
      <c r="E52" s="3" t="n"/>
      <c r="F52" s="3" t="n"/>
      <c r="G52" s="3" t="n"/>
      <c r="H52" s="3" t="n"/>
      <c r="I52" s="3" t="n"/>
      <c r="J52" s="3" t="n"/>
      <c r="K52" s="3" t="n"/>
      <c r="L52" s="17">
        <f>'BS'!B35</f>
        <v/>
      </c>
      <c r="M52" s="17">
        <f>'BS'!C35</f>
        <v/>
      </c>
      <c r="N52" s="3" t="n"/>
      <c r="O52" s="3" t="n"/>
      <c r="P52" s="3" t="n"/>
      <c r="Q52" s="17">
        <f>'BS'!E35</f>
        <v/>
      </c>
      <c r="R52" s="4" t="inlineStr">
        <is>
          <t>Fell by the $2.0bn dividend to S&amp;P Global in 2026</t>
        </is>
      </c>
      <c r="S52" s="3" t="n"/>
      <c r="T52" s="3" t="n"/>
      <c r="U52" s="3" t="n"/>
      <c r="V52" s="3" t="n"/>
      <c r="W52" s="3" t="n"/>
      <c r="X52" s="3" t="n"/>
      <c r="Y52" s="3" t="n"/>
      <c r="Z52" s="3" t="n"/>
    </row>
    <row r="53">
      <c r="A53" s="19" t="inlineStr">
        <is>
          <t xml:space="preserve">   Net debt (cash) [C]</t>
        </is>
      </c>
      <c r="B53" s="3" t="n"/>
      <c r="C53" s="3" t="n"/>
      <c r="D53" s="3" t="n"/>
      <c r="E53" s="3" t="n"/>
      <c r="F53" s="3" t="n"/>
      <c r="G53" s="3" t="n"/>
      <c r="H53" s="3" t="n"/>
      <c r="I53" s="3" t="n"/>
      <c r="J53" s="3" t="n"/>
      <c r="K53" s="3" t="n"/>
      <c r="L53" s="23">
        <f>L49-L43</f>
        <v/>
      </c>
      <c r="M53" s="23">
        <f>M49-M43</f>
        <v/>
      </c>
      <c r="N53" s="3" t="n"/>
      <c r="O53" s="3" t="n"/>
      <c r="P53" s="3" t="n"/>
      <c r="Q53" s="23">
        <f>Q49-Q43</f>
        <v/>
      </c>
      <c r="R53" s="4" t="inlineStr"/>
      <c r="S53" s="3" t="n"/>
      <c r="T53" s="3" t="n"/>
      <c r="U53" s="3" t="n"/>
      <c r="V53" s="3" t="n"/>
      <c r="W53" s="3" t="n"/>
      <c r="X53" s="3" t="n"/>
      <c r="Y53" s="3" t="n"/>
      <c r="Z53" s="3" t="n"/>
    </row>
    <row r="54">
      <c r="A54" s="14" t="inlineStr">
        <is>
          <t>Cash flow</t>
        </is>
      </c>
      <c r="B54" s="15" t="n"/>
      <c r="C54" s="15" t="n"/>
      <c r="D54" s="15" t="n"/>
      <c r="E54" s="15" t="n"/>
      <c r="F54" s="15" t="n"/>
      <c r="G54" s="15" t="n"/>
      <c r="H54" s="15" t="n"/>
      <c r="I54" s="15" t="n"/>
      <c r="J54" s="15" t="n"/>
      <c r="K54" s="15" t="n"/>
      <c r="L54" s="15" t="n"/>
      <c r="M54" s="15" t="n"/>
      <c r="N54" s="15" t="n"/>
      <c r="O54" s="15" t="n"/>
      <c r="P54" s="15" t="n"/>
      <c r="Q54" s="15" t="n"/>
      <c r="R54" s="3" t="n"/>
      <c r="S54" s="3" t="n"/>
      <c r="T54" s="3" t="n"/>
      <c r="U54" s="3" t="n"/>
      <c r="V54" s="3" t="n"/>
      <c r="W54" s="3" t="n"/>
      <c r="X54" s="3" t="n"/>
      <c r="Y54" s="3" t="n"/>
      <c r="Z54" s="3" t="n"/>
    </row>
    <row r="55">
      <c r="A55" s="16" t="inlineStr">
        <is>
          <t>Cash from operations</t>
        </is>
      </c>
      <c r="B55" s="3" t="n"/>
      <c r="C55" s="3" t="n"/>
      <c r="D55" s="3" t="n"/>
      <c r="E55" s="3" t="n"/>
      <c r="F55" s="3" t="n"/>
      <c r="G55" s="3" t="n"/>
      <c r="H55" s="3" t="n"/>
      <c r="I55" s="3" t="n"/>
      <c r="J55" s="3" t="n"/>
      <c r="K55" s="17">
        <f>'CF'!B22</f>
        <v/>
      </c>
      <c r="L55" s="17">
        <f>'CF'!C22</f>
        <v/>
      </c>
      <c r="M55" s="17">
        <f>'CF'!D22</f>
        <v/>
      </c>
      <c r="N55" s="3" t="n"/>
      <c r="O55" s="3" t="n"/>
      <c r="P55" s="17">
        <f>'CF'!G22</f>
        <v/>
      </c>
      <c r="Q55" s="17">
        <f>'CF'!J22</f>
        <v/>
      </c>
      <c r="R55" s="4" t="inlineStr">
        <is>
          <t>CF tab</t>
        </is>
      </c>
      <c r="S55" s="3" t="n"/>
      <c r="T55" s="3" t="n"/>
      <c r="U55" s="3" t="n"/>
      <c r="V55" s="3" t="n"/>
      <c r="W55" s="3" t="n"/>
      <c r="X55" s="3" t="n"/>
      <c r="Y55" s="3" t="n"/>
      <c r="Z55" s="3" t="n"/>
    </row>
    <row r="56">
      <c r="A56" s="19" t="inlineStr">
        <is>
          <t>Capital expenditures</t>
        </is>
      </c>
      <c r="B56" s="3" t="n"/>
      <c r="C56" s="3" t="n"/>
      <c r="D56" s="3" t="n"/>
      <c r="E56" s="3" t="n"/>
      <c r="F56" s="3" t="n"/>
      <c r="G56" s="3" t="n"/>
      <c r="H56" s="3" t="n"/>
      <c r="I56" s="3" t="n"/>
      <c r="J56" s="22">
        <f>-'Segment History'!J40</f>
        <v/>
      </c>
      <c r="K56" s="22">
        <f>'CF'!B24</f>
        <v/>
      </c>
      <c r="L56" s="22">
        <f>'CF'!C24</f>
        <v/>
      </c>
      <c r="M56" s="22">
        <f>'CF'!D24</f>
        <v/>
      </c>
      <c r="N56" s="3" t="n"/>
      <c r="O56" s="3" t="n"/>
      <c r="P56" s="22">
        <f>'CF'!G24</f>
        <v/>
      </c>
      <c r="Q56" s="22">
        <f>'CF'!J24</f>
        <v/>
      </c>
      <c r="R56" s="4" t="inlineStr">
        <is>
          <t>FY22 SPGI segment capex; FY23+ CF</t>
        </is>
      </c>
      <c r="S56" s="3" t="n"/>
      <c r="T56" s="3" t="n"/>
      <c r="U56" s="3" t="n"/>
      <c r="V56" s="3" t="n"/>
      <c r="W56" s="3" t="n"/>
      <c r="X56" s="3" t="n"/>
      <c r="Y56" s="3" t="n"/>
      <c r="Z56" s="3" t="n"/>
    </row>
    <row r="57">
      <c r="A57" s="16" t="inlineStr">
        <is>
          <t>Free cash flow (CFO + capex) [C]</t>
        </is>
      </c>
      <c r="B57" s="3" t="n"/>
      <c r="C57" s="3" t="n"/>
      <c r="D57" s="3" t="n"/>
      <c r="E57" s="3" t="n"/>
      <c r="F57" s="3" t="n"/>
      <c r="G57" s="3" t="n"/>
      <c r="H57" s="3" t="n"/>
      <c r="I57" s="3" t="n"/>
      <c r="J57" s="3" t="n"/>
      <c r="K57" s="24">
        <f>K55+K56</f>
        <v/>
      </c>
      <c r="L57" s="24">
        <f>L55+L56</f>
        <v/>
      </c>
      <c r="M57" s="24">
        <f>M55+M56</f>
        <v/>
      </c>
      <c r="N57" s="3" t="n"/>
      <c r="O57" s="3" t="n"/>
      <c r="P57" s="24">
        <f>P55+P56</f>
        <v/>
      </c>
      <c r="Q57" s="24">
        <f>Q55+Q56</f>
        <v/>
      </c>
      <c r="R57" s="4" t="inlineStr"/>
      <c r="S57" s="3" t="n"/>
      <c r="T57" s="3" t="n"/>
      <c r="U57" s="3" t="n"/>
      <c r="V57" s="3" t="n"/>
      <c r="W57" s="3" t="n"/>
      <c r="X57" s="3" t="n"/>
      <c r="Y57" s="3" t="n"/>
      <c r="Z57" s="3" t="n"/>
    </row>
    <row r="58">
      <c r="A58" s="19" t="inlineStr">
        <is>
          <t xml:space="preserve">   FCF / Adjusted EBITDA</t>
        </is>
      </c>
      <c r="B58" s="3" t="n"/>
      <c r="C58" s="3" t="n"/>
      <c r="D58" s="3" t="n"/>
      <c r="E58" s="3" t="n"/>
      <c r="F58" s="3" t="n"/>
      <c r="G58" s="3" t="n"/>
      <c r="H58" s="3" t="n"/>
      <c r="I58" s="3" t="n"/>
      <c r="J58" s="3" t="n"/>
      <c r="K58" s="20">
        <f>IF(K31=0,"",K57/K31)</f>
        <v/>
      </c>
      <c r="L58" s="20">
        <f>IF(L31=0,"",L57/L31)</f>
        <v/>
      </c>
      <c r="M58" s="20">
        <f>IF(M31=0,"",M57/M31)</f>
        <v/>
      </c>
      <c r="N58" s="3" t="n"/>
      <c r="O58" s="3" t="n"/>
      <c r="P58" s="20">
        <f>IF(P31=0,"",P57/P31)</f>
        <v/>
      </c>
      <c r="Q58" s="20">
        <f>IF(Q31=0,"",Q57/Q31)</f>
        <v/>
      </c>
      <c r="R58" s="4" t="inlineStr">
        <is>
          <t>[C]</t>
        </is>
      </c>
      <c r="S58" s="3" t="n"/>
      <c r="T58" s="3" t="n"/>
      <c r="U58" s="3" t="n"/>
      <c r="V58" s="3" t="n"/>
      <c r="W58" s="3" t="n"/>
      <c r="X58" s="3" t="n"/>
      <c r="Y58" s="3" t="n"/>
      <c r="Z58" s="3" t="n"/>
    </row>
    <row r="59">
      <c r="A59" s="19" t="inlineStr">
        <is>
          <t>Acquisitions, net of cash</t>
        </is>
      </c>
      <c r="B59" s="3" t="n"/>
      <c r="C59" s="3" t="n"/>
      <c r="D59" s="3" t="n"/>
      <c r="E59" s="3" t="n"/>
      <c r="F59" s="3" t="n"/>
      <c r="G59" s="3" t="n"/>
      <c r="H59" s="3" t="n"/>
      <c r="I59" s="3" t="n"/>
      <c r="J59" s="3" t="n"/>
      <c r="K59" s="22">
        <f>'CF'!B25</f>
        <v/>
      </c>
      <c r="L59" s="22">
        <f>'CF'!C25</f>
        <v/>
      </c>
      <c r="M59" s="22">
        <f>'CF'!D25</f>
        <v/>
      </c>
      <c r="N59" s="3" t="n"/>
      <c r="O59" s="3" t="n"/>
      <c r="P59" s="3" t="n"/>
      <c r="Q59" s="3" t="n"/>
      <c r="R59" s="4" t="inlineStr">
        <is>
          <t>FY23 Market Scan</t>
        </is>
      </c>
      <c r="S59" s="3" t="n"/>
      <c r="T59" s="3" t="n"/>
      <c r="U59" s="3" t="n"/>
      <c r="V59" s="3" t="n"/>
      <c r="W59" s="3" t="n"/>
      <c r="X59" s="3" t="n"/>
      <c r="Y59" s="3" t="n"/>
      <c r="Z59" s="3" t="n"/>
    </row>
    <row r="60">
      <c r="A60" s="19" t="inlineStr">
        <is>
          <t>Net transfers to S&amp;P Global (parent)</t>
        </is>
      </c>
      <c r="B60" s="3" t="n"/>
      <c r="C60" s="3" t="n"/>
      <c r="D60" s="3" t="n"/>
      <c r="E60" s="3" t="n"/>
      <c r="F60" s="3" t="n"/>
      <c r="G60" s="3" t="n"/>
      <c r="H60" s="3" t="n"/>
      <c r="I60" s="3" t="n"/>
      <c r="J60" s="3" t="n"/>
      <c r="K60" s="22">
        <f>'CF'!B32</f>
        <v/>
      </c>
      <c r="L60" s="22">
        <f>'CF'!C32</f>
        <v/>
      </c>
      <c r="M60" s="22">
        <f>'CF'!D32</f>
        <v/>
      </c>
      <c r="N60" s="3" t="n"/>
      <c r="O60" s="3" t="n"/>
      <c r="P60" s="22">
        <f>'CF'!G32</f>
        <v/>
      </c>
      <c r="Q60" s="22">
        <f>'CF'!J32</f>
        <v/>
      </c>
      <c r="R60" s="4" t="inlineStr">
        <is>
          <t>1H26 includes the $2.0bn dividend</t>
        </is>
      </c>
      <c r="S60" s="3" t="n"/>
      <c r="T60" s="3" t="n"/>
      <c r="U60" s="3" t="n"/>
      <c r="V60" s="3" t="n"/>
      <c r="W60" s="3" t="n"/>
      <c r="X60" s="3" t="n"/>
      <c r="Y60" s="3" t="n"/>
      <c r="Z60" s="3" t="n"/>
    </row>
    <row r="61">
      <c r="A61" s="19" t="inlineStr">
        <is>
          <t>Proceeds from Senior Notes</t>
        </is>
      </c>
      <c r="B61" s="3" t="n"/>
      <c r="C61" s="3" t="n"/>
      <c r="D61" s="3" t="n"/>
      <c r="E61" s="3" t="n"/>
      <c r="F61" s="3" t="n"/>
      <c r="G61" s="3" t="n"/>
      <c r="H61" s="3" t="n"/>
      <c r="I61" s="3" t="n"/>
      <c r="J61" s="3" t="n"/>
      <c r="K61" s="3" t="n"/>
      <c r="L61" s="3" t="n"/>
      <c r="M61" s="3" t="n"/>
      <c r="N61" s="3" t="n"/>
      <c r="O61" s="3" t="n"/>
      <c r="P61" s="3" t="n"/>
      <c r="Q61" s="22">
        <f>'CF'!J31</f>
        <v/>
      </c>
      <c r="R61" s="4" t="inlineStr"/>
      <c r="S61" s="3" t="n"/>
      <c r="T61" s="3" t="n"/>
      <c r="U61" s="3" t="n"/>
      <c r="V61" s="3" t="n"/>
      <c r="W61" s="3" t="n"/>
      <c r="X61" s="3" t="n"/>
      <c r="Y61" s="3" t="n"/>
      <c r="Z61" s="3" t="n"/>
    </row>
    <row r="62">
      <c r="A62" s="14" t="inlineStr">
        <is>
          <t>Checks</t>
        </is>
      </c>
      <c r="B62" s="15" t="n"/>
      <c r="C62" s="15" t="n"/>
      <c r="D62" s="15" t="n"/>
      <c r="E62" s="15" t="n"/>
      <c r="F62" s="15" t="n"/>
      <c r="G62" s="15" t="n"/>
      <c r="H62" s="15" t="n"/>
      <c r="I62" s="15" t="n"/>
      <c r="J62" s="15" t="n"/>
      <c r="K62" s="15" t="n"/>
      <c r="L62" s="15" t="n"/>
      <c r="M62" s="15" t="n"/>
      <c r="N62" s="15" t="n"/>
      <c r="O62" s="15" t="n"/>
      <c r="P62" s="15" t="n"/>
      <c r="Q62" s="15" t="n"/>
      <c r="R62" s="3" t="n"/>
      <c r="S62" s="3" t="n"/>
      <c r="T62" s="3" t="n"/>
      <c r="U62" s="3" t="n"/>
      <c r="V62" s="3" t="n"/>
      <c r="W62" s="3" t="n"/>
      <c r="X62" s="3" t="n"/>
      <c r="Y62" s="3" t="n"/>
      <c r="Z62" s="3" t="n"/>
    </row>
    <row r="63">
      <c r="A63" s="25" t="inlineStr">
        <is>
          <t>CHECK CARFAX + B2B revenue = revenue</t>
        </is>
      </c>
      <c r="B63" s="26" t="n"/>
      <c r="C63" s="26" t="n"/>
      <c r="D63" s="26" t="n"/>
      <c r="E63" s="26" t="n"/>
      <c r="F63" s="26" t="n"/>
      <c r="G63" s="26" t="n"/>
      <c r="H63" s="26" t="n"/>
      <c r="I63" s="26" t="n"/>
      <c r="J63" s="26" t="n"/>
      <c r="K63" s="27">
        <f>K15+K16-K7</f>
        <v/>
      </c>
      <c r="L63" s="27">
        <f>L15+L16-L7</f>
        <v/>
      </c>
      <c r="M63" s="27">
        <f>M15+M16-M7</f>
        <v/>
      </c>
      <c r="N63" s="26" t="n"/>
      <c r="O63" s="26" t="n"/>
      <c r="P63" s="27">
        <f>P15+P16-P7</f>
        <v/>
      </c>
      <c r="Q63" s="27">
        <f>Q15+Q16-Q7</f>
        <v/>
      </c>
      <c r="R63" s="3" t="n"/>
      <c r="S63" s="3" t="n"/>
      <c r="T63" s="3" t="n"/>
      <c r="U63" s="3" t="n"/>
      <c r="V63" s="3" t="n"/>
      <c r="W63" s="3" t="n"/>
      <c r="X63" s="3" t="n"/>
      <c r="Y63" s="3" t="n"/>
      <c r="Z63" s="3" t="inlineStr">
        <is>
          <t>CHECK</t>
        </is>
      </c>
    </row>
    <row r="64">
      <c r="A64" s="25" t="inlineStr">
        <is>
          <t>CHECK subscription + non-subscription = revenue</t>
        </is>
      </c>
      <c r="B64" s="26" t="n"/>
      <c r="C64" s="26" t="n"/>
      <c r="D64" s="26" t="n"/>
      <c r="E64" s="26" t="n"/>
      <c r="F64" s="26" t="n"/>
      <c r="G64" s="26" t="n"/>
      <c r="H64" s="26" t="n"/>
      <c r="I64" s="26" t="n"/>
      <c r="J64" s="26" t="n"/>
      <c r="K64" s="27">
        <f>K10+K11-K7</f>
        <v/>
      </c>
      <c r="L64" s="27">
        <f>L10+L11-L7</f>
        <v/>
      </c>
      <c r="M64" s="27">
        <f>M10+M11-M7</f>
        <v/>
      </c>
      <c r="N64" s="26" t="n"/>
      <c r="O64" s="26" t="n"/>
      <c r="P64" s="27">
        <f>P10+P11-P7</f>
        <v/>
      </c>
      <c r="Q64" s="27">
        <f>Q10+Q11-Q7</f>
        <v/>
      </c>
      <c r="R64" s="3" t="n"/>
      <c r="S64" s="3" t="n"/>
      <c r="T64" s="3" t="n"/>
      <c r="U64" s="3" t="n"/>
      <c r="V64" s="3" t="n"/>
      <c r="W64" s="3" t="n"/>
      <c r="X64" s="3" t="n"/>
      <c r="Y64" s="3" t="n"/>
      <c r="Z64" s="3" t="inlineStr">
        <is>
          <t>CHECK</t>
        </is>
      </c>
    </row>
    <row r="65">
      <c r="A65" s="25" t="inlineStr">
        <is>
          <t>CHECK U.S. + International = revenue</t>
        </is>
      </c>
      <c r="B65" s="26" t="n"/>
      <c r="C65" s="26" t="n"/>
      <c r="D65" s="26" t="n"/>
      <c r="E65" s="26" t="n"/>
      <c r="F65" s="26" t="n"/>
      <c r="G65" s="26" t="n"/>
      <c r="H65" s="26" t="n"/>
      <c r="I65" s="26" t="n"/>
      <c r="J65" s="26" t="n"/>
      <c r="K65" s="27">
        <f>K13+K14-K7</f>
        <v/>
      </c>
      <c r="L65" s="27">
        <f>L13+L14-L7</f>
        <v/>
      </c>
      <c r="M65" s="27">
        <f>M13+M14-M7</f>
        <v/>
      </c>
      <c r="N65" s="26" t="n"/>
      <c r="O65" s="26" t="n"/>
      <c r="P65" s="27">
        <f>P13+P14-P7</f>
        <v/>
      </c>
      <c r="Q65" s="27">
        <f>Q13+Q14-Q7</f>
        <v/>
      </c>
      <c r="R65" s="3" t="n"/>
      <c r="S65" s="3" t="n"/>
      <c r="T65" s="3" t="n"/>
      <c r="U65" s="3" t="n"/>
      <c r="V65" s="3" t="n"/>
      <c r="W65" s="3" t="n"/>
      <c r="X65" s="3" t="n"/>
      <c r="Y65" s="3" t="n"/>
      <c r="Z65" s="3" t="inlineStr">
        <is>
          <t>CHECK</t>
        </is>
      </c>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4" t="inlineStr">
        <is>
          <t>Eras: FY14–21 = IHS Markit "Transportation" segment (Nov-30 year-end; includes Maritime &amp; Trade throughout and Aerospace &amp; Defense until Dec-2019; automotive ~80% → &gt;90% of revenue). FY22 = S&amp;P Global "Mobility" segment from the 28-Feb-2022 merger (~10 months; Dec-2021–Feb-2022 in neither era). FY23+ = Mobility Global combined (carve-out) statements.</t>
        </is>
      </c>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4" t="inlineStr">
        <is>
          <t>Not comparable across eras: scope, fiscal year-end and profit measure differ (IHS Adj. EBITDA vs MBGL Adj. EBITDA; SPGI reported only segment operating profit). No growth is computed across a boundary.</t>
        </is>
      </c>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4" t="inlineStr">
        <is>
          <t>FY14–15 IHS figures come from later 10-K comparatives (IHS Inc. filings not on Quartr). Balance sheet before FY2024 = segment assets only; no carve-out balance sheet was printed for FY2023 or earlier.</t>
        </is>
      </c>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4" t="inlineStr">
        <is>
          <t>FY2026E: guidance midpoints only (8-K 2026-08-07). 1H26 interest and tax predate most of the new $2.0bn debt service (≈$55m 2H26 interest guided).</t>
        </is>
      </c>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4" t="inlineStr">
        <is>
          <t>Detail and audit trail: IS / BS / CF / Segment P&amp;L / Segment History tabs; Accounting Notes for every break and gap.</t>
        </is>
      </c>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34" customWidth="1" min="1" max="1"/>
    <col width="120" customWidth="1" min="2" max="2"/>
    <col width="12" customWidth="1" min="3" max="3"/>
    <col hidden="1" width="13" customWidth="1" min="26" max="26"/>
  </cols>
  <sheetData>
    <row r="1" ht="20" customHeight="1">
      <c r="A1" s="1" t="inlineStr">
        <is>
          <t>Mobility Global Inc. (NYSE: MBGL) — Audit-quality historical financial model</t>
        </is>
      </c>
      <c r="B1" s="2" t="n"/>
      <c r="C1" s="2" t="n"/>
    </row>
    <row r="2">
      <c r="A2" s="4" t="inlineStr">
        <is>
          <t>Built 2026-10-06 from primary filings via the Quartr connector. All figures as originally reported.</t>
        </is>
      </c>
      <c r="B2" s="3" t="n"/>
      <c r="C2" s="3" t="n"/>
    </row>
    <row r="3">
      <c r="A3" s="3" t="n"/>
      <c r="B3" s="3" t="n"/>
      <c r="C3" s="3" t="n"/>
    </row>
    <row r="4">
      <c r="A4" s="16" t="inlineStr">
        <is>
          <t>Company</t>
        </is>
      </c>
      <c r="B4" s="28" t="inlineStr">
        <is>
          <t>Mobility Global Inc. (Delaware); spin-off of S&amp;P Global Mobility (CARFAX, automotiveMastermind, Polk Automotive Solutions, Market Scan). Distribution 2026-07-01 (record date 2026-06-15), ratio 1:1; S&amp;P Global retained no stake.</t>
        </is>
      </c>
      <c r="C4" s="3" t="n"/>
    </row>
    <row r="5">
      <c r="A5" s="16" t="inlineStr">
        <is>
          <t>Listing / ticker</t>
        </is>
      </c>
      <c r="B5" s="28" t="inlineStr">
        <is>
          <t>NYSE: MBGL</t>
        </is>
      </c>
      <c r="C5" s="3" t="n"/>
    </row>
    <row r="6">
      <c r="A6" s="16" t="inlineStr">
        <is>
          <t>Regulator ID</t>
        </is>
      </c>
      <c r="B6" s="28" t="inlineStr">
        <is>
          <t>SEC File No. 001-43276; IRS EIN 39-4621962. EDGAR CIK not confirmed (sec.gov blocked by sandbox network policy).</t>
        </is>
      </c>
      <c r="C6" s="3" t="n"/>
    </row>
    <row r="7">
      <c r="A7" s="16" t="inlineStr">
        <is>
          <t>GAAP / currency</t>
        </is>
      </c>
      <c r="B7" s="28" t="inlineStr">
        <is>
          <t>US GAAP; USD millions (per-share in USD). Fiscal year ends December 31.</t>
        </is>
      </c>
      <c r="C7" s="3" t="n"/>
    </row>
    <row r="8">
      <c r="A8" s="16" t="inlineStr">
        <is>
          <t>Basis of preparation</t>
        </is>
      </c>
      <c r="B8" s="28" t="inlineStr">
        <is>
          <t>Combined (carve-out) financial statements of the Mobility business of S&amp;P Global — include allocations of S&amp;P Global corporate costs; not necessarily indicative of standalone results. Standalone from distribution (Q3-2026 onward).</t>
        </is>
      </c>
      <c r="C8" s="3" t="n"/>
    </row>
    <row r="9">
      <c r="A9" s="16" t="inlineStr">
        <is>
          <t>Periods</t>
        </is>
      </c>
      <c r="B9" s="28" t="inlineStr">
        <is>
          <t>Income statement &amp; cash flow FY2023–FY2025 (audited), Q1-2025/Q1-2026 (Form 10/A), Q2 and 6M 2025/2026 (10-Q). Balance sheets 12/31/24, 12/31/25, 3/31/26, 6/30/26. Predecessor segment history FY2014–FY2025 on its own tab.</t>
        </is>
      </c>
      <c r="C9" s="3" t="n"/>
    </row>
    <row r="10">
      <c r="A10" s="16" t="inlineStr">
        <is>
          <t>Sources</t>
        </is>
      </c>
      <c r="B10" s="28" t="inlineStr">
        <is>
          <t>Form 10-12B (2026-05-07), Form 10-12B/A (2026-05-27), 10-Q Q2-2026 (2026-08-07), 8-K earnings release (2026-08-07), Investor Day deck (2026-05-12), Q2-2026 deck; S&amp;P Global 10-K FY2022–FY2025; IHS Markit 10-K FY2016–FY2021. All read via Quartr page text.</t>
        </is>
      </c>
      <c r="C10" s="3" t="n"/>
    </row>
    <row r="11">
      <c r="A11" s="16" t="inlineStr">
        <is>
          <t>Source limitation</t>
        </is>
      </c>
      <c r="B11" s="28" t="inlineStr">
        <is>
          <t>Native filings (EDGAR, Quartr PDF CDN, Wayback) were blocked by the sandbox network policy; Quartr page text flattens tables and corrupts some digits. Unreadable cells are left blank and logged (Accounting Notes, *_NOTES.md). No XBRL cross-check was possible — verification is cross-document (Form 10 vs 10/A vs 10-Q vs 8-K vs decks).</t>
        </is>
      </c>
      <c r="C11" s="3" t="n"/>
    </row>
    <row r="12">
      <c r="A12" s="16" t="inlineStr">
        <is>
          <t>Conventions</t>
        </is>
      </c>
      <c r="B12" s="28" t="inlineStr">
        <is>
          <t>Blank = not reported / not machine-readable; dash = reported zero. Blue = hard input as filed; black = in-sheet formula; green = cross-sheet formula. "0.0%" literal format = as-printed percentage; true % = computed ratio. Check rows marked CHECK (hidden col Z).</t>
        </is>
      </c>
      <c r="C12" s="3" t="n"/>
    </row>
    <row r="13">
      <c r="A13" s="16" t="inlineStr">
        <is>
          <t>Tiers</t>
        </is>
      </c>
      <c r="B13" s="28" t="inlineStr">
        <is>
          <t>[D] disclosed · [C] computed · [E] estimate · [IR] management verbal · [X] third party · [context] general knowledge.</t>
        </is>
      </c>
      <c r="C13" s="3" t="n"/>
    </row>
    <row r="14">
      <c r="A14" s="16" t="inlineStr">
        <is>
          <t>Tabs</t>
        </is>
      </c>
      <c r="B14" s="28" t="inlineStr">
        <is>
          <t>Annual Summary (front: FY14–FY26E P&amp;L, balance sheet, cash flow, segments) · Accounting Notes · IS · BS · CF · Key Metrics · Segment P&amp;L · Segments · Revenue Detail · Adjusted Non-GAAP · Operating KPIs · notes tabs (Debt, Tax, Equity, OCI, Pension, Goodwill &amp; Intangibles, Related Party, Leases, Commitments, Deferred Revenue) · Pro Forma · Segment History · Predecessor Segments · Acquisitions · Presentation Data · Qualitative · Caption Map</t>
        </is>
      </c>
      <c r="C14"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90" customWidth="1" min="3" max="3"/>
    <col width="30" customWidth="1" min="4" max="4"/>
    <col width="50" customWidth="1" min="5" max="5"/>
    <col width="12" customWidth="1" min="6" max="6"/>
    <col hidden="1" width="13" customWidth="1" min="26" max="26"/>
  </cols>
  <sheetData>
    <row r="1" ht="20" customHeight="1">
      <c r="A1" s="1" t="inlineStr">
        <is>
          <t>Accounting Notes — breaks, restatements, definition changes, non-disclosures, data-quality flags</t>
        </is>
      </c>
      <c r="B1" s="2" t="n"/>
      <c r="C1" s="2" t="n"/>
      <c r="D1" s="2" t="n"/>
      <c r="E1" s="2" t="n"/>
      <c r="F1" s="2" t="n"/>
    </row>
    <row r="2">
      <c r="A2" s="4" t="inlineStr">
        <is>
          <t>One row per item. Tier: [D] disclosed; [C] computed; flag types: BREAK / RESTATE / DEFN / NONDISC / DATAQ / BASIS.</t>
        </is>
      </c>
      <c r="B2" s="3" t="n"/>
      <c r="C2" s="3" t="n"/>
      <c r="D2" s="3" t="n"/>
      <c r="E2" s="3" t="n"/>
      <c r="F2" s="3" t="n"/>
    </row>
    <row r="3">
      <c r="A3" s="3" t="n"/>
      <c r="B3" s="3" t="n"/>
      <c r="C3" s="3" t="n"/>
      <c r="D3" s="3" t="n"/>
      <c r="E3" s="3" t="n"/>
      <c r="F3" s="3" t="n"/>
    </row>
    <row r="4">
      <c r="A4" s="9" t="inlineStr">
        <is>
          <t>Type</t>
        </is>
      </c>
      <c r="B4" s="29" t="inlineStr">
        <is>
          <t>Area</t>
        </is>
      </c>
      <c r="C4" s="29" t="inlineStr">
        <is>
          <t>Item</t>
        </is>
      </c>
      <c r="D4" s="29" t="inlineStr">
        <is>
          <t>Source</t>
        </is>
      </c>
      <c r="E4" s="29" t="inlineStr">
        <is>
          <t>Model treatment</t>
        </is>
      </c>
      <c r="F4" s="3" t="n"/>
    </row>
    <row r="5">
      <c r="A5" s="28" t="inlineStr">
        <is>
          <t>BASIS</t>
        </is>
      </c>
      <c r="B5" s="28" t="inlineStr">
        <is>
          <t>All</t>
        </is>
      </c>
      <c r="C5" s="28" t="inlineStr">
        <is>
          <t>Carve-out (combined) statements of S&amp;P Global Mobility; include S&amp;P Global corporate allocations; not indicative of standalone costs. Standalone from distribution 2026-07-01.</t>
        </is>
      </c>
      <c r="D5" s="28" t="inlineStr">
        <is>
          <t>Form10A Basis of presentation; 10-Q Note 1</t>
        </is>
      </c>
      <c r="E5" s="28" t="inlineStr">
        <is>
          <t>Shown as reported; standalone deltas tracked in analysis/D3</t>
        </is>
      </c>
      <c r="F5" s="3" t="n"/>
    </row>
    <row r="6">
      <c r="A6" s="28" t="inlineStr">
        <is>
          <t>RESTATE</t>
        </is>
      </c>
      <c r="B6" s="28" t="inlineStr">
        <is>
          <t>All statements</t>
        </is>
      </c>
      <c r="C6" s="28" t="inlineStr">
        <is>
          <t>Form 10 (2026-05-07) vs Form 10/A (2026-05-27): annual and Q1 statements identical — no quiet restatement found (text artefacts only).</t>
        </is>
      </c>
      <c r="D6" s="28" t="inlineStr">
        <is>
          <t>statements_NOTES.md</t>
        </is>
      </c>
      <c r="E6" s="28" t="inlineStr">
        <is>
          <t>None needed</t>
        </is>
      </c>
      <c r="F6" s="3" t="n"/>
    </row>
    <row r="7">
      <c r="A7" s="28" t="inlineStr">
        <is>
          <t>DEFN</t>
        </is>
      </c>
      <c r="B7" s="28" t="inlineStr">
        <is>
          <t>IS</t>
        </is>
      </c>
      <c r="C7" s="28" t="inlineStr">
        <is>
          <t>10-Q retitles "Statements of Income" to "Statements of Operations"; captions condense (PP&amp;E net of accumulated depreciation; Operating lease liabilities; Deferred tax liability, net).</t>
        </is>
      </c>
      <c r="D7" s="28" t="inlineStr">
        <is>
          <t>10-Q pp.4-7</t>
        </is>
      </c>
      <c r="E7" s="28" t="inlineStr">
        <is>
          <t>Mapped to same canonical rows (Caption Map)</t>
        </is>
      </c>
      <c r="F7" s="3" t="n"/>
    </row>
    <row r="8">
      <c r="A8" s="28" t="inlineStr">
        <is>
          <t>DATAQ</t>
        </is>
      </c>
      <c r="B8" s="28" t="inlineStr">
        <is>
          <t>IS / EPS</t>
        </is>
      </c>
      <c r="C8" s="28" t="inlineStr">
        <is>
          <t>10-Q prints EPS for carve-out comparatives (Q2-25 $0.22; 6M-25 $0.42) though Form 10 states EPS "not presented" (no capital structure). Basis not stated (presumably ~295m shares).</t>
        </is>
      </c>
      <c r="D8" s="28" t="inlineStr">
        <is>
          <t>10-Q p.4; Form10A F-pages</t>
        </is>
      </c>
      <c r="E8" s="28" t="inlineStr">
        <is>
          <t>Recorded as printed; flagged for D4 red-flags</t>
        </is>
      </c>
      <c r="F8" s="3" t="n"/>
    </row>
    <row r="9">
      <c r="A9" s="28" t="inlineStr">
        <is>
          <t>DATAQ</t>
        </is>
      </c>
      <c r="B9" s="28" t="inlineStr">
        <is>
          <t>IS</t>
        </is>
      </c>
      <c r="C9" s="28" t="inlineStr">
        <is>
          <t>"Other income, net" printed in the expense block: FY2024 (1), FY2023 (2) = income; FY2025 dash.</t>
        </is>
      </c>
      <c r="D9" s="28" t="inlineStr">
        <is>
          <t>Form10A p.440</t>
        </is>
      </c>
      <c r="E9" s="28" t="inlineStr">
        <is>
          <t>Input as printed (negative = income); formula subtracts it</t>
        </is>
      </c>
      <c r="F9" s="3" t="n"/>
    </row>
    <row r="10">
      <c r="A10" s="28" t="inlineStr">
        <is>
          <t>DATAQ</t>
        </is>
      </c>
      <c r="B10" s="28" t="inlineStr">
        <is>
          <t>CF</t>
        </is>
      </c>
      <c r="C10" s="28" t="inlineStr">
        <is>
          <t>Annual CF "Restructuring and other" and nine working-capital lines (FY2023-25) unreadable in Quartr text (scrambled, values dropped; no unique arrangement fits CFO).</t>
        </is>
      </c>
      <c r="D10" s="28" t="inlineStr">
        <is>
          <t>Form10A p.443</t>
        </is>
      </c>
      <c r="E10" s="28" t="inlineStr">
        <is>
          <t>Left blank; CFO component check = n/a; needs native PDF</t>
        </is>
      </c>
      <c r="F10" s="3" t="n"/>
    </row>
    <row r="11">
      <c r="A11" s="28" t="inlineStr">
        <is>
          <t>DATAQ</t>
        </is>
      </c>
      <c r="B11" s="28" t="inlineStr">
        <is>
          <t>CF</t>
        </is>
      </c>
      <c r="C11" s="28" t="inlineStr">
        <is>
          <t>Q1-2025/Q1-2026 working-capital lines and most Q1 financing components unreadable.</t>
        </is>
      </c>
      <c r="D11" s="28" t="inlineStr">
        <is>
          <t>Form10A p.425</t>
        </is>
      </c>
      <c r="E11" s="28" t="inlineStr">
        <is>
          <t>Left blank; Q1-25 CFI/CFF from MD&amp;A cash-flow overview p.361 (logged fallback)</t>
        </is>
      </c>
      <c r="F11" s="3" t="n"/>
    </row>
    <row r="12">
      <c r="A12" s="28" t="inlineStr">
        <is>
          <t>DATAQ</t>
        </is>
      </c>
      <c r="B12" s="28" t="inlineStr">
        <is>
          <t>CF</t>
        </is>
      </c>
      <c r="C12" s="28" t="inlineStr">
        <is>
          <t>FY2024 cash used for investing unreadable in statement; (21) from MD&amp;A overview p.361 and Summary p.285 (= capex 15 + acquisitions 6).</t>
        </is>
      </c>
      <c r="D12" s="28" t="inlineStr">
        <is>
          <t>Form10A p.361</t>
        </is>
      </c>
      <c r="E12" s="28" t="inlineStr">
        <is>
          <t>Logged fallback in canonical/primary_merge_log.txt</t>
        </is>
      </c>
      <c r="F12" s="3" t="n"/>
    </row>
    <row r="13">
      <c r="A13" s="28" t="inlineStr">
        <is>
          <t>DATAQ</t>
        </is>
      </c>
      <c r="B13" s="28" t="inlineStr">
        <is>
          <t>CF</t>
        </is>
      </c>
      <c r="C13" s="28" t="inlineStr">
        <is>
          <t>Annual contingent consideration legible only FY2024 (5); FY2025/FY2023 implied (2) each by CFF tie — NOT recorded.</t>
        </is>
      </c>
      <c r="D13" s="28" t="inlineStr">
        <is>
          <t>Form10A p.443</t>
        </is>
      </c>
      <c r="E13" s="28" t="inlineStr">
        <is>
          <t>Blank</t>
        </is>
      </c>
      <c r="F13" s="3" t="n"/>
    </row>
    <row r="14">
      <c r="A14" s="28" t="inlineStr">
        <is>
          <t>NONDISC</t>
        </is>
      </c>
      <c r="B14" s="28" t="inlineStr">
        <is>
          <t>CF</t>
        </is>
      </c>
      <c r="C14" s="28" t="inlineStr">
        <is>
          <t>No standalone Q2 cash-flow statement (6M only); no 3/31/25 or 6/30/25 balance sheets; no FY2023 balance sheet.</t>
        </is>
      </c>
      <c r="D14" s="28" t="inlineStr">
        <is>
          <t>10-Q; Form10A</t>
        </is>
      </c>
      <c r="E14" s="28" t="inlineStr">
        <is>
          <t>Blank</t>
        </is>
      </c>
      <c r="F14" s="3" t="n"/>
    </row>
    <row r="15">
      <c r="A15" s="28" t="inlineStr">
        <is>
          <t>DEFN</t>
        </is>
      </c>
      <c r="B15" s="28" t="inlineStr">
        <is>
          <t>CF</t>
        </is>
      </c>
      <c r="C15" s="28" t="inlineStr">
        <is>
          <t>8-K titles CF "Consolidated" (10-Q "Combined") and collapses working capital into one line (46)/(13).</t>
        </is>
      </c>
      <c r="D15" s="28" t="inlineStr">
        <is>
          <t>8-K p.7</t>
        </is>
      </c>
      <c r="E15" s="28" t="inlineStr">
        <is>
          <t>8-K used only as cross-check</t>
        </is>
      </c>
      <c r="F15" s="3" t="n"/>
    </row>
    <row r="16">
      <c r="A16" s="28" t="inlineStr">
        <is>
          <t>DEFN</t>
        </is>
      </c>
      <c r="B16" s="28" t="inlineStr">
        <is>
          <t>Segments</t>
        </is>
      </c>
      <c r="C16" s="28" t="inlineStr">
        <is>
          <t>Segment profit measure: segment operating profit (Form 10/A, ASU 2023-07 format) -&gt; Adjusted EBITDA from Q2-2026 (10-Q; prior periods recast by company). Segment expenses not comparable across the two.</t>
        </is>
      </c>
      <c r="D16" s="28" t="inlineStr">
        <is>
          <t>Form10A p.347/461; 10-Q p.14</t>
        </is>
      </c>
      <c r="E16" s="28" t="inlineStr">
        <is>
          <t>Separate sections on Segments tab; never merged</t>
        </is>
      </c>
      <c r="F16" s="3" t="n"/>
    </row>
    <row r="17">
      <c r="A17" s="28" t="inlineStr">
        <is>
          <t>NONDISC</t>
        </is>
      </c>
      <c r="B17" s="28" t="inlineStr">
        <is>
          <t>Segments</t>
        </is>
      </c>
      <c r="C17" s="28" t="inlineStr">
        <is>
          <t>10-Q drops segment assets ("CODM does not use"); Form 10/A gave assets, D&amp;A and capex by segment.</t>
        </is>
      </c>
      <c r="D17" s="28" t="inlineStr">
        <is>
          <t>10-Q Note 7</t>
        </is>
      </c>
      <c r="E17" s="28" t="inlineStr">
        <is>
          <t>Flag for D4</t>
        </is>
      </c>
      <c r="F17" s="3" t="n"/>
    </row>
    <row r="18">
      <c r="A18" s="28" t="inlineStr">
        <is>
          <t>DEFN</t>
        </is>
      </c>
      <c r="B18" s="28" t="inlineStr">
        <is>
          <t>Non-GAAP</t>
        </is>
      </c>
      <c r="C18" s="28" t="inlineStr">
        <is>
          <t>Adjusted EBITDA: 10 exclusions (Form 10/10A) vs 6 (10-Q/8-K); Q2 slides still print the 10-item definition beside a 6-line reconciliation.</t>
        </is>
      </c>
      <c r="D18" s="28" t="inlineStr">
        <is>
          <t>segments_kpi_NOTES.md</t>
        </is>
      </c>
      <c r="E18" s="28" t="inlineStr">
        <is>
          <t>Both definitions recorded verbatim; flag for D4</t>
        </is>
      </c>
      <c r="F18" s="3" t="n"/>
    </row>
    <row r="19">
      <c r="A19" s="28" t="inlineStr">
        <is>
          <t>DATAQ</t>
        </is>
      </c>
      <c r="B19" s="28" t="inlineStr">
        <is>
          <t>Non-GAAP</t>
        </is>
      </c>
      <c r="C19" s="28" t="inlineStr">
        <is>
          <t>Form 10/A segment Adjusted EBITDA cross-foot differences: FY2024 659 vs 658 printed; FY2023 597 vs 598.</t>
        </is>
      </c>
      <c r="D19" s="28" t="inlineStr">
        <is>
          <t>Form10A pp.359-360</t>
        </is>
      </c>
      <c r="E19" s="28" t="inlineStr">
        <is>
          <t>Recorded as printed, not fixed</t>
        </is>
      </c>
      <c r="F19" s="3" t="n"/>
    </row>
    <row r="20">
      <c r="A20" s="28" t="inlineStr">
        <is>
          <t>DATAQ</t>
        </is>
      </c>
      <c r="B20" s="28" t="inlineStr">
        <is>
          <t>Non-GAAP</t>
        </is>
      </c>
      <c r="C20" s="28" t="inlineStr">
        <is>
          <t>8-K Exhibit 5 add-back lines corrupted; Exhibit 4 Q2-26 block corrupted (values accepted only where they foot both ways). 8-K D&amp;A split Q2-25 CARFAX 49/B2B 28 vs 10-Q 50/27.</t>
        </is>
      </c>
      <c r="D20" s="28" t="inlineStr">
        <is>
          <t>8-K pp.8-10</t>
        </is>
      </c>
      <c r="E20" s="28" t="inlineStr">
        <is>
          <t>10-Q used as primary</t>
        </is>
      </c>
      <c r="F20" s="3" t="n"/>
    </row>
    <row r="21">
      <c r="A21" s="28" t="inlineStr">
        <is>
          <t>DATAQ</t>
        </is>
      </c>
      <c r="B21" s="28" t="inlineStr">
        <is>
          <t>Presentation</t>
        </is>
      </c>
      <c r="C21" s="28" t="inlineStr">
        <is>
          <t>Q2 slides p.13: 6M-2025 SBC printed 6 vs 9 in 10-Q/CF; column foots to 354 vs printed 357. Investor Day Q2-2025 Adj. EBITDA 186 vs 188 in Q2 deck/10-Q.</t>
        </is>
      </c>
      <c r="D21" s="28" t="inlineStr">
        <is>
          <t>Slides</t>
        </is>
      </c>
      <c r="E21" s="28" t="inlineStr">
        <is>
          <t>Recorded as printed; flag</t>
        </is>
      </c>
      <c r="F21" s="3" t="n"/>
    </row>
    <row r="22">
      <c r="A22" s="28" t="inlineStr">
        <is>
          <t>NONDISC</t>
        </is>
      </c>
      <c r="B22" s="28" t="inlineStr">
        <is>
          <t>Revenue</t>
        </is>
      </c>
      <c r="C22" s="28" t="inlineStr">
        <is>
          <t>No revenue by brand/product (CARFAX lines, automotiveMastermind, Polk, Market Scan) or by B2B business line; no organic/constant-currency growth (FX effect only); geography U.S./International only.</t>
        </is>
      </c>
      <c r="D22" s="28" t="inlineStr">
        <is>
          <t>segments_kpi_NOTES.md</t>
        </is>
      </c>
      <c r="E22" s="28" t="inlineStr">
        <is>
          <t>—</t>
        </is>
      </c>
      <c r="F22" s="3" t="n"/>
    </row>
    <row r="23">
      <c r="A23" s="28" t="inlineStr">
        <is>
          <t>NONDISC</t>
        </is>
      </c>
      <c r="B23" s="28" t="inlineStr">
        <is>
          <t>KPIs</t>
        </is>
      </c>
      <c r="C23" s="28" t="inlineStr">
        <is>
          <t>No retention/NRR, ACV, ARR, ARPU/price per rooftop, churn, dealer location counts by product.</t>
        </is>
      </c>
      <c r="D23" s="28" t="inlineStr">
        <is>
          <t>segments_kpi_NOTES.md; presentations_NOTES.md</t>
        </is>
      </c>
      <c r="E23" s="28" t="inlineStr">
        <is>
          <t>—</t>
        </is>
      </c>
      <c r="F23" s="3" t="n"/>
    </row>
    <row r="24">
      <c r="A24" s="28" t="inlineStr">
        <is>
          <t>DATAQ</t>
        </is>
      </c>
      <c r="B24" s="28" t="inlineStr">
        <is>
          <t>Tax</t>
        </is>
      </c>
      <c r="C24" s="28" t="inlineStr">
        <is>
          <t>Tax provision 2024/2023 foreign &amp; state current/deferred split unreadable (Form 10 and 10/A identical text); ETR 2025 amounts for two lines illegible (percent only); valuation allowance from Schedule II.</t>
        </is>
      </c>
      <c r="D24" s="28" t="inlineStr">
        <is>
          <t>Form10A pp.455-458, 468</t>
        </is>
      </c>
      <c r="E24" s="28" t="inlineStr">
        <is>
          <t>Partial rows only</t>
        </is>
      </c>
      <c r="F24" s="3" t="n"/>
    </row>
    <row r="25">
      <c r="A25" s="28" t="inlineStr">
        <is>
          <t>DATAQ</t>
        </is>
      </c>
      <c r="B25" s="28" t="inlineStr">
        <is>
          <t>Tax</t>
        </is>
      </c>
      <c r="C25" s="28" t="inlineStr">
        <is>
          <t>Uncertain tax positions 2025 roll-forward does not foot from printed tokens.</t>
        </is>
      </c>
      <c r="D25" s="28" t="inlineStr">
        <is>
          <t>Form10A p.458</t>
        </is>
      </c>
      <c r="E25" s="28" t="inlineStr">
        <is>
          <t>Recorded as printed</t>
        </is>
      </c>
      <c r="F25" s="3" t="n"/>
    </row>
    <row r="26">
      <c r="A26" s="28" t="inlineStr">
        <is>
          <t>DATAQ</t>
        </is>
      </c>
      <c r="B26" s="28" t="inlineStr">
        <is>
          <t>Leases</t>
        </is>
      </c>
      <c r="C26" s="28" t="inlineStr">
        <is>
          <t>Annual lease maturity table corrupted; only 2026 = 7 and PV = 18 recorded.</t>
        </is>
      </c>
      <c r="D26" s="28" t="inlineStr">
        <is>
          <t>Form10A p.464</t>
        </is>
      </c>
      <c r="E26" s="28" t="inlineStr">
        <is>
          <t>Partial</t>
        </is>
      </c>
      <c r="F26" s="3" t="n"/>
    </row>
    <row r="27">
      <c r="A27" s="28" t="inlineStr">
        <is>
          <t>DATAQ</t>
        </is>
      </c>
      <c r="B27" s="28" t="inlineStr">
        <is>
          <t>Acquisitions</t>
        </is>
      </c>
      <c r="C27" s="28" t="inlineStr">
        <is>
          <t>Market Scan PPA liabilities sum 59 vs printed total 39 ("Unearned revenue 22" likely a corrupted 2; net assets 214 ties to cash consideration).</t>
        </is>
      </c>
      <c r="D27" s="28" t="inlineStr">
        <is>
          <t>Form10A acquisitions note</t>
        </is>
      </c>
      <c r="E27" s="28" t="inlineStr">
        <is>
          <t>Recorded as printed</t>
        </is>
      </c>
      <c r="F27" s="3" t="n"/>
    </row>
    <row r="28">
      <c r="A28" s="28" t="inlineStr">
        <is>
          <t>DATAQ</t>
        </is>
      </c>
      <c r="B28" s="28" t="inlineStr">
        <is>
          <t>Pension</t>
        </is>
      </c>
      <c r="C28" s="28" t="inlineStr">
        <is>
          <t>6M-2025 401(k) expense printed 12 vs Q1 7 + Q2 6 = 13.</t>
        </is>
      </c>
      <c r="D28" s="28" t="inlineStr">
        <is>
          <t>10-Q</t>
        </is>
      </c>
      <c r="E28" s="28" t="inlineStr">
        <is>
          <t>Recorded as printed</t>
        </is>
      </c>
      <c r="F28" s="3" t="n"/>
    </row>
    <row r="29">
      <c r="A29" s="28" t="inlineStr">
        <is>
          <t>NONDISC</t>
        </is>
      </c>
      <c r="B29" s="28" t="inlineStr">
        <is>
          <t>Pension / OCI</t>
        </is>
      </c>
      <c r="C29" s="28" t="inlineStr">
        <is>
          <t>No defined-benefit pension/OPEB; OCI = FX translation only; no reclassifications.</t>
        </is>
      </c>
      <c r="D29" s="28" t="inlineStr">
        <is>
          <t>Form10A notes</t>
        </is>
      </c>
      <c r="E29" s="28" t="inlineStr">
        <is>
          <t>—</t>
        </is>
      </c>
      <c r="F29" s="3" t="n"/>
    </row>
    <row r="30">
      <c r="A30" s="28" t="inlineStr">
        <is>
          <t>NONDISC</t>
        </is>
      </c>
      <c r="B30" s="28" t="inlineStr">
        <is>
          <t>Deferred revenue</t>
        </is>
      </c>
      <c r="C30" s="28" t="inlineStr">
        <is>
          <t>No deferred-revenue roll-forward; RPO 78/92/102 with no timing buckets beyond "majority within 12 months".</t>
        </is>
      </c>
      <c r="D30" s="28" t="inlineStr">
        <is>
          <t>Form10A; 10-Q</t>
        </is>
      </c>
      <c r="E30" s="28" t="inlineStr">
        <is>
          <t>—</t>
        </is>
      </c>
      <c r="F30" s="3" t="n"/>
    </row>
    <row r="31">
      <c r="A31" s="28" t="inlineStr">
        <is>
          <t>NONDISC</t>
        </is>
      </c>
      <c r="B31" s="28" t="inlineStr">
        <is>
          <t>Related party</t>
        </is>
      </c>
      <c r="C31" s="28" t="inlineStr">
        <is>
          <t>TSA fee amounts not disclosed (pro forma incremental TSA cost &lt;1 Q1-26, 3 FY25; term up to 18 months).</t>
        </is>
      </c>
      <c r="D31" s="28" t="inlineStr">
        <is>
          <t>Form10A pro forma</t>
        </is>
      </c>
      <c r="E31" s="28" t="inlineStr">
        <is>
          <t>—</t>
        </is>
      </c>
      <c r="F31" s="3" t="n"/>
    </row>
    <row r="32">
      <c r="A32" s="28" t="inlineStr">
        <is>
          <t>BREAK</t>
        </is>
      </c>
      <c r="B32" s="28" t="inlineStr">
        <is>
          <t>Capital structure</t>
        </is>
      </c>
      <c r="C32" s="28" t="inlineStr">
        <is>
          <t>$2.0bn Senior Notes issued 2026-05-29 (escrow released 2026-06-30); $2.0bn dividend to S&amp;P Global (Form 10/A pro forma had estimated ~$1.9bn). Canada Carfax related-party loan (230) contributed and eliminated 2026-06-25.</t>
        </is>
      </c>
      <c r="D32" s="28" t="inlineStr">
        <is>
          <t>10-Q pp.12,18; notes</t>
        </is>
      </c>
      <c r="E32" s="28" t="inlineStr">
        <is>
          <t>BS 6/30/26 shows LTD 1,981; parent investment falls to 9,833</t>
        </is>
      </c>
      <c r="F32" s="3" t="n"/>
    </row>
    <row r="33">
      <c r="A33" s="28" t="inlineStr">
        <is>
          <t>BREAK</t>
        </is>
      </c>
      <c r="B33" s="28" t="inlineStr">
        <is>
          <t>Shares</t>
        </is>
      </c>
      <c r="C33" s="28" t="inlineStr">
        <is>
          <t>Pro forma used 295,077,160 shares; actual 294,821,320 at 2026-06-15 record date (1:1).</t>
        </is>
      </c>
      <c r="D33" s="28" t="inlineStr">
        <is>
          <t>Form10A; 10-Q</t>
        </is>
      </c>
      <c r="E33" s="28" t="inlineStr">
        <is>
          <t>—</t>
        </is>
      </c>
      <c r="F33" s="3" t="n"/>
    </row>
    <row r="34">
      <c r="A34" s="28" t="inlineStr">
        <is>
          <t>BREAK</t>
        </is>
      </c>
      <c r="B34" s="28" t="inlineStr">
        <is>
          <t>Predecessor</t>
        </is>
      </c>
      <c r="C34" s="28" t="inlineStr">
        <is>
          <t>IHS Markit Transportation (Nov FYE, FY2014-21) vs S&amp;P Global Mobility (Dec FYE, FY2022-25; FY2022 ~10 months from 2022-02-28 merger) — scope, FYE and measure differ; Dec-2021-Feb-2022 in neither era.</t>
        </is>
      </c>
      <c r="D34" s="28" t="inlineStr">
        <is>
          <t>predecessor_NOTES.md</t>
        </is>
      </c>
      <c r="E34" s="28" t="inlineStr">
        <is>
          <t>Own tab; no growth across boundary</t>
        </is>
      </c>
      <c r="F34" s="3" t="n"/>
    </row>
    <row r="35">
      <c r="A35" s="28" t="inlineStr">
        <is>
          <t>RESTATE</t>
        </is>
      </c>
      <c r="B35" s="28" t="inlineStr">
        <is>
          <t>Predecessor</t>
        </is>
      </c>
      <c r="C35" s="28" t="inlineStr">
        <is>
          <t>S&amp;P Global FY2025 10-K reclassified 2024 Mobility costs between operating-related and selling &amp; general (469/511 -&gt; 487/493; total unchanged).</t>
        </is>
      </c>
      <c r="D35" s="28" t="inlineStr">
        <is>
          <t>SPGI 10-K FY2025</t>
        </is>
      </c>
      <c r="E35" s="28" t="inlineStr">
        <is>
          <t>Both vintages recorded</t>
        </is>
      </c>
      <c r="F35" s="3" t="n"/>
    </row>
    <row r="36">
      <c r="A36" s="28" t="inlineStr">
        <is>
          <t>BASIS</t>
        </is>
      </c>
      <c r="B36" s="28" t="inlineStr">
        <is>
          <t>Predecessor vs carve-out</t>
        </is>
      </c>
      <c r="C36" s="28" t="inlineStr">
        <is>
          <t>S&amp;P Global Mobility segment revenue (2023 1,484; 2024 1,609; 2025 1,747) vs carve-out combined revenue (1,485; 1,613; 1,750): small basis differences (carve-out vs segment).</t>
        </is>
      </c>
      <c r="D36" s="28" t="inlineStr">
        <is>
          <t>predecessor.csv vs statements.csv</t>
        </is>
      </c>
      <c r="E36" s="28" t="inlineStr">
        <is>
          <t>Explained in analysis/D4</t>
        </is>
      </c>
      <c r="F36" s="3" t="n"/>
    </row>
    <row r="37">
      <c r="A37" s="28" t="inlineStr">
        <is>
          <t>DATAQ</t>
        </is>
      </c>
      <c r="B37" s="28" t="inlineStr">
        <is>
          <t>CF</t>
        </is>
      </c>
      <c r="C37" s="28" t="inlineStr">
        <is>
          <t>Q1-2025 effect of exchange rates on cash not legible (implied +1 by tie: 67 − 5 − 62 + FX = 1) — NOT recorded; the cash-roll check is n/a for Q1-2025.</t>
        </is>
      </c>
      <c r="D37" s="28" t="inlineStr">
        <is>
          <t>Form10A p.425</t>
        </is>
      </c>
      <c r="E37" s="28" t="inlineStr">
        <is>
          <t>Blank</t>
        </is>
      </c>
      <c r="F37" s="3" t="n"/>
    </row>
    <row r="38">
      <c r="A38" s="28" t="inlineStr">
        <is>
          <t>BASIS</t>
        </is>
      </c>
      <c r="B38" s="28" t="inlineStr">
        <is>
          <t>Segment History</t>
        </is>
      </c>
      <c r="C38" s="28" t="inlineStr">
        <is>
          <t>IHS Markit Transportation values: own-year 10-K primary column; FY2014/15 only as comparatives in FY2016/FY2017 10-Ks (IHS Inc. filings not on Quartr) — shown bold-italic.</t>
        </is>
      </c>
      <c r="D38" s="28" t="inlineStr">
        <is>
          <t>predecessor.csv</t>
        </is>
      </c>
      <c r="E38" s="28" t="inlineStr">
        <is>
          <t>Segment History tab, block A</t>
        </is>
      </c>
      <c r="F38" s="3" t="n"/>
    </row>
    <row r="39">
      <c r="A39" s="28" t="inlineStr">
        <is>
          <t>NONDISC</t>
        </is>
      </c>
      <c r="B39" s="28" t="inlineStr">
        <is>
          <t>IHS Markit quarterly</t>
        </is>
      </c>
      <c r="C39" s="28" t="inlineStr">
        <is>
          <t>Quarterly Transportation data available only Q1 FY2020–Q3 FY2021 (Q2/Q3 FY2021 10-Q, 8-K, decks); no Q4 FY2021 release/deck on Quartr. Implied Q4 FY2021 = FY2021 − 9M ($351.2m revenue / $160.5m Adj. EBITDA) [C].</t>
        </is>
      </c>
      <c r="D39" s="28" t="inlineStr">
        <is>
          <t>predecessor_NOTES.md</t>
        </is>
      </c>
      <c r="E39" s="28" t="inlineStr">
        <is>
          <t>Segment History block D</t>
        </is>
      </c>
      <c r="F39" s="3" t="n"/>
    </row>
    <row r="40">
      <c r="A40" s="28" t="inlineStr">
        <is>
          <t>DATAQ</t>
        </is>
      </c>
      <c r="B40" s="28" t="inlineStr">
        <is>
          <t>IHS Markit quarterly</t>
        </is>
      </c>
      <c r="C40" s="28" t="inlineStr">
        <is>
          <t>Q4 FY2020 recurring organic growth 5% (Q2 FY2021 deck) vs 6% (Q3 FY2021 deck); A&amp;D sale ≈$470m (FY2019 10-K) vs ≈$466m (10-Qs); FY2019 recurring-variable organic 4% (table) vs 6% (FY2020 10-K narrative). Earliest print used.</t>
        </is>
      </c>
      <c r="D40" s="28" t="inlineStr">
        <is>
          <t>predecessor_NOTES.md</t>
        </is>
      </c>
      <c r="E40" s="28" t="inlineStr">
        <is>
          <t>Recorded both; model uses earliest</t>
        </is>
      </c>
      <c r="F40" s="3" t="n"/>
    </row>
    <row r="41">
      <c r="A41" s="28" t="inlineStr">
        <is>
          <t>DEFN</t>
        </is>
      </c>
      <c r="B41" s="28" t="inlineStr">
        <is>
          <t>IHS Markit quarterly</t>
        </is>
      </c>
      <c r="C41" s="28" t="inlineStr">
        <is>
          <t>Deck organic growth for Q2-FY20, Q3-FY20, FY20, Q3-FY21 sits in "Normalized" columns; footnote figures incl. cancelled events: Q2-FY20 total −18% / non-recurring −37%; FY20 total −2% / non-recurring −16%.</t>
        </is>
      </c>
      <c r="D41" s="28" t="inlineStr">
        <is>
          <t>Slides Q2/Q3 FY2021</t>
        </is>
      </c>
      <c r="E41" s="28" t="inlineStr">
        <is>
          <t>As printed</t>
        </is>
      </c>
      <c r="F41" s="3" t="n"/>
    </row>
    <row r="42">
      <c r="A42" s="28" t="inlineStr">
        <is>
          <t>NONDISC</t>
        </is>
      </c>
      <c r="B42" s="28" t="inlineStr">
        <is>
          <t>IHS Markit</t>
        </is>
      </c>
      <c r="C42" s="28" t="inlineStr">
        <is>
          <t>No segment-level D&amp;A, SBC, capex or geography in IHS Markit filings; automotive / maritime / A&amp;D / CARFAX revenue never in dollars (automotive share only as "about 80%" → "more than 90 percent").</t>
        </is>
      </c>
      <c r="D42" s="28" t="inlineStr">
        <is>
          <t>predecessor_NOTES.md</t>
        </is>
      </c>
      <c r="E42" s="28" t="inlineStr">
        <is>
          <t>—</t>
        </is>
      </c>
      <c r="F42" s="3" t="n"/>
    </row>
    <row r="43">
      <c r="A43" s="28" t="inlineStr">
        <is>
          <t>BASIS</t>
        </is>
      </c>
      <c r="B43" s="28" t="inlineStr">
        <is>
          <t>Segment P&amp;L</t>
        </is>
      </c>
      <c r="C43" s="28" t="inlineStr">
        <is>
          <t>Uniform segment Adjusted EBITDA = segment operating profit + amortization + depreciation + SBC + all printed special items; same rows in every period, bridging the Q2-2026 change from the 10-exclusion (Form 10/A) to the 6-exclusion (10-Q) company definition. Built ties to company-reported segment Adj. EBITDA in every period except 3 documented gaps.</t>
        </is>
      </c>
      <c r="D43" s="28" t="inlineStr">
        <is>
          <t>canonical/segment_pl.csv; scripts/canon_segment_pl.py</t>
        </is>
      </c>
      <c r="E43" s="28" t="inlineStr">
        <is>
          <t>Segment P&amp;L tab</t>
        </is>
      </c>
      <c r="F43" s="3" t="n"/>
    </row>
    <row r="44">
      <c r="A44" s="28" t="inlineStr">
        <is>
          <t>DATAQ</t>
        </is>
      </c>
      <c r="B44" s="28" t="inlineStr">
        <is>
          <t>Segment P&amp;L</t>
        </is>
      </c>
      <c r="C44" s="28" t="inlineStr">
        <is>
          <t>FY2025 "Other (1)" ($2m) printed only as a total — CARFAX/Corporate split illegible (build short by $1m each); Q1-2026 B2B depreciation illegible in Form 10 and 10/A (≈$1m); B2B Q1-2026 SBC (3) and Segment Adj. EBITDA (49) taken from Form 10 (dropped from 10/A text). Segment amortization FY2024 sums to 297 vs 296 on the IS (printed rounding).</t>
        </is>
      </c>
      <c r="D44" s="28" t="inlineStr">
        <is>
          <t>canonical/segment_pl_log.txt</t>
        </is>
      </c>
      <c r="E44" s="28" t="inlineStr">
        <is>
          <t>Gaps left blank; checks n/a</t>
        </is>
      </c>
      <c r="F44" s="3" t="n"/>
    </row>
    <row r="45">
      <c r="A45" s="28" t="inlineStr">
        <is>
          <t>NONDISC</t>
        </is>
      </c>
      <c r="B45" s="28" t="inlineStr">
        <is>
          <t>Segment P&amp;L</t>
        </is>
      </c>
      <c r="C45" s="28" t="inlineStr">
        <is>
          <t>Operating-related vs selling &amp; general expense split by segment is printed for FY2023–25 and Q1 (Form 10/A) but not for Q2/6M (10-Q).</t>
        </is>
      </c>
      <c r="D45" s="28" t="inlineStr">
        <is>
          <t>10-Q Note 7</t>
        </is>
      </c>
      <c r="E45" s="28" t="inlineStr">
        <is>
          <t>Memo rows blank for Q2/6M</t>
        </is>
      </c>
      <c r="F45"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0" customWidth="1" min="11" max="11"/>
    <col hidden="1" width="13" customWidth="1" min="26" max="26"/>
  </cols>
  <sheetData>
    <row r="1" ht="20" customHeight="1">
      <c r="A1" s="1" t="inlineStr">
        <is>
          <t>Mobility Global Inc. — Combined Statements of Income (as originally reported)</t>
        </is>
      </c>
      <c r="B1" s="2" t="n"/>
      <c r="C1" s="2" t="n"/>
      <c r="D1" s="2" t="n"/>
      <c r="E1" s="2" t="n"/>
      <c r="F1" s="2" t="n"/>
      <c r="G1" s="2" t="n"/>
      <c r="H1" s="2" t="n"/>
      <c r="I1" s="2" t="n"/>
      <c r="J1" s="2" t="n"/>
      <c r="K1" s="2" t="n"/>
      <c r="L1" s="3" t="n"/>
      <c r="M1" s="3" t="n"/>
      <c r="N1" s="3" t="n"/>
      <c r="O1" s="3" t="n"/>
      <c r="P1" s="3" t="n"/>
      <c r="Q1" s="3" t="n"/>
      <c r="R1" s="3" t="n"/>
      <c r="S1" s="3" t="n"/>
      <c r="T1" s="3" t="n"/>
      <c r="U1" s="3" t="n"/>
      <c r="V1" s="3" t="n"/>
      <c r="W1" s="3" t="n"/>
      <c r="X1" s="3" t="n"/>
      <c r="Y1" s="3" t="n"/>
      <c r="Z1" s="3" t="n"/>
    </row>
    <row r="2">
      <c r="A2" s="4" t="inlineStr">
        <is>
          <t>Carve-out (combined) basis; FY from Form 10/A (2026-05-27) audited statements; Q1 from Form 10/A interim; Q2/6M from 10-Q Q2-2026. Blue = as filed; black = formula; green = cross-sheet.</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9" t="inlineStr">
        <is>
          <t>USD millions unless stated</t>
        </is>
      </c>
      <c r="B4" s="29" t="inlineStr">
        <is>
          <t>FY2023
12/31/23</t>
        </is>
      </c>
      <c r="C4" s="29" t="inlineStr">
        <is>
          <t>FY2024
12/31/24</t>
        </is>
      </c>
      <c r="D4" s="29" t="inlineStr">
        <is>
          <t>FY2025
12/31/25</t>
        </is>
      </c>
      <c r="E4" s="29" t="inlineStr">
        <is>
          <t>Q1-25
3M 3/31/25</t>
        </is>
      </c>
      <c r="F4" s="29" t="inlineStr">
        <is>
          <t>Q2-25
3M 6/30/25</t>
        </is>
      </c>
      <c r="G4" s="29" t="inlineStr">
        <is>
          <t>6M-25
6/30/25</t>
        </is>
      </c>
      <c r="H4" s="29" t="inlineStr">
        <is>
          <t>Q1-26
3M 3/31/26</t>
        </is>
      </c>
      <c r="I4" s="29" t="inlineStr">
        <is>
          <t>Q2-26
3M 6/30/26</t>
        </is>
      </c>
      <c r="J4" s="29" t="inlineStr">
        <is>
          <t>6M-26
6/30/26</t>
        </is>
      </c>
      <c r="K4" s="29" t="inlineStr">
        <is>
          <t>Source</t>
        </is>
      </c>
      <c r="L4" s="3" t="n"/>
      <c r="M4" s="3" t="n"/>
      <c r="N4" s="3" t="n"/>
      <c r="O4" s="3" t="n"/>
      <c r="P4" s="3" t="n"/>
      <c r="Q4" s="3" t="n"/>
      <c r="R4" s="3" t="n"/>
      <c r="S4" s="3" t="n"/>
      <c r="T4" s="3" t="n"/>
      <c r="U4" s="3" t="n"/>
      <c r="V4" s="3" t="n"/>
      <c r="W4" s="3" t="n"/>
      <c r="X4" s="3" t="n"/>
      <c r="Y4" s="3" t="n"/>
      <c r="Z4" s="3" t="n"/>
    </row>
    <row r="5">
      <c r="A5" s="14" t="inlineStr">
        <is>
          <t>Income statement</t>
        </is>
      </c>
      <c r="B5" s="15" t="n"/>
      <c r="C5" s="15" t="n"/>
      <c r="D5" s="15" t="n"/>
      <c r="E5" s="15" t="n"/>
      <c r="F5" s="15" t="n"/>
      <c r="G5" s="15" t="n"/>
      <c r="H5" s="15" t="n"/>
      <c r="I5" s="15" t="n"/>
      <c r="J5" s="15" t="n"/>
      <c r="K5" s="15" t="n"/>
      <c r="L5" s="3" t="n"/>
      <c r="M5" s="3" t="n"/>
      <c r="N5" s="3" t="n"/>
      <c r="O5" s="3" t="n"/>
      <c r="P5" s="3" t="n"/>
      <c r="Q5" s="3" t="n"/>
      <c r="R5" s="3" t="n"/>
      <c r="S5" s="3" t="n"/>
      <c r="T5" s="3" t="n"/>
      <c r="U5" s="3" t="n"/>
      <c r="V5" s="3" t="n"/>
      <c r="W5" s="3" t="n"/>
      <c r="X5" s="3" t="n"/>
      <c r="Y5" s="3" t="n"/>
      <c r="Z5" s="3" t="n"/>
    </row>
    <row r="6">
      <c r="A6" s="16" t="inlineStr">
        <is>
          <t>Revenue</t>
        </is>
      </c>
      <c r="B6" s="18" t="n">
        <v>1485</v>
      </c>
      <c r="C6" s="18" t="n">
        <v>1613</v>
      </c>
      <c r="D6" s="18" t="n">
        <v>1750</v>
      </c>
      <c r="E6" s="18" t="n">
        <v>420</v>
      </c>
      <c r="F6" s="18" t="n">
        <v>439</v>
      </c>
      <c r="G6" s="18" t="n">
        <v>859</v>
      </c>
      <c r="H6" s="18" t="n">
        <v>455</v>
      </c>
      <c r="I6" s="18" t="n">
        <v>468</v>
      </c>
      <c r="J6" s="18" t="n">
        <v>923</v>
      </c>
      <c r="K6" s="4" t="inlineStr">
        <is>
          <t>10Q_Q2-2026 p4; Form10A_2026-05-27 p422; Form10A_2026-05-27 p440</t>
        </is>
      </c>
      <c r="L6" s="3" t="n"/>
      <c r="M6" s="3" t="n"/>
      <c r="N6" s="3" t="n"/>
      <c r="O6" s="3" t="n"/>
      <c r="P6" s="3" t="n"/>
      <c r="Q6" s="3" t="n"/>
      <c r="R6" s="3" t="n"/>
      <c r="S6" s="3" t="n"/>
      <c r="T6" s="3" t="n"/>
      <c r="U6" s="3" t="n"/>
      <c r="V6" s="3" t="n"/>
      <c r="W6" s="3" t="n"/>
      <c r="X6" s="3" t="n"/>
      <c r="Y6" s="3" t="n"/>
      <c r="Z6" s="3" t="n"/>
    </row>
    <row r="7">
      <c r="A7" s="19" t="inlineStr">
        <is>
          <t>Operating-related expenses</t>
        </is>
      </c>
      <c r="B7" s="30" t="n">
        <v>448</v>
      </c>
      <c r="C7" s="30" t="n">
        <v>475</v>
      </c>
      <c r="D7" s="30" t="n">
        <v>516</v>
      </c>
      <c r="E7" s="30" t="n">
        <v>127</v>
      </c>
      <c r="F7" s="30" t="n">
        <v>132</v>
      </c>
      <c r="G7" s="30" t="n">
        <v>259</v>
      </c>
      <c r="H7" s="30" t="n">
        <v>136</v>
      </c>
      <c r="I7" s="30" t="n">
        <v>134</v>
      </c>
      <c r="J7" s="30" t="n">
        <v>270</v>
      </c>
      <c r="K7" s="4" t="inlineStr">
        <is>
          <t>10Q_Q2-2026 p4; Form10A_2026-05-27 p422; Form10A_2026-05-27 p440</t>
        </is>
      </c>
      <c r="L7" s="3" t="n"/>
      <c r="M7" s="3" t="n"/>
      <c r="N7" s="3" t="n"/>
      <c r="O7" s="3" t="n"/>
      <c r="P7" s="3" t="n"/>
      <c r="Q7" s="3" t="n"/>
      <c r="R7" s="3" t="n"/>
      <c r="S7" s="3" t="n"/>
      <c r="T7" s="3" t="n"/>
      <c r="U7" s="3" t="n"/>
      <c r="V7" s="3" t="n"/>
      <c r="W7" s="3" t="n"/>
      <c r="X7" s="3" t="n"/>
      <c r="Y7" s="3" t="n"/>
      <c r="Z7" s="3" t="n"/>
    </row>
    <row r="8">
      <c r="A8" s="19" t="inlineStr">
        <is>
          <t>Selling and general expenses</t>
        </is>
      </c>
      <c r="B8" s="30" t="n">
        <v>491</v>
      </c>
      <c r="C8" s="30" t="n">
        <v>531</v>
      </c>
      <c r="D8" s="30" t="n">
        <v>585</v>
      </c>
      <c r="E8" s="30" t="n">
        <v>131</v>
      </c>
      <c r="F8" s="30" t="n">
        <v>134</v>
      </c>
      <c r="G8" s="30" t="n">
        <v>265</v>
      </c>
      <c r="H8" s="30" t="n">
        <v>160</v>
      </c>
      <c r="I8" s="30" t="n">
        <v>175</v>
      </c>
      <c r="J8" s="30" t="n">
        <v>335</v>
      </c>
      <c r="K8" s="4" t="inlineStr">
        <is>
          <t>10Q_Q2-2026 p4; Form10A_2026-05-27 p422; Form10A_2026-05-27 p440</t>
        </is>
      </c>
      <c r="L8" s="3" t="n"/>
      <c r="M8" s="3" t="n"/>
      <c r="N8" s="3" t="n"/>
      <c r="O8" s="3" t="n"/>
      <c r="P8" s="3" t="n"/>
      <c r="Q8" s="3" t="n"/>
      <c r="R8" s="3" t="n"/>
      <c r="S8" s="3" t="n"/>
      <c r="T8" s="3" t="n"/>
      <c r="U8" s="3" t="n"/>
      <c r="V8" s="3" t="n"/>
      <c r="W8" s="3" t="n"/>
      <c r="X8" s="3" t="n"/>
      <c r="Y8" s="3" t="n"/>
      <c r="Z8" s="3" t="n"/>
    </row>
    <row r="9">
      <c r="A9" s="19" t="inlineStr">
        <is>
          <t>Depreciation</t>
        </is>
      </c>
      <c r="B9" s="30" t="n">
        <v>12</v>
      </c>
      <c r="C9" s="30" t="n">
        <v>13</v>
      </c>
      <c r="D9" s="30" t="n">
        <v>14</v>
      </c>
      <c r="E9" s="30" t="n">
        <v>4</v>
      </c>
      <c r="F9" s="30" t="n">
        <v>3</v>
      </c>
      <c r="G9" s="30" t="n">
        <v>7</v>
      </c>
      <c r="H9" s="30" t="n">
        <v>4</v>
      </c>
      <c r="I9" s="30" t="n">
        <v>3</v>
      </c>
      <c r="J9" s="30" t="n">
        <v>7</v>
      </c>
      <c r="K9" s="4" t="inlineStr">
        <is>
          <t>10Q_Q2-2026 p4; Form10A_2026-05-27 p422; Form10A_2026-05-27 p440</t>
        </is>
      </c>
      <c r="L9" s="3" t="n"/>
      <c r="M9" s="3" t="n"/>
      <c r="N9" s="3" t="n"/>
      <c r="O9" s="3" t="n"/>
      <c r="P9" s="3" t="n"/>
      <c r="Q9" s="3" t="n"/>
      <c r="R9" s="3" t="n"/>
      <c r="S9" s="3" t="n"/>
      <c r="T9" s="3" t="n"/>
      <c r="U9" s="3" t="n"/>
      <c r="V9" s="3" t="n"/>
      <c r="W9" s="3" t="n"/>
      <c r="X9" s="3" t="n"/>
      <c r="Y9" s="3" t="n"/>
      <c r="Z9" s="3" t="n"/>
    </row>
    <row r="10">
      <c r="A10" s="19" t="inlineStr">
        <is>
          <t>Amortization of intangibles</t>
        </is>
      </c>
      <c r="B10" s="30" t="n">
        <v>295</v>
      </c>
      <c r="C10" s="30" t="n">
        <v>296</v>
      </c>
      <c r="D10" s="30" t="n">
        <v>296</v>
      </c>
      <c r="E10" s="30" t="n">
        <v>74</v>
      </c>
      <c r="F10" s="30" t="n">
        <v>74</v>
      </c>
      <c r="G10" s="30" t="n">
        <v>148</v>
      </c>
      <c r="H10" s="30" t="n">
        <v>74</v>
      </c>
      <c r="I10" s="30" t="n">
        <v>74</v>
      </c>
      <c r="J10" s="30" t="n">
        <v>148</v>
      </c>
      <c r="K10" s="4" t="inlineStr">
        <is>
          <t>10Q_Q2-2026 p4; Form10A_2026-05-27 p422; Form10A_2026-05-27 p440</t>
        </is>
      </c>
      <c r="L10" s="3" t="n"/>
      <c r="M10" s="3" t="n"/>
      <c r="N10" s="3" t="n"/>
      <c r="O10" s="3" t="n"/>
      <c r="P10" s="3" t="n"/>
      <c r="Q10" s="3" t="n"/>
      <c r="R10" s="3" t="n"/>
      <c r="S10" s="3" t="n"/>
      <c r="T10" s="3" t="n"/>
      <c r="U10" s="3" t="n"/>
      <c r="V10" s="3" t="n"/>
      <c r="W10" s="3" t="n"/>
      <c r="X10" s="3" t="n"/>
      <c r="Y10" s="3" t="n"/>
      <c r="Z10" s="3" t="n"/>
    </row>
    <row r="11">
      <c r="A11" s="31" t="inlineStr">
        <is>
          <t>Total expenses</t>
        </is>
      </c>
      <c r="B11" s="24">
        <f>B7+B8+B9+B10</f>
        <v/>
      </c>
      <c r="C11" s="24">
        <f>C7+C8+C9+C10</f>
        <v/>
      </c>
      <c r="D11" s="24">
        <f>D7+D8+D9+D10</f>
        <v/>
      </c>
      <c r="E11" s="24">
        <f>E7+E8+E9+E10</f>
        <v/>
      </c>
      <c r="F11" s="24">
        <f>F7+F8+F9+F10</f>
        <v/>
      </c>
      <c r="G11" s="24">
        <f>G7+G8+G9+G10</f>
        <v/>
      </c>
      <c r="H11" s="24">
        <f>H7+H8+H9+H10</f>
        <v/>
      </c>
      <c r="I11" s="24">
        <f>I7+I8+I9+I10</f>
        <v/>
      </c>
      <c r="J11" s="24">
        <f>J7+J8+J9+J10</f>
        <v/>
      </c>
      <c r="K11" s="3" t="n"/>
      <c r="L11" s="3" t="n"/>
      <c r="M11" s="3" t="n"/>
      <c r="N11" s="3" t="n"/>
      <c r="O11" s="3" t="n"/>
      <c r="P11" s="3" t="n"/>
      <c r="Q11" s="3" t="n"/>
      <c r="R11" s="3" t="n"/>
      <c r="S11" s="3" t="n"/>
      <c r="T11" s="3" t="n"/>
      <c r="U11" s="3" t="n"/>
      <c r="V11" s="3" t="n"/>
      <c r="W11" s="3" t="n"/>
      <c r="X11" s="3" t="n"/>
      <c r="Y11" s="3" t="n"/>
      <c r="Z11" s="3" t="n"/>
    </row>
    <row r="12">
      <c r="A12" s="31" t="inlineStr">
        <is>
          <t>Operating profit</t>
        </is>
      </c>
      <c r="B12" s="24">
        <f>B6-B11</f>
        <v/>
      </c>
      <c r="C12" s="24">
        <f>C6-C11</f>
        <v/>
      </c>
      <c r="D12" s="24">
        <f>D6-D11</f>
        <v/>
      </c>
      <c r="E12" s="24">
        <f>E6-E11</f>
        <v/>
      </c>
      <c r="F12" s="24">
        <f>F6-F11</f>
        <v/>
      </c>
      <c r="G12" s="24">
        <f>G6-G11</f>
        <v/>
      </c>
      <c r="H12" s="24">
        <f>H6-H11</f>
        <v/>
      </c>
      <c r="I12" s="24">
        <f>I6-I11</f>
        <v/>
      </c>
      <c r="J12" s="24">
        <f>J6-J11</f>
        <v/>
      </c>
      <c r="K12" s="3" t="n"/>
      <c r="L12" s="3" t="n"/>
      <c r="M12" s="3" t="n"/>
      <c r="N12" s="3" t="n"/>
      <c r="O12" s="3" t="n"/>
      <c r="P12" s="3" t="n"/>
      <c r="Q12" s="3" t="n"/>
      <c r="R12" s="3" t="n"/>
      <c r="S12" s="3" t="n"/>
      <c r="T12" s="3" t="n"/>
      <c r="U12" s="3" t="n"/>
      <c r="V12" s="3" t="n"/>
      <c r="W12" s="3" t="n"/>
      <c r="X12" s="3" t="n"/>
      <c r="Y12" s="3" t="n"/>
      <c r="Z12" s="3" t="n"/>
    </row>
    <row r="13">
      <c r="A13" s="19" t="inlineStr">
        <is>
          <t>Other income, net (printed as a deduction; negative = income)</t>
        </is>
      </c>
      <c r="B13" s="30" t="n">
        <v>-2</v>
      </c>
      <c r="C13" s="30" t="n">
        <v>-1</v>
      </c>
      <c r="D13" s="3" t="n"/>
      <c r="E13" s="3" t="n"/>
      <c r="F13" s="3" t="n"/>
      <c r="G13" s="3" t="n"/>
      <c r="H13" s="3" t="n"/>
      <c r="I13" s="3" t="n"/>
      <c r="J13" s="3" t="n"/>
      <c r="K13" s="4" t="inlineStr">
        <is>
          <t>Form10A_2026-05-27 p440</t>
        </is>
      </c>
      <c r="L13" s="3" t="n"/>
      <c r="M13" s="3" t="n"/>
      <c r="N13" s="3" t="n"/>
      <c r="O13" s="3" t="n"/>
      <c r="P13" s="3" t="n"/>
      <c r="Q13" s="3" t="n"/>
      <c r="R13" s="3" t="n"/>
      <c r="S13" s="3" t="n"/>
      <c r="T13" s="3" t="n"/>
      <c r="U13" s="3" t="n"/>
      <c r="V13" s="3" t="n"/>
      <c r="W13" s="3" t="n"/>
      <c r="X13" s="3" t="n"/>
      <c r="Y13" s="3" t="n"/>
      <c r="Z13" s="3" t="n"/>
    </row>
    <row r="14">
      <c r="A14" s="19" t="inlineStr">
        <is>
          <t>Interest expense, net</t>
        </is>
      </c>
      <c r="B14" s="30" t="n">
        <v>17</v>
      </c>
      <c r="C14" s="30" t="n">
        <v>15</v>
      </c>
      <c r="D14" s="30" t="n">
        <v>13</v>
      </c>
      <c r="E14" s="30" t="n">
        <v>3</v>
      </c>
      <c r="F14" s="30" t="n">
        <v>4</v>
      </c>
      <c r="G14" s="30" t="n">
        <v>7</v>
      </c>
      <c r="H14" s="30" t="n">
        <v>3</v>
      </c>
      <c r="I14" s="30" t="n">
        <v>7</v>
      </c>
      <c r="J14" s="30" t="n">
        <v>10</v>
      </c>
      <c r="K14" s="4" t="inlineStr">
        <is>
          <t>10Q_Q2-2026 p4; Form10A_2026-05-27 p422; Form10A_2026-05-27 p440</t>
        </is>
      </c>
      <c r="L14" s="3" t="n"/>
      <c r="M14" s="3" t="n"/>
      <c r="N14" s="3" t="n"/>
      <c r="O14" s="3" t="n"/>
      <c r="P14" s="3" t="n"/>
      <c r="Q14" s="3" t="n"/>
      <c r="R14" s="3" t="n"/>
      <c r="S14" s="3" t="n"/>
      <c r="T14" s="3" t="n"/>
      <c r="U14" s="3" t="n"/>
      <c r="V14" s="3" t="n"/>
      <c r="W14" s="3" t="n"/>
      <c r="X14" s="3" t="n"/>
      <c r="Y14" s="3" t="n"/>
      <c r="Z14" s="3" t="n"/>
    </row>
    <row r="15">
      <c r="A15" s="31" t="inlineStr">
        <is>
          <t>Income before taxes on income</t>
        </is>
      </c>
      <c r="B15" s="24">
        <f>B12-B13-B14</f>
        <v/>
      </c>
      <c r="C15" s="24">
        <f>C12-C13-C14</f>
        <v/>
      </c>
      <c r="D15" s="24">
        <f>D12-D13-D14</f>
        <v/>
      </c>
      <c r="E15" s="24">
        <f>E12-E13-E14</f>
        <v/>
      </c>
      <c r="F15" s="24">
        <f>F12-F13-F14</f>
        <v/>
      </c>
      <c r="G15" s="24">
        <f>G12-G13-G14</f>
        <v/>
      </c>
      <c r="H15" s="24">
        <f>H12-H13-H14</f>
        <v/>
      </c>
      <c r="I15" s="24">
        <f>I12-I13-I14</f>
        <v/>
      </c>
      <c r="J15" s="24">
        <f>J12-J13-J14</f>
        <v/>
      </c>
      <c r="K15" s="3" t="n"/>
      <c r="L15" s="3" t="n"/>
      <c r="M15" s="3" t="n"/>
      <c r="N15" s="3" t="n"/>
      <c r="O15" s="3" t="n"/>
      <c r="P15" s="3" t="n"/>
      <c r="Q15" s="3" t="n"/>
      <c r="R15" s="3" t="n"/>
      <c r="S15" s="3" t="n"/>
      <c r="T15" s="3" t="n"/>
      <c r="U15" s="3" t="n"/>
      <c r="V15" s="3" t="n"/>
      <c r="W15" s="3" t="n"/>
      <c r="X15" s="3" t="n"/>
      <c r="Y15" s="3" t="n"/>
      <c r="Z15" s="3" t="n"/>
    </row>
    <row r="16">
      <c r="A16" s="19" t="inlineStr">
        <is>
          <t>Provision for taxes on income</t>
        </is>
      </c>
      <c r="B16" s="30" t="n">
        <v>61</v>
      </c>
      <c r="C16" s="30" t="n">
        <v>76</v>
      </c>
      <c r="D16" s="30" t="n">
        <v>106</v>
      </c>
      <c r="E16" s="30" t="n">
        <v>23</v>
      </c>
      <c r="F16" s="30" t="n">
        <v>27</v>
      </c>
      <c r="G16" s="30" t="n">
        <v>50</v>
      </c>
      <c r="H16" s="30" t="n">
        <v>23</v>
      </c>
      <c r="I16" s="30" t="n">
        <v>22</v>
      </c>
      <c r="J16" s="30" t="n">
        <v>45</v>
      </c>
      <c r="K16" s="4" t="inlineStr">
        <is>
          <t>10Q_Q2-2026 p4; Form10A_2026-05-27 p422; Form10A_2026-05-27 p440</t>
        </is>
      </c>
      <c r="L16" s="3" t="n"/>
      <c r="M16" s="3" t="n"/>
      <c r="N16" s="3" t="n"/>
      <c r="O16" s="3" t="n"/>
      <c r="P16" s="3" t="n"/>
      <c r="Q16" s="3" t="n"/>
      <c r="R16" s="3" t="n"/>
      <c r="S16" s="3" t="n"/>
      <c r="T16" s="3" t="n"/>
      <c r="U16" s="3" t="n"/>
      <c r="V16" s="3" t="n"/>
      <c r="W16" s="3" t="n"/>
      <c r="X16" s="3" t="n"/>
      <c r="Y16" s="3" t="n"/>
      <c r="Z16" s="3" t="n"/>
    </row>
    <row r="17">
      <c r="A17" s="31" t="inlineStr">
        <is>
          <t>Net income</t>
        </is>
      </c>
      <c r="B17" s="24">
        <f>B15-B16</f>
        <v/>
      </c>
      <c r="C17" s="24">
        <f>C15-C16</f>
        <v/>
      </c>
      <c r="D17" s="24">
        <f>D15-D16</f>
        <v/>
      </c>
      <c r="E17" s="24">
        <f>E15-E16</f>
        <v/>
      </c>
      <c r="F17" s="24">
        <f>F15-F16</f>
        <v/>
      </c>
      <c r="G17" s="24">
        <f>G15-G16</f>
        <v/>
      </c>
      <c r="H17" s="24">
        <f>H15-H16</f>
        <v/>
      </c>
      <c r="I17" s="24">
        <f>I15-I16</f>
        <v/>
      </c>
      <c r="J17" s="24">
        <f>J15-J16</f>
        <v/>
      </c>
      <c r="K17" s="3" t="n"/>
      <c r="L17" s="3" t="n"/>
      <c r="M17" s="3" t="n"/>
      <c r="N17" s="3" t="n"/>
      <c r="O17" s="3" t="n"/>
      <c r="P17" s="3" t="n"/>
      <c r="Q17" s="3" t="n"/>
      <c r="R17" s="3" t="n"/>
      <c r="S17" s="3" t="n"/>
      <c r="T17" s="3" t="n"/>
      <c r="U17" s="3" t="n"/>
      <c r="V17" s="3" t="n"/>
      <c r="W17" s="3" t="n"/>
      <c r="X17" s="3" t="n"/>
      <c r="Y17" s="3" t="n"/>
      <c r="Z17" s="3" t="n"/>
    </row>
    <row r="18">
      <c r="A18" s="19" t="inlineStr">
        <is>
          <t>Net income per common share — basic (10-Q only; Form 10 says EPS not presented)</t>
        </is>
      </c>
      <c r="B18" s="3" t="n"/>
      <c r="C18" s="3" t="n"/>
      <c r="D18" s="3" t="n"/>
      <c r="E18" s="3" t="n"/>
      <c r="F18" s="32" t="n">
        <v>0.22</v>
      </c>
      <c r="G18" s="32" t="n">
        <v>0.42</v>
      </c>
      <c r="H18" s="3" t="n"/>
      <c r="I18" s="32" t="n">
        <v>0.18</v>
      </c>
      <c r="J18" s="32" t="n">
        <v>0.37</v>
      </c>
      <c r="K18" s="4" t="inlineStr">
        <is>
          <t>10Q_Q2-2026 p4</t>
        </is>
      </c>
      <c r="L18" s="3" t="n"/>
      <c r="M18" s="3" t="n"/>
      <c r="N18" s="3" t="n"/>
      <c r="O18" s="3" t="n"/>
      <c r="P18" s="3" t="n"/>
      <c r="Q18" s="3" t="n"/>
      <c r="R18" s="3" t="n"/>
      <c r="S18" s="3" t="n"/>
      <c r="T18" s="3" t="n"/>
      <c r="U18" s="3" t="n"/>
      <c r="V18" s="3" t="n"/>
      <c r="W18" s="3" t="n"/>
      <c r="X18" s="3" t="n"/>
      <c r="Y18" s="3" t="n"/>
      <c r="Z18" s="3" t="n"/>
    </row>
    <row r="19">
      <c r="A19" s="19" t="inlineStr">
        <is>
          <t>Net income per common share — diluted (10-Q only)</t>
        </is>
      </c>
      <c r="B19" s="3" t="n"/>
      <c r="C19" s="3" t="n"/>
      <c r="D19" s="3" t="n"/>
      <c r="E19" s="3" t="n"/>
      <c r="F19" s="32" t="n">
        <v>0.22</v>
      </c>
      <c r="G19" s="32" t="n">
        <v>0.42</v>
      </c>
      <c r="H19" s="3" t="n"/>
      <c r="I19" s="32" t="n">
        <v>0.18</v>
      </c>
      <c r="J19" s="32" t="n">
        <v>0.37</v>
      </c>
      <c r="K19" s="4" t="inlineStr">
        <is>
          <t>10Q_Q2-2026 p4</t>
        </is>
      </c>
      <c r="L19" s="3" t="n"/>
      <c r="M19" s="3" t="n"/>
      <c r="N19" s="3" t="n"/>
      <c r="O19" s="3" t="n"/>
      <c r="P19" s="3" t="n"/>
      <c r="Q19" s="3" t="n"/>
      <c r="R19" s="3" t="n"/>
      <c r="S19" s="3" t="n"/>
      <c r="T19" s="3" t="n"/>
      <c r="U19" s="3" t="n"/>
      <c r="V19" s="3" t="n"/>
      <c r="W19" s="3" t="n"/>
      <c r="X19" s="3" t="n"/>
      <c r="Y19" s="3" t="n"/>
      <c r="Z19" s="3" t="n"/>
    </row>
    <row r="20">
      <c r="A20" s="14" t="inlineStr">
        <is>
          <t>Comprehensive income</t>
        </is>
      </c>
      <c r="B20" s="15" t="n"/>
      <c r="C20" s="15" t="n"/>
      <c r="D20" s="15" t="n"/>
      <c r="E20" s="15" t="n"/>
      <c r="F20" s="15" t="n"/>
      <c r="G20" s="15" t="n"/>
      <c r="H20" s="15" t="n"/>
      <c r="I20" s="15" t="n"/>
      <c r="J20" s="15" t="n"/>
      <c r="K20" s="15" t="n"/>
      <c r="L20" s="3" t="n"/>
      <c r="M20" s="3" t="n"/>
      <c r="N20" s="3" t="n"/>
      <c r="O20" s="3" t="n"/>
      <c r="P20" s="3" t="n"/>
      <c r="Q20" s="3" t="n"/>
      <c r="R20" s="3" t="n"/>
      <c r="S20" s="3" t="n"/>
      <c r="T20" s="3" t="n"/>
      <c r="U20" s="3" t="n"/>
      <c r="V20" s="3" t="n"/>
      <c r="W20" s="3" t="n"/>
      <c r="X20" s="3" t="n"/>
      <c r="Y20" s="3" t="n"/>
      <c r="Z20" s="3" t="n"/>
    </row>
    <row r="21">
      <c r="A21" s="19" t="inlineStr">
        <is>
          <t>Foreign currency translation adjustments</t>
        </is>
      </c>
      <c r="B21" s="30" t="n">
        <v>-6</v>
      </c>
      <c r="C21" s="30" t="n">
        <v>18</v>
      </c>
      <c r="D21" s="30" t="n">
        <v>-7</v>
      </c>
      <c r="E21" s="30" t="n">
        <v>-1</v>
      </c>
      <c r="F21" s="30" t="n">
        <v>-7</v>
      </c>
      <c r="G21" s="30" t="n">
        <v>-8</v>
      </c>
      <c r="H21" s="30" t="n">
        <v>1</v>
      </c>
      <c r="I21" s="30" t="n">
        <v>5</v>
      </c>
      <c r="J21" s="30" t="n">
        <v>6</v>
      </c>
      <c r="K21" s="4" t="inlineStr">
        <is>
          <t>10Q_Q2-2026 p5; Form10A_2026-05-27 p423; Form10A_2026-05-27 p441</t>
        </is>
      </c>
      <c r="L21" s="3" t="n"/>
      <c r="M21" s="3" t="n"/>
      <c r="N21" s="3" t="n"/>
      <c r="O21" s="3" t="n"/>
      <c r="P21" s="3" t="n"/>
      <c r="Q21" s="3" t="n"/>
      <c r="R21" s="3" t="n"/>
      <c r="S21" s="3" t="n"/>
      <c r="T21" s="3" t="n"/>
      <c r="U21" s="3" t="n"/>
      <c r="V21" s="3" t="n"/>
      <c r="W21" s="3" t="n"/>
      <c r="X21" s="3" t="n"/>
      <c r="Y21" s="3" t="n"/>
      <c r="Z21" s="3" t="n"/>
    </row>
    <row r="22">
      <c r="A22" s="31" t="inlineStr">
        <is>
          <t>Comprehensive income</t>
        </is>
      </c>
      <c r="B22" s="24">
        <f>B17+B21</f>
        <v/>
      </c>
      <c r="C22" s="24">
        <f>C17+C21</f>
        <v/>
      </c>
      <c r="D22" s="24">
        <f>D17+D21</f>
        <v/>
      </c>
      <c r="E22" s="24">
        <f>E17+E21</f>
        <v/>
      </c>
      <c r="F22" s="24">
        <f>F17+F21</f>
        <v/>
      </c>
      <c r="G22" s="24">
        <f>G17+G21</f>
        <v/>
      </c>
      <c r="H22" s="24">
        <f>H17+H21</f>
        <v/>
      </c>
      <c r="I22" s="24">
        <f>I17+I21</f>
        <v/>
      </c>
      <c r="J22" s="24">
        <f>J17+J21</f>
        <v/>
      </c>
      <c r="K22" s="3" t="n"/>
      <c r="L22" s="3" t="n"/>
      <c r="M22" s="3" t="n"/>
      <c r="N22" s="3" t="n"/>
      <c r="O22" s="3" t="n"/>
      <c r="P22" s="3" t="n"/>
      <c r="Q22" s="3" t="n"/>
      <c r="R22" s="3" t="n"/>
      <c r="S22" s="3" t="n"/>
      <c r="T22" s="3" t="n"/>
      <c r="U22" s="3" t="n"/>
      <c r="V22" s="3" t="n"/>
      <c r="W22" s="3" t="n"/>
      <c r="X22" s="3" t="n"/>
      <c r="Y22" s="3" t="n"/>
      <c r="Z22" s="3" t="n"/>
    </row>
    <row r="23">
      <c r="A23" s="14" t="inlineStr">
        <is>
          <t>Printed subtotals (as filed — for integrity checks)</t>
        </is>
      </c>
      <c r="B23" s="15" t="n"/>
      <c r="C23" s="15" t="n"/>
      <c r="D23" s="15" t="n"/>
      <c r="E23" s="15" t="n"/>
      <c r="F23" s="15" t="n"/>
      <c r="G23" s="15" t="n"/>
      <c r="H23" s="15" t="n"/>
      <c r="I23" s="15" t="n"/>
      <c r="J23" s="15" t="n"/>
      <c r="K23" s="15" t="n"/>
      <c r="L23" s="3" t="n"/>
      <c r="M23" s="3" t="n"/>
      <c r="N23" s="3" t="n"/>
      <c r="O23" s="3" t="n"/>
      <c r="P23" s="3" t="n"/>
      <c r="Q23" s="3" t="n"/>
      <c r="R23" s="3" t="n"/>
      <c r="S23" s="3" t="n"/>
      <c r="T23" s="3" t="n"/>
      <c r="U23" s="3" t="n"/>
      <c r="V23" s="3" t="n"/>
      <c r="W23" s="3" t="n"/>
      <c r="X23" s="3" t="n"/>
      <c r="Y23" s="3" t="n"/>
      <c r="Z23" s="3" t="n"/>
    </row>
    <row r="24">
      <c r="A24" s="19" t="inlineStr">
        <is>
          <t>Total expenses — printed</t>
        </is>
      </c>
      <c r="B24" s="30" t="n">
        <v>1246</v>
      </c>
      <c r="C24" s="30" t="n">
        <v>1315</v>
      </c>
      <c r="D24" s="30" t="n">
        <v>1411</v>
      </c>
      <c r="E24" s="30" t="n">
        <v>336</v>
      </c>
      <c r="F24" s="30" t="n">
        <v>343</v>
      </c>
      <c r="G24" s="30" t="n">
        <v>679</v>
      </c>
      <c r="H24" s="30" t="n">
        <v>374</v>
      </c>
      <c r="I24" s="30" t="n">
        <v>386</v>
      </c>
      <c r="J24" s="30" t="n">
        <v>760</v>
      </c>
      <c r="K24" s="4" t="inlineStr">
        <is>
          <t>10Q_Q2-2026 p4; Form10A_2026-05-27 p422; Form10A_2026-05-27 p440</t>
        </is>
      </c>
      <c r="L24" s="3" t="n"/>
      <c r="M24" s="3" t="n"/>
      <c r="N24" s="3" t="n"/>
      <c r="O24" s="3" t="n"/>
      <c r="P24" s="3" t="n"/>
      <c r="Q24" s="3" t="n"/>
      <c r="R24" s="3" t="n"/>
      <c r="S24" s="3" t="n"/>
      <c r="T24" s="3" t="n"/>
      <c r="U24" s="3" t="n"/>
      <c r="V24" s="3" t="n"/>
      <c r="W24" s="3" t="n"/>
      <c r="X24" s="3" t="n"/>
      <c r="Y24" s="3" t="n"/>
      <c r="Z24" s="3" t="n"/>
    </row>
    <row r="25">
      <c r="A25" s="19" t="inlineStr">
        <is>
          <t>Operating profit — printed</t>
        </is>
      </c>
      <c r="B25" s="30" t="n">
        <v>239</v>
      </c>
      <c r="C25" s="30" t="n">
        <v>298</v>
      </c>
      <c r="D25" s="30" t="n">
        <v>339</v>
      </c>
      <c r="E25" s="30" t="n">
        <v>84</v>
      </c>
      <c r="F25" s="30" t="n">
        <v>96</v>
      </c>
      <c r="G25" s="30" t="n">
        <v>180</v>
      </c>
      <c r="H25" s="30" t="n">
        <v>81</v>
      </c>
      <c r="I25" s="30" t="n">
        <v>82</v>
      </c>
      <c r="J25" s="30" t="n">
        <v>163</v>
      </c>
      <c r="K25" s="4" t="inlineStr">
        <is>
          <t>10Q_Q2-2026 p4; Form10A_2026-05-27 p422; Form10A_2026-05-27 p440</t>
        </is>
      </c>
      <c r="L25" s="3" t="n"/>
      <c r="M25" s="3" t="n"/>
      <c r="N25" s="3" t="n"/>
      <c r="O25" s="3" t="n"/>
      <c r="P25" s="3" t="n"/>
      <c r="Q25" s="3" t="n"/>
      <c r="R25" s="3" t="n"/>
      <c r="S25" s="3" t="n"/>
      <c r="T25" s="3" t="n"/>
      <c r="U25" s="3" t="n"/>
      <c r="V25" s="3" t="n"/>
      <c r="W25" s="3" t="n"/>
      <c r="X25" s="3" t="n"/>
      <c r="Y25" s="3" t="n"/>
      <c r="Z25" s="3" t="n"/>
    </row>
    <row r="26">
      <c r="A26" s="19" t="inlineStr">
        <is>
          <t>Income before taxes — printed</t>
        </is>
      </c>
      <c r="B26" s="30" t="n">
        <v>224</v>
      </c>
      <c r="C26" s="30" t="n">
        <v>284</v>
      </c>
      <c r="D26" s="30" t="n">
        <v>326</v>
      </c>
      <c r="E26" s="30" t="n">
        <v>81</v>
      </c>
      <c r="F26" s="30" t="n">
        <v>92</v>
      </c>
      <c r="G26" s="30" t="n">
        <v>173</v>
      </c>
      <c r="H26" s="30" t="n">
        <v>78</v>
      </c>
      <c r="I26" s="30" t="n">
        <v>75</v>
      </c>
      <c r="J26" s="30" t="n">
        <v>153</v>
      </c>
      <c r="K26" s="4" t="inlineStr">
        <is>
          <t>10Q_Q2-2026 p4; Form10A_2026-05-27 p422; Form10A_2026-05-27 p440</t>
        </is>
      </c>
      <c r="L26" s="3" t="n"/>
      <c r="M26" s="3" t="n"/>
      <c r="N26" s="3" t="n"/>
      <c r="O26" s="3" t="n"/>
      <c r="P26" s="3" t="n"/>
      <c r="Q26" s="3" t="n"/>
      <c r="R26" s="3" t="n"/>
      <c r="S26" s="3" t="n"/>
      <c r="T26" s="3" t="n"/>
      <c r="U26" s="3" t="n"/>
      <c r="V26" s="3" t="n"/>
      <c r="W26" s="3" t="n"/>
      <c r="X26" s="3" t="n"/>
      <c r="Y26" s="3" t="n"/>
      <c r="Z26" s="3" t="n"/>
    </row>
    <row r="27">
      <c r="A27" s="19" t="inlineStr">
        <is>
          <t>Net income — printed</t>
        </is>
      </c>
      <c r="B27" s="30" t="n">
        <v>163</v>
      </c>
      <c r="C27" s="30" t="n">
        <v>208</v>
      </c>
      <c r="D27" s="30" t="n">
        <v>220</v>
      </c>
      <c r="E27" s="30" t="n">
        <v>58</v>
      </c>
      <c r="F27" s="30" t="n">
        <v>65</v>
      </c>
      <c r="G27" s="30" t="n">
        <v>123</v>
      </c>
      <c r="H27" s="30" t="n">
        <v>55</v>
      </c>
      <c r="I27" s="30" t="n">
        <v>53</v>
      </c>
      <c r="J27" s="30" t="n">
        <v>108</v>
      </c>
      <c r="K27" s="4" t="inlineStr">
        <is>
          <t>10Q_Q2-2026 p4; Form10A_2026-05-27 p422; Form10A_2026-05-27 p440</t>
        </is>
      </c>
      <c r="L27" s="3" t="n"/>
      <c r="M27" s="3" t="n"/>
      <c r="N27" s="3" t="n"/>
      <c r="O27" s="3" t="n"/>
      <c r="P27" s="3" t="n"/>
      <c r="Q27" s="3" t="n"/>
      <c r="R27" s="3" t="n"/>
      <c r="S27" s="3" t="n"/>
      <c r="T27" s="3" t="n"/>
      <c r="U27" s="3" t="n"/>
      <c r="V27" s="3" t="n"/>
      <c r="W27" s="3" t="n"/>
      <c r="X27" s="3" t="n"/>
      <c r="Y27" s="3" t="n"/>
      <c r="Z27" s="3" t="n"/>
    </row>
    <row r="28">
      <c r="A28" s="19" t="inlineStr">
        <is>
          <t>Comprehensive income — printed</t>
        </is>
      </c>
      <c r="B28" s="30" t="n">
        <v>157</v>
      </c>
      <c r="C28" s="30" t="n">
        <v>226</v>
      </c>
      <c r="D28" s="30" t="n">
        <v>213</v>
      </c>
      <c r="E28" s="30" t="n">
        <v>57</v>
      </c>
      <c r="F28" s="30" t="n">
        <v>58</v>
      </c>
      <c r="G28" s="30" t="n">
        <v>115</v>
      </c>
      <c r="H28" s="30" t="n">
        <v>56</v>
      </c>
      <c r="I28" s="30" t="n">
        <v>58</v>
      </c>
      <c r="J28" s="30" t="n">
        <v>114</v>
      </c>
      <c r="K28" s="4" t="inlineStr">
        <is>
          <t>10Q_Q2-2026 p5; Form10A_2026-05-27 p423; Form10A_2026-05-27 p441</t>
        </is>
      </c>
      <c r="L28" s="3" t="n"/>
      <c r="M28" s="3" t="n"/>
      <c r="N28" s="3" t="n"/>
      <c r="O28" s="3" t="n"/>
      <c r="P28" s="3" t="n"/>
      <c r="Q28" s="3" t="n"/>
      <c r="R28" s="3" t="n"/>
      <c r="S28" s="3" t="n"/>
      <c r="T28" s="3" t="n"/>
      <c r="U28" s="3" t="n"/>
      <c r="V28" s="3" t="n"/>
      <c r="W28" s="3" t="n"/>
      <c r="X28" s="3" t="n"/>
      <c r="Y28" s="3" t="n"/>
      <c r="Z28" s="3" t="n"/>
    </row>
    <row r="29">
      <c r="A29" s="14" t="inlineStr">
        <is>
          <t>Integrity checks (formula − printed; must be 0)</t>
        </is>
      </c>
      <c r="B29" s="15" t="n"/>
      <c r="C29" s="15" t="n"/>
      <c r="D29" s="15" t="n"/>
      <c r="E29" s="15" t="n"/>
      <c r="F29" s="15" t="n"/>
      <c r="G29" s="15" t="n"/>
      <c r="H29" s="15" t="n"/>
      <c r="I29" s="15" t="n"/>
      <c r="J29" s="15" t="n"/>
      <c r="K29" s="15" t="n"/>
      <c r="L29" s="3" t="n"/>
      <c r="M29" s="3" t="n"/>
      <c r="N29" s="3" t="n"/>
      <c r="O29" s="3" t="n"/>
      <c r="P29" s="3" t="n"/>
      <c r="Q29" s="3" t="n"/>
      <c r="R29" s="3" t="n"/>
      <c r="S29" s="3" t="n"/>
      <c r="T29" s="3" t="n"/>
      <c r="U29" s="3" t="n"/>
      <c r="V29" s="3" t="n"/>
      <c r="W29" s="3" t="n"/>
      <c r="X29" s="3" t="n"/>
      <c r="Y29" s="3" t="n"/>
      <c r="Z29" s="3" t="n"/>
    </row>
    <row r="30">
      <c r="A30" s="25" t="inlineStr">
        <is>
          <t>CHECK total expenses</t>
        </is>
      </c>
      <c r="B30" s="27">
        <f>B11-B24</f>
        <v/>
      </c>
      <c r="C30" s="27">
        <f>C11-C24</f>
        <v/>
      </c>
      <c r="D30" s="27">
        <f>D11-D24</f>
        <v/>
      </c>
      <c r="E30" s="27">
        <f>E11-E24</f>
        <v/>
      </c>
      <c r="F30" s="27">
        <f>F11-F24</f>
        <v/>
      </c>
      <c r="G30" s="27">
        <f>G11-G24</f>
        <v/>
      </c>
      <c r="H30" s="27">
        <f>H11-H24</f>
        <v/>
      </c>
      <c r="I30" s="27">
        <f>I11-I24</f>
        <v/>
      </c>
      <c r="J30" s="27">
        <f>J11-J24</f>
        <v/>
      </c>
      <c r="K30" s="3" t="n"/>
      <c r="L30" s="3" t="n"/>
      <c r="M30" s="3" t="n"/>
      <c r="N30" s="3" t="n"/>
      <c r="O30" s="3" t="n"/>
      <c r="P30" s="3" t="n"/>
      <c r="Q30" s="3" t="n"/>
      <c r="R30" s="3" t="n"/>
      <c r="S30" s="3" t="n"/>
      <c r="T30" s="3" t="n"/>
      <c r="U30" s="3" t="n"/>
      <c r="V30" s="3" t="n"/>
      <c r="W30" s="3" t="n"/>
      <c r="X30" s="3" t="n"/>
      <c r="Y30" s="3" t="n"/>
      <c r="Z30" s="3" t="inlineStr">
        <is>
          <t>CHECK</t>
        </is>
      </c>
    </row>
    <row r="31">
      <c r="A31" s="25" t="inlineStr">
        <is>
          <t>CHECK operating profit</t>
        </is>
      </c>
      <c r="B31" s="27">
        <f>B12-B25</f>
        <v/>
      </c>
      <c r="C31" s="27">
        <f>C12-C25</f>
        <v/>
      </c>
      <c r="D31" s="27">
        <f>D12-D25</f>
        <v/>
      </c>
      <c r="E31" s="27">
        <f>E12-E25</f>
        <v/>
      </c>
      <c r="F31" s="27">
        <f>F12-F25</f>
        <v/>
      </c>
      <c r="G31" s="27">
        <f>G12-G25</f>
        <v/>
      </c>
      <c r="H31" s="27">
        <f>H12-H25</f>
        <v/>
      </c>
      <c r="I31" s="27">
        <f>I12-I25</f>
        <v/>
      </c>
      <c r="J31" s="27">
        <f>J12-J25</f>
        <v/>
      </c>
      <c r="K31" s="3" t="n"/>
      <c r="L31" s="3" t="n"/>
      <c r="M31" s="3" t="n"/>
      <c r="N31" s="3" t="n"/>
      <c r="O31" s="3" t="n"/>
      <c r="P31" s="3" t="n"/>
      <c r="Q31" s="3" t="n"/>
      <c r="R31" s="3" t="n"/>
      <c r="S31" s="3" t="n"/>
      <c r="T31" s="3" t="n"/>
      <c r="U31" s="3" t="n"/>
      <c r="V31" s="3" t="n"/>
      <c r="W31" s="3" t="n"/>
      <c r="X31" s="3" t="n"/>
      <c r="Y31" s="3" t="n"/>
      <c r="Z31" s="3" t="inlineStr">
        <is>
          <t>CHECK</t>
        </is>
      </c>
    </row>
    <row r="32">
      <c r="A32" s="25" t="inlineStr">
        <is>
          <t>CHECK pre-tax income</t>
        </is>
      </c>
      <c r="B32" s="27">
        <f>B15-B26</f>
        <v/>
      </c>
      <c r="C32" s="27">
        <f>C15-C26</f>
        <v/>
      </c>
      <c r="D32" s="27">
        <f>D15-D26</f>
        <v/>
      </c>
      <c r="E32" s="27">
        <f>E15-E26</f>
        <v/>
      </c>
      <c r="F32" s="27">
        <f>F15-F26</f>
        <v/>
      </c>
      <c r="G32" s="27">
        <f>G15-G26</f>
        <v/>
      </c>
      <c r="H32" s="27">
        <f>H15-H26</f>
        <v/>
      </c>
      <c r="I32" s="27">
        <f>I15-I26</f>
        <v/>
      </c>
      <c r="J32" s="27">
        <f>J15-J26</f>
        <v/>
      </c>
      <c r="K32" s="3" t="n"/>
      <c r="L32" s="3" t="n"/>
      <c r="M32" s="3" t="n"/>
      <c r="N32" s="3" t="n"/>
      <c r="O32" s="3" t="n"/>
      <c r="P32" s="3" t="n"/>
      <c r="Q32" s="3" t="n"/>
      <c r="R32" s="3" t="n"/>
      <c r="S32" s="3" t="n"/>
      <c r="T32" s="3" t="n"/>
      <c r="U32" s="3" t="n"/>
      <c r="V32" s="3" t="n"/>
      <c r="W32" s="3" t="n"/>
      <c r="X32" s="3" t="n"/>
      <c r="Y32" s="3" t="n"/>
      <c r="Z32" s="3" t="inlineStr">
        <is>
          <t>CHECK</t>
        </is>
      </c>
    </row>
    <row r="33">
      <c r="A33" s="25" t="inlineStr">
        <is>
          <t>CHECK net income</t>
        </is>
      </c>
      <c r="B33" s="27">
        <f>B17-B27</f>
        <v/>
      </c>
      <c r="C33" s="27">
        <f>C17-C27</f>
        <v/>
      </c>
      <c r="D33" s="27">
        <f>D17-D27</f>
        <v/>
      </c>
      <c r="E33" s="27">
        <f>E17-E27</f>
        <v/>
      </c>
      <c r="F33" s="27">
        <f>F17-F27</f>
        <v/>
      </c>
      <c r="G33" s="27">
        <f>G17-G27</f>
        <v/>
      </c>
      <c r="H33" s="27">
        <f>H17-H27</f>
        <v/>
      </c>
      <c r="I33" s="27">
        <f>I17-I27</f>
        <v/>
      </c>
      <c r="J33" s="27">
        <f>J17-J27</f>
        <v/>
      </c>
      <c r="K33" s="3" t="n"/>
      <c r="L33" s="3" t="n"/>
      <c r="M33" s="3" t="n"/>
      <c r="N33" s="3" t="n"/>
      <c r="O33" s="3" t="n"/>
      <c r="P33" s="3" t="n"/>
      <c r="Q33" s="3" t="n"/>
      <c r="R33" s="3" t="n"/>
      <c r="S33" s="3" t="n"/>
      <c r="T33" s="3" t="n"/>
      <c r="U33" s="3" t="n"/>
      <c r="V33" s="3" t="n"/>
      <c r="W33" s="3" t="n"/>
      <c r="X33" s="3" t="n"/>
      <c r="Y33" s="3" t="n"/>
      <c r="Z33" s="3" t="inlineStr">
        <is>
          <t>CHECK</t>
        </is>
      </c>
    </row>
    <row r="34">
      <c r="A34" s="25" t="inlineStr">
        <is>
          <t>CHECK comprehensive income</t>
        </is>
      </c>
      <c r="B34" s="27">
        <f>B22-B28</f>
        <v/>
      </c>
      <c r="C34" s="27">
        <f>C22-C28</f>
        <v/>
      </c>
      <c r="D34" s="27">
        <f>D22-D28</f>
        <v/>
      </c>
      <c r="E34" s="27">
        <f>E22-E28</f>
        <v/>
      </c>
      <c r="F34" s="27">
        <f>F22-F28</f>
        <v/>
      </c>
      <c r="G34" s="27">
        <f>G22-G28</f>
        <v/>
      </c>
      <c r="H34" s="27">
        <f>H22-H28</f>
        <v/>
      </c>
      <c r="I34" s="27">
        <f>I22-I28</f>
        <v/>
      </c>
      <c r="J34" s="27">
        <f>J22-J28</f>
        <v/>
      </c>
      <c r="K34" s="3" t="n"/>
      <c r="L34" s="3" t="n"/>
      <c r="M34" s="3" t="n"/>
      <c r="N34" s="3" t="n"/>
      <c r="O34" s="3" t="n"/>
      <c r="P34" s="3" t="n"/>
      <c r="Q34" s="3" t="n"/>
      <c r="R34" s="3" t="n"/>
      <c r="S34" s="3" t="n"/>
      <c r="T34" s="3" t="n"/>
      <c r="U34" s="3" t="n"/>
      <c r="V34" s="3" t="n"/>
      <c r="W34" s="3" t="n"/>
      <c r="X34" s="3" t="n"/>
      <c r="Y34" s="3" t="n"/>
      <c r="Z34" s="3" t="inlineStr">
        <is>
          <t>CHECK</t>
        </is>
      </c>
    </row>
    <row r="35">
      <c r="A35" s="25" t="inlineStr">
        <is>
          <t>CHECK 6M = Q1 + Q2 (revenue and net income)</t>
        </is>
      </c>
      <c r="B35" s="25" t="inlineStr">
        <is>
          <t>n/a</t>
        </is>
      </c>
      <c r="C35" s="25" t="inlineStr">
        <is>
          <t>n/a</t>
        </is>
      </c>
      <c r="D35" s="25" t="inlineStr">
        <is>
          <t>n/a</t>
        </is>
      </c>
      <c r="E35" s="25" t="inlineStr">
        <is>
          <t>n/a</t>
        </is>
      </c>
      <c r="F35" s="25" t="inlineStr">
        <is>
          <t>n/a</t>
        </is>
      </c>
      <c r="G35" s="33">
        <f>ABS(G6-E6-F6)+ABS(G17-E17-F17)</f>
        <v/>
      </c>
      <c r="H35" s="25" t="inlineStr">
        <is>
          <t>n/a</t>
        </is>
      </c>
      <c r="I35" s="25" t="inlineStr">
        <is>
          <t>n/a</t>
        </is>
      </c>
      <c r="J35" s="33">
        <f>ABS(J6-H6-I6)+ABS(J17-H17-I17)</f>
        <v/>
      </c>
      <c r="K35" s="3" t="n"/>
      <c r="L35" s="3" t="n"/>
      <c r="M35" s="3" t="n"/>
      <c r="N35" s="3" t="n"/>
      <c r="O35" s="3" t="n"/>
      <c r="P35" s="3" t="n"/>
      <c r="Q35" s="3" t="n"/>
      <c r="R35" s="3" t="n"/>
      <c r="S35" s="3" t="n"/>
      <c r="T35" s="3" t="n"/>
      <c r="U35" s="3" t="n"/>
      <c r="V35" s="3" t="n"/>
      <c r="W35" s="3" t="n"/>
      <c r="X35" s="3" t="n"/>
      <c r="Y35" s="3" t="n"/>
      <c r="Z35" s="3" t="inlineStr">
        <is>
          <t>CHECK</t>
        </is>
      </c>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4" t="inlineStr">
        <is>
          <t>Notes: Form 10 (2026-05-07) and Form 10/A statements are identical (no quiet restatement). The 10-Q prints EPS for carve-out comparatives although the Form 10 states EPS was not presented (no capital structure) — see Accounting Notes.</t>
        </is>
      </c>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2" customWidth="1" min="3" max="3"/>
    <col width="12" customWidth="1" min="4" max="4"/>
    <col width="12" customWidth="1" min="5" max="5"/>
    <col width="40" customWidth="1" min="6" max="6"/>
    <col hidden="1" width="13" customWidth="1" min="26" max="26"/>
  </cols>
  <sheetData>
    <row r="1" ht="20" customHeight="1">
      <c r="A1" s="1" t="inlineStr">
        <is>
          <t>Mobility Global Inc. — Combined Balance Sheets (as originally reported)</t>
        </is>
      </c>
      <c r="B1" s="2" t="n"/>
      <c r="C1" s="2" t="n"/>
      <c r="D1" s="2" t="n"/>
      <c r="E1" s="2" t="n"/>
      <c r="F1" s="2" t="n"/>
      <c r="G1" s="3" t="n"/>
      <c r="H1" s="3" t="n"/>
      <c r="I1" s="3" t="n"/>
      <c r="J1" s="3" t="n"/>
      <c r="K1" s="3" t="n"/>
      <c r="L1" s="3" t="n"/>
      <c r="M1" s="3" t="n"/>
      <c r="N1" s="3" t="n"/>
      <c r="O1" s="3" t="n"/>
      <c r="P1" s="3" t="n"/>
      <c r="Q1" s="3" t="n"/>
      <c r="R1" s="3" t="n"/>
      <c r="S1" s="3" t="n"/>
      <c r="T1" s="3" t="n"/>
      <c r="U1" s="3" t="n"/>
      <c r="V1" s="3" t="n"/>
      <c r="W1" s="3" t="n"/>
      <c r="X1" s="3" t="n"/>
      <c r="Y1" s="3" t="n"/>
      <c r="Z1" s="3" t="n"/>
    </row>
    <row r="2">
      <c r="A2" s="4" t="inlineStr">
        <is>
          <t>12/31/24 &amp; 12/31/25 from Form 10/A audited; 3/31/26 Form 10/A interim; 6/30/26 10-Q. No FY2023 balance sheet is printed.</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9" t="inlineStr">
        <is>
          <t>USD millions unless stated</t>
        </is>
      </c>
      <c r="B4" s="29" t="inlineStr">
        <is>
          <t>12/31/24</t>
        </is>
      </c>
      <c r="C4" s="29" t="inlineStr">
        <is>
          <t>12/31/25</t>
        </is>
      </c>
      <c r="D4" s="29" t="inlineStr">
        <is>
          <t>3/31/26</t>
        </is>
      </c>
      <c r="E4" s="29" t="inlineStr">
        <is>
          <t>6/30/26</t>
        </is>
      </c>
      <c r="F4" s="29" t="inlineStr">
        <is>
          <t>Source</t>
        </is>
      </c>
      <c r="G4" s="3" t="n"/>
      <c r="H4" s="3" t="n"/>
      <c r="I4" s="3" t="n"/>
      <c r="J4" s="3" t="n"/>
      <c r="K4" s="3" t="n"/>
      <c r="L4" s="3" t="n"/>
      <c r="M4" s="3" t="n"/>
      <c r="N4" s="3" t="n"/>
      <c r="O4" s="3" t="n"/>
      <c r="P4" s="3" t="n"/>
      <c r="Q4" s="3" t="n"/>
      <c r="R4" s="3" t="n"/>
      <c r="S4" s="3" t="n"/>
      <c r="T4" s="3" t="n"/>
      <c r="U4" s="3" t="n"/>
      <c r="V4" s="3" t="n"/>
      <c r="W4" s="3" t="n"/>
      <c r="X4" s="3" t="n"/>
      <c r="Y4" s="3" t="n"/>
      <c r="Z4" s="3" t="n"/>
    </row>
    <row r="5">
      <c r="A5" s="14" t="inlineStr">
        <is>
          <t>Assets</t>
        </is>
      </c>
      <c r="B5" s="15" t="n"/>
      <c r="C5" s="15" t="n"/>
      <c r="D5" s="15" t="n"/>
      <c r="E5" s="15" t="n"/>
      <c r="F5" s="15" t="n"/>
      <c r="G5" s="3" t="n"/>
      <c r="H5" s="3" t="n"/>
      <c r="I5" s="3" t="n"/>
      <c r="J5" s="3" t="n"/>
      <c r="K5" s="3" t="n"/>
      <c r="L5" s="3" t="n"/>
      <c r="M5" s="3" t="n"/>
      <c r="N5" s="3" t="n"/>
      <c r="O5" s="3" t="n"/>
      <c r="P5" s="3" t="n"/>
      <c r="Q5" s="3" t="n"/>
      <c r="R5" s="3" t="n"/>
      <c r="S5" s="3" t="n"/>
      <c r="T5" s="3" t="n"/>
      <c r="U5" s="3" t="n"/>
      <c r="V5" s="3" t="n"/>
      <c r="W5" s="3" t="n"/>
      <c r="X5" s="3" t="n"/>
      <c r="Y5" s="3" t="n"/>
      <c r="Z5" s="3" t="n"/>
    </row>
    <row r="6">
      <c r="A6" s="19" t="inlineStr">
        <is>
          <t>Cash and cash equivalents</t>
        </is>
      </c>
      <c r="B6" s="30" t="n">
        <v>27</v>
      </c>
      <c r="C6" s="30" t="n">
        <v>38</v>
      </c>
      <c r="D6" s="30" t="n">
        <v>122</v>
      </c>
      <c r="E6" s="30" t="n">
        <v>186</v>
      </c>
      <c r="F6" s="4" t="inlineStr">
        <is>
          <t>10Q_Q2-2026 p6; Form10A_2026-05-27 p424; Form10A_2026-05-27 p442</t>
        </is>
      </c>
      <c r="G6" s="3" t="n"/>
      <c r="H6" s="3" t="n"/>
      <c r="I6" s="3" t="n"/>
      <c r="J6" s="3" t="n"/>
      <c r="K6" s="3" t="n"/>
      <c r="L6" s="3" t="n"/>
      <c r="M6" s="3" t="n"/>
      <c r="N6" s="3" t="n"/>
      <c r="O6" s="3" t="n"/>
      <c r="P6" s="3" t="n"/>
      <c r="Q6" s="3" t="n"/>
      <c r="R6" s="3" t="n"/>
      <c r="S6" s="3" t="n"/>
      <c r="T6" s="3" t="n"/>
      <c r="U6" s="3" t="n"/>
      <c r="V6" s="3" t="n"/>
      <c r="W6" s="3" t="n"/>
      <c r="X6" s="3" t="n"/>
      <c r="Y6" s="3" t="n"/>
      <c r="Z6" s="3" t="n"/>
    </row>
    <row r="7">
      <c r="A7" s="19" t="inlineStr">
        <is>
          <t>Due from related parties — current</t>
        </is>
      </c>
      <c r="B7" s="30" t="n">
        <v>4</v>
      </c>
      <c r="C7" s="30" t="n">
        <v>8</v>
      </c>
      <c r="D7" s="30" t="n">
        <v>15</v>
      </c>
      <c r="E7" s="30" t="n">
        <v>17</v>
      </c>
      <c r="F7" s="4" t="inlineStr">
        <is>
          <t>10Q_Q2-2026 p6; Form10A_2026-05-27 p424; Form10A_2026-05-27 p442</t>
        </is>
      </c>
      <c r="G7" s="3" t="n"/>
      <c r="H7" s="3" t="n"/>
      <c r="I7" s="3" t="n"/>
      <c r="J7" s="3" t="n"/>
      <c r="K7" s="3" t="n"/>
      <c r="L7" s="3" t="n"/>
      <c r="M7" s="3" t="n"/>
      <c r="N7" s="3" t="n"/>
      <c r="O7" s="3" t="n"/>
      <c r="P7" s="3" t="n"/>
      <c r="Q7" s="3" t="n"/>
      <c r="R7" s="3" t="n"/>
      <c r="S7" s="3" t="n"/>
      <c r="T7" s="3" t="n"/>
      <c r="U7" s="3" t="n"/>
      <c r="V7" s="3" t="n"/>
      <c r="W7" s="3" t="n"/>
      <c r="X7" s="3" t="n"/>
      <c r="Y7" s="3" t="n"/>
      <c r="Z7" s="3" t="n"/>
    </row>
    <row r="8">
      <c r="A8" s="19" t="inlineStr">
        <is>
          <t>Accounts receivable, net</t>
        </is>
      </c>
      <c r="B8" s="30" t="n">
        <v>195</v>
      </c>
      <c r="C8" s="30" t="n">
        <v>203</v>
      </c>
      <c r="D8" s="30" t="n">
        <v>216</v>
      </c>
      <c r="E8" s="30" t="n">
        <v>216</v>
      </c>
      <c r="F8" s="4" t="inlineStr">
        <is>
          <t>10Q_Q2-2026 p6; Form10A_2026-05-27 p424; Form10A_2026-05-27 p442</t>
        </is>
      </c>
      <c r="G8" s="3" t="n"/>
      <c r="H8" s="3" t="n"/>
      <c r="I8" s="3" t="n"/>
      <c r="J8" s="3" t="n"/>
      <c r="K8" s="3" t="n"/>
      <c r="L8" s="3" t="n"/>
      <c r="M8" s="3" t="n"/>
      <c r="N8" s="3" t="n"/>
      <c r="O8" s="3" t="n"/>
      <c r="P8" s="3" t="n"/>
      <c r="Q8" s="3" t="n"/>
      <c r="R8" s="3" t="n"/>
      <c r="S8" s="3" t="n"/>
      <c r="T8" s="3" t="n"/>
      <c r="U8" s="3" t="n"/>
      <c r="V8" s="3" t="n"/>
      <c r="W8" s="3" t="n"/>
      <c r="X8" s="3" t="n"/>
      <c r="Y8" s="3" t="n"/>
      <c r="Z8" s="3" t="n"/>
    </row>
    <row r="9">
      <c r="A9" s="19" t="inlineStr">
        <is>
          <t>Prepaid and other current assets</t>
        </is>
      </c>
      <c r="B9" s="30" t="n">
        <v>24</v>
      </c>
      <c r="C9" s="30" t="n">
        <v>32</v>
      </c>
      <c r="D9" s="30" t="n">
        <v>39</v>
      </c>
      <c r="E9" s="30" t="n">
        <v>47</v>
      </c>
      <c r="F9" s="4" t="inlineStr">
        <is>
          <t>10Q_Q2-2026 p6; Form10A_2026-05-27 p424; Form10A_2026-05-27 p442</t>
        </is>
      </c>
      <c r="G9" s="3" t="n"/>
      <c r="H9" s="3" t="n"/>
      <c r="I9" s="3" t="n"/>
      <c r="J9" s="3" t="n"/>
      <c r="K9" s="3" t="n"/>
      <c r="L9" s="3" t="n"/>
      <c r="M9" s="3" t="n"/>
      <c r="N9" s="3" t="n"/>
      <c r="O9" s="3" t="n"/>
      <c r="P9" s="3" t="n"/>
      <c r="Q9" s="3" t="n"/>
      <c r="R9" s="3" t="n"/>
      <c r="S9" s="3" t="n"/>
      <c r="T9" s="3" t="n"/>
      <c r="U9" s="3" t="n"/>
      <c r="V9" s="3" t="n"/>
      <c r="W9" s="3" t="n"/>
      <c r="X9" s="3" t="n"/>
      <c r="Y9" s="3" t="n"/>
      <c r="Z9" s="3" t="n"/>
    </row>
    <row r="10">
      <c r="A10" s="31" t="inlineStr">
        <is>
          <t>Total current assets</t>
        </is>
      </c>
      <c r="B10" s="24">
        <f>B6+B7+B8+B9</f>
        <v/>
      </c>
      <c r="C10" s="24">
        <f>C6+C7+C8+C9</f>
        <v/>
      </c>
      <c r="D10" s="24">
        <f>D6+D7+D8+D9</f>
        <v/>
      </c>
      <c r="E10" s="24">
        <f>E6+E7+E8+E9</f>
        <v/>
      </c>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19" t="inlineStr">
        <is>
          <t>Total property and equipment (gross)</t>
        </is>
      </c>
      <c r="B11" s="30" t="n">
        <v>103</v>
      </c>
      <c r="C11" s="30" t="n">
        <v>100</v>
      </c>
      <c r="D11" s="30" t="n">
        <v>102</v>
      </c>
      <c r="E11" s="3" t="n"/>
      <c r="F11" s="4" t="inlineStr">
        <is>
          <t>Form10A_2026-05-27 p424; Form10A_2026-05-27 p442</t>
        </is>
      </c>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19" t="inlineStr">
        <is>
          <t>Less: accumulated depreciation</t>
        </is>
      </c>
      <c r="B12" s="30" t="n">
        <v>-83</v>
      </c>
      <c r="C12" s="30" t="n">
        <v>-81</v>
      </c>
      <c r="D12" s="30" t="n">
        <v>-83</v>
      </c>
      <c r="E12" s="3" t="n"/>
      <c r="F12" s="4" t="inlineStr">
        <is>
          <t>Form10A_2026-05-27 p424; Form10A_2026-05-27 p442</t>
        </is>
      </c>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19" t="inlineStr">
        <is>
          <t>Property and equipment, net</t>
        </is>
      </c>
      <c r="B13" s="30" t="n">
        <v>20</v>
      </c>
      <c r="C13" s="30" t="n">
        <v>19</v>
      </c>
      <c r="D13" s="30" t="n">
        <v>19</v>
      </c>
      <c r="E13" s="30" t="n">
        <v>18</v>
      </c>
      <c r="F13" s="4" t="inlineStr">
        <is>
          <t>10Q_Q2-2026 p6; Form10A_2026-05-27 p424; Form10A_2026-05-27 p442</t>
        </is>
      </c>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19" t="inlineStr">
        <is>
          <t>Right of use assets</t>
        </is>
      </c>
      <c r="B14" s="30" t="n">
        <v>20</v>
      </c>
      <c r="C14" s="30" t="n">
        <v>16</v>
      </c>
      <c r="D14" s="30" t="n">
        <v>23</v>
      </c>
      <c r="E14" s="30" t="n">
        <v>33</v>
      </c>
      <c r="F14" s="4" t="inlineStr">
        <is>
          <t>10Q_Q2-2026 p6; Form10A_2026-05-27 p424; Form10A_2026-05-27 p442</t>
        </is>
      </c>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9" t="inlineStr">
        <is>
          <t>Goodwill</t>
        </is>
      </c>
      <c r="B15" s="30" t="n">
        <v>8845</v>
      </c>
      <c r="C15" s="30" t="n">
        <v>8845</v>
      </c>
      <c r="D15" s="30" t="n">
        <v>8845</v>
      </c>
      <c r="E15" s="30" t="n">
        <v>8845</v>
      </c>
      <c r="F15" s="4" t="inlineStr">
        <is>
          <t>10Q_Q2-2026 p6; Form10A_2026-05-27 p424; Form10A_2026-05-27 p442</t>
        </is>
      </c>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19" t="inlineStr">
        <is>
          <t>Other intangible assets, net</t>
        </is>
      </c>
      <c r="B16" s="30" t="n">
        <v>4085</v>
      </c>
      <c r="C16" s="30" t="n">
        <v>3789</v>
      </c>
      <c r="D16" s="30" t="n">
        <v>3714</v>
      </c>
      <c r="E16" s="30" t="n">
        <v>3640</v>
      </c>
      <c r="F16" s="4" t="inlineStr">
        <is>
          <t>10Q_Q2-2026 p6; Form10A_2026-05-27 p424; Form10A_2026-05-27 p442</t>
        </is>
      </c>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19" t="inlineStr">
        <is>
          <t>Due from related parties — non-current</t>
        </is>
      </c>
      <c r="B17" s="30" t="n">
        <v>4</v>
      </c>
      <c r="C17" s="3" t="n"/>
      <c r="D17" s="3" t="n"/>
      <c r="E17" s="3" t="n"/>
      <c r="F17" s="4" t="inlineStr">
        <is>
          <t>Form10A_2026-05-27 p442</t>
        </is>
      </c>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19" t="inlineStr">
        <is>
          <t>Other non-current assets</t>
        </is>
      </c>
      <c r="B18" s="30" t="n">
        <v>31</v>
      </c>
      <c r="C18" s="30" t="n">
        <v>45</v>
      </c>
      <c r="D18" s="30" t="n">
        <v>49</v>
      </c>
      <c r="E18" s="30" t="n">
        <v>58</v>
      </c>
      <c r="F18" s="4" t="inlineStr">
        <is>
          <t>10Q_Q2-2026 p6; Form10A_2026-05-27 p424; Form10A_2026-05-27 p442</t>
        </is>
      </c>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1" t="inlineStr">
        <is>
          <t>Total assets</t>
        </is>
      </c>
      <c r="B19" s="24">
        <f>B10+B13+B14+B15+B16+B17+B18</f>
        <v/>
      </c>
      <c r="C19" s="24">
        <f>C10+C13+C14+C15+C16+C17+C18</f>
        <v/>
      </c>
      <c r="D19" s="24">
        <f>D10+D13+D14+D15+D16+D17+D18</f>
        <v/>
      </c>
      <c r="E19" s="24">
        <f>E10+E13+E14+E15+E16+E17+E18</f>
        <v/>
      </c>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14" t="inlineStr">
        <is>
          <t>Liabilities and equity</t>
        </is>
      </c>
      <c r="B20" s="15" t="n"/>
      <c r="C20" s="15" t="n"/>
      <c r="D20" s="15" t="n"/>
      <c r="E20" s="15" t="n"/>
      <c r="F20" s="15"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19" t="inlineStr">
        <is>
          <t>Accounts payable</t>
        </is>
      </c>
      <c r="B21" s="30" t="n">
        <v>38</v>
      </c>
      <c r="C21" s="30" t="n">
        <v>56</v>
      </c>
      <c r="D21" s="30" t="n">
        <v>48</v>
      </c>
      <c r="E21" s="30" t="n">
        <v>63</v>
      </c>
      <c r="F21" s="4" t="inlineStr">
        <is>
          <t>10Q_Q2-2026 p6; Form10A_2026-05-27 p424; Form10A_2026-05-27 p442</t>
        </is>
      </c>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19" t="inlineStr">
        <is>
          <t>Due to related parties — current</t>
        </is>
      </c>
      <c r="B22" s="30" t="n">
        <v>12</v>
      </c>
      <c r="C22" s="30" t="n">
        <v>19</v>
      </c>
      <c r="D22" s="30" t="n">
        <v>24</v>
      </c>
      <c r="E22" s="3" t="n"/>
      <c r="F22" s="4" t="inlineStr">
        <is>
          <t>Form10A_2026-05-27 p424; Form10A_2026-05-27 p442</t>
        </is>
      </c>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19" t="inlineStr">
        <is>
          <t>Accrued compensation and contributions to retirement plans</t>
        </is>
      </c>
      <c r="B23" s="30" t="n">
        <v>56</v>
      </c>
      <c r="C23" s="30" t="n">
        <v>64</v>
      </c>
      <c r="D23" s="30" t="n">
        <v>25</v>
      </c>
      <c r="E23" s="30" t="n">
        <v>41</v>
      </c>
      <c r="F23" s="4" t="inlineStr">
        <is>
          <t>10Q_Q2-2026 p6; Form10A_2026-05-27 p424; Form10A_2026-05-27 p442</t>
        </is>
      </c>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19" t="inlineStr">
        <is>
          <t>Unearned revenue</t>
        </is>
      </c>
      <c r="B24" s="30" t="n">
        <v>75</v>
      </c>
      <c r="C24" s="30" t="n">
        <v>78</v>
      </c>
      <c r="D24" s="30" t="n">
        <v>94</v>
      </c>
      <c r="E24" s="30" t="n">
        <v>102</v>
      </c>
      <c r="F24" s="4" t="inlineStr">
        <is>
          <t>10Q_Q2-2026 p6; Form10A_2026-05-27 p424; Form10A_2026-05-27 p442</t>
        </is>
      </c>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19" t="inlineStr">
        <is>
          <t>Other current liabilities</t>
        </is>
      </c>
      <c r="B25" s="30" t="n">
        <v>40</v>
      </c>
      <c r="C25" s="30" t="n">
        <v>45</v>
      </c>
      <c r="D25" s="30" t="n">
        <v>38</v>
      </c>
      <c r="E25" s="30" t="n">
        <v>42</v>
      </c>
      <c r="F25" s="4" t="inlineStr">
        <is>
          <t>10Q_Q2-2026 p6; Form10A_2026-05-27 p424; Form10A_2026-05-27 p442</t>
        </is>
      </c>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31" t="inlineStr">
        <is>
          <t>Total current liabilities</t>
        </is>
      </c>
      <c r="B26" s="24">
        <f>B21+B22+B23+B24+B25</f>
        <v/>
      </c>
      <c r="C26" s="24">
        <f>C21+C22+C23+C24+C25</f>
        <v/>
      </c>
      <c r="D26" s="24">
        <f>D21+D22+D23+D24+D25</f>
        <v/>
      </c>
      <c r="E26" s="24">
        <f>E21+E22+E23+E24+E25</f>
        <v/>
      </c>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19" t="inlineStr">
        <is>
          <t>Long-term debt (Senior Notes, from 6/30/26)</t>
        </is>
      </c>
      <c r="B27" s="3" t="n"/>
      <c r="C27" s="3" t="n"/>
      <c r="D27" s="3" t="n"/>
      <c r="E27" s="30" t="n">
        <v>1981</v>
      </c>
      <c r="F27" s="4" t="inlineStr">
        <is>
          <t>10Q_Q2-2026 p6</t>
        </is>
      </c>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19" t="inlineStr">
        <is>
          <t>Lease liabilities — non-current (10-Q: "Operating lease liabilities")</t>
        </is>
      </c>
      <c r="B28" s="30" t="n">
        <v>16</v>
      </c>
      <c r="C28" s="30" t="n">
        <v>11</v>
      </c>
      <c r="D28" s="30" t="n">
        <v>19</v>
      </c>
      <c r="E28" s="30" t="n">
        <v>27</v>
      </c>
      <c r="F28" s="4" t="inlineStr">
        <is>
          <t>10Q_Q2-2026 p6; Form10A_2026-05-27 p424; Form10A_2026-05-27 p442</t>
        </is>
      </c>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19" t="inlineStr">
        <is>
          <t>Deferred tax liability — non-current</t>
        </is>
      </c>
      <c r="B29" s="30" t="n">
        <v>1096</v>
      </c>
      <c r="C29" s="30" t="n">
        <v>1006</v>
      </c>
      <c r="D29" s="30" t="n">
        <v>983</v>
      </c>
      <c r="E29" s="30" t="n">
        <v>967</v>
      </c>
      <c r="F29" s="4" t="inlineStr">
        <is>
          <t>10Q_Q2-2026 p6; Form10A_2026-05-27 p424; Form10A_2026-05-27 p442</t>
        </is>
      </c>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19" t="inlineStr">
        <is>
          <t>Due to related parties — non-current (Canada Carfax loan)</t>
        </is>
      </c>
      <c r="B30" s="30" t="n">
        <v>236</v>
      </c>
      <c r="C30" s="30" t="n">
        <v>230</v>
      </c>
      <c r="D30" s="30" t="n">
        <v>227</v>
      </c>
      <c r="E30" s="3" t="n"/>
      <c r="F30" s="4" t="inlineStr">
        <is>
          <t>Form10A_2026-05-27 p424; Form10A_2026-05-27 p442</t>
        </is>
      </c>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19" t="inlineStr">
        <is>
          <t>Other non-current liabilities</t>
        </is>
      </c>
      <c r="B31" s="30" t="n">
        <v>3</v>
      </c>
      <c r="C31" s="30" t="n">
        <v>1</v>
      </c>
      <c r="D31" s="30" t="n">
        <v>1</v>
      </c>
      <c r="E31" s="30" t="n">
        <v>2</v>
      </c>
      <c r="F31" s="4" t="inlineStr">
        <is>
          <t>10Q_Q2-2026 p6; Form10A_2026-05-27 p424; Form10A_2026-05-27 p442</t>
        </is>
      </c>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1" t="inlineStr">
        <is>
          <t>Total liabilities</t>
        </is>
      </c>
      <c r="B32" s="24">
        <f>B26+B27+B28+B29+B30+B31</f>
        <v/>
      </c>
      <c r="C32" s="24">
        <f>C26+C27+C28+C29+C30+C31</f>
        <v/>
      </c>
      <c r="D32" s="24">
        <f>D26+D27+D28+D29+D30+D31</f>
        <v/>
      </c>
      <c r="E32" s="24">
        <f>E26+E27+E28+E29+E30+E31</f>
        <v/>
      </c>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19" t="inlineStr">
        <is>
          <t>Parent company investment</t>
        </is>
      </c>
      <c r="B33" s="30" t="n">
        <v>11680</v>
      </c>
      <c r="C33" s="30" t="n">
        <v>11489</v>
      </c>
      <c r="D33" s="30" t="n">
        <v>11586</v>
      </c>
      <c r="E33" s="30" t="n">
        <v>9833</v>
      </c>
      <c r="F33" s="4" t="inlineStr">
        <is>
          <t>10Q_Q2-2026 p6; Form10A_2026-05-27 p424; Form10A_2026-05-27 p442</t>
        </is>
      </c>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19" t="inlineStr">
        <is>
          <t>Accumulated other comprehensive income (loss)</t>
        </is>
      </c>
      <c r="B34" s="30" t="n">
        <v>3</v>
      </c>
      <c r="C34" s="30" t="n">
        <v>-4</v>
      </c>
      <c r="D34" s="30" t="n">
        <v>-3</v>
      </c>
      <c r="E34" s="30" t="n">
        <v>2</v>
      </c>
      <c r="F34" s="4" t="inlineStr">
        <is>
          <t>10Q_Q2-2026 p6; Form10A_2026-05-27 p424; Form10A_2026-05-27 p442</t>
        </is>
      </c>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1" t="inlineStr">
        <is>
          <t>Total equity</t>
        </is>
      </c>
      <c r="B35" s="24">
        <f>B33+B34</f>
        <v/>
      </c>
      <c r="C35" s="24">
        <f>C33+C34</f>
        <v/>
      </c>
      <c r="D35" s="24">
        <f>D33+D34</f>
        <v/>
      </c>
      <c r="E35" s="24">
        <f>E33+E34</f>
        <v/>
      </c>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1" t="inlineStr">
        <is>
          <t>Total liabilities and equity</t>
        </is>
      </c>
      <c r="B36" s="24">
        <f>B32+B35</f>
        <v/>
      </c>
      <c r="C36" s="24">
        <f>C32+C35</f>
        <v/>
      </c>
      <c r="D36" s="24">
        <f>D32+D35</f>
        <v/>
      </c>
      <c r="E36" s="24">
        <f>E32+E35</f>
        <v/>
      </c>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14" t="inlineStr">
        <is>
          <t>Printed subtotals (as filed)</t>
        </is>
      </c>
      <c r="B37" s="15" t="n"/>
      <c r="C37" s="15" t="n"/>
      <c r="D37" s="15" t="n"/>
      <c r="E37" s="15" t="n"/>
      <c r="F37" s="15"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19" t="inlineStr">
        <is>
          <t>Total current assets — printed</t>
        </is>
      </c>
      <c r="B38" s="30" t="n">
        <v>250</v>
      </c>
      <c r="C38" s="30" t="n">
        <v>281</v>
      </c>
      <c r="D38" s="30" t="n">
        <v>392</v>
      </c>
      <c r="E38" s="30" t="n">
        <v>466</v>
      </c>
      <c r="F38" s="4" t="inlineStr">
        <is>
          <t>10Q_Q2-2026 p6; Form10A_2026-05-27 p424; Form10A_2026-05-27 p442</t>
        </is>
      </c>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19" t="inlineStr">
        <is>
          <t>Total assets — printed</t>
        </is>
      </c>
      <c r="B39" s="30" t="n">
        <v>13255</v>
      </c>
      <c r="C39" s="30" t="n">
        <v>12995</v>
      </c>
      <c r="D39" s="30" t="n">
        <v>13042</v>
      </c>
      <c r="E39" s="30" t="n">
        <v>13060</v>
      </c>
      <c r="F39" s="4" t="inlineStr">
        <is>
          <t>10Q_Q2-2026 p6; Form10A_2026-05-27 p424; Form10A_2026-05-27 p442</t>
        </is>
      </c>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19" t="inlineStr">
        <is>
          <t>Total current liabilities — printed</t>
        </is>
      </c>
      <c r="B40" s="30" t="n">
        <v>221</v>
      </c>
      <c r="C40" s="30" t="n">
        <v>262</v>
      </c>
      <c r="D40" s="30" t="n">
        <v>229</v>
      </c>
      <c r="E40" s="30" t="n">
        <v>248</v>
      </c>
      <c r="F40" s="4" t="inlineStr">
        <is>
          <t>10Q_Q2-2026 p6; Form10A_2026-05-27 p424; Form10A_2026-05-27 p442</t>
        </is>
      </c>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19" t="inlineStr">
        <is>
          <t>Total liabilities — printed</t>
        </is>
      </c>
      <c r="B41" s="30" t="n">
        <v>1572</v>
      </c>
      <c r="C41" s="30" t="n">
        <v>1510</v>
      </c>
      <c r="D41" s="30" t="n">
        <v>1459</v>
      </c>
      <c r="E41" s="30" t="n">
        <v>3225</v>
      </c>
      <c r="F41" s="4" t="inlineStr">
        <is>
          <t>10Q_Q2-2026 p6; Form10A_2026-05-27 p424; Form10A_2026-05-27 p442</t>
        </is>
      </c>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19" t="inlineStr">
        <is>
          <t>Total equity — printed</t>
        </is>
      </c>
      <c r="B42" s="30" t="n">
        <v>11683</v>
      </c>
      <c r="C42" s="30" t="n">
        <v>11485</v>
      </c>
      <c r="D42" s="30" t="n">
        <v>11583</v>
      </c>
      <c r="E42" s="30" t="n">
        <v>9835</v>
      </c>
      <c r="F42" s="4" t="inlineStr">
        <is>
          <t>10Q_Q2-2026 p6; Form10A_2026-05-27 p424; Form10A_2026-05-27 p442</t>
        </is>
      </c>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19" t="inlineStr">
        <is>
          <t>Total liabilities and equity — printed</t>
        </is>
      </c>
      <c r="B43" s="30" t="n">
        <v>13255</v>
      </c>
      <c r="C43" s="30" t="n">
        <v>12995</v>
      </c>
      <c r="D43" s="30" t="n">
        <v>13042</v>
      </c>
      <c r="E43" s="30" t="n">
        <v>13060</v>
      </c>
      <c r="F43" s="4" t="inlineStr">
        <is>
          <t>10Q_Q2-2026 p6; Form10A_2026-05-27 p424; Form10A_2026-05-27 p442</t>
        </is>
      </c>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14" t="inlineStr">
        <is>
          <t>Integrity checks (must be 0)</t>
        </is>
      </c>
      <c r="B44" s="15" t="n"/>
      <c r="C44" s="15" t="n"/>
      <c r="D44" s="15" t="n"/>
      <c r="E44" s="15" t="n"/>
      <c r="F44" s="15"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25" t="inlineStr">
        <is>
          <t>CHECK total current assets</t>
        </is>
      </c>
      <c r="B45" s="27">
        <f>B10-B38</f>
        <v/>
      </c>
      <c r="C45" s="27">
        <f>C10-C38</f>
        <v/>
      </c>
      <c r="D45" s="27">
        <f>D10-D38</f>
        <v/>
      </c>
      <c r="E45" s="27">
        <f>E10-E38</f>
        <v/>
      </c>
      <c r="F45" s="3" t="n"/>
      <c r="G45" s="3" t="n"/>
      <c r="H45" s="3" t="n"/>
      <c r="I45" s="3" t="n"/>
      <c r="J45" s="3" t="n"/>
      <c r="K45" s="3" t="n"/>
      <c r="L45" s="3" t="n"/>
      <c r="M45" s="3" t="n"/>
      <c r="N45" s="3" t="n"/>
      <c r="O45" s="3" t="n"/>
      <c r="P45" s="3" t="n"/>
      <c r="Q45" s="3" t="n"/>
      <c r="R45" s="3" t="n"/>
      <c r="S45" s="3" t="n"/>
      <c r="T45" s="3" t="n"/>
      <c r="U45" s="3" t="n"/>
      <c r="V45" s="3" t="n"/>
      <c r="W45" s="3" t="n"/>
      <c r="X45" s="3" t="n"/>
      <c r="Y45" s="3" t="n"/>
      <c r="Z45" s="3" t="inlineStr">
        <is>
          <t>CHECK</t>
        </is>
      </c>
    </row>
    <row r="46">
      <c r="A46" s="25" t="inlineStr">
        <is>
          <t>CHECK total assets</t>
        </is>
      </c>
      <c r="B46" s="27">
        <f>B19-B39</f>
        <v/>
      </c>
      <c r="C46" s="27">
        <f>C19-C39</f>
        <v/>
      </c>
      <c r="D46" s="27">
        <f>D19-D39</f>
        <v/>
      </c>
      <c r="E46" s="27">
        <f>E19-E39</f>
        <v/>
      </c>
      <c r="F46" s="3" t="n"/>
      <c r="G46" s="3" t="n"/>
      <c r="H46" s="3" t="n"/>
      <c r="I46" s="3" t="n"/>
      <c r="J46" s="3" t="n"/>
      <c r="K46" s="3" t="n"/>
      <c r="L46" s="3" t="n"/>
      <c r="M46" s="3" t="n"/>
      <c r="N46" s="3" t="n"/>
      <c r="O46" s="3" t="n"/>
      <c r="P46" s="3" t="n"/>
      <c r="Q46" s="3" t="n"/>
      <c r="R46" s="3" t="n"/>
      <c r="S46" s="3" t="n"/>
      <c r="T46" s="3" t="n"/>
      <c r="U46" s="3" t="n"/>
      <c r="V46" s="3" t="n"/>
      <c r="W46" s="3" t="n"/>
      <c r="X46" s="3" t="n"/>
      <c r="Y46" s="3" t="n"/>
      <c r="Z46" s="3" t="inlineStr">
        <is>
          <t>CHECK</t>
        </is>
      </c>
    </row>
    <row r="47">
      <c r="A47" s="25" t="inlineStr">
        <is>
          <t>CHECK total current liabilities</t>
        </is>
      </c>
      <c r="B47" s="27">
        <f>B26-B40</f>
        <v/>
      </c>
      <c r="C47" s="27">
        <f>C26-C40</f>
        <v/>
      </c>
      <c r="D47" s="27">
        <f>D26-D40</f>
        <v/>
      </c>
      <c r="E47" s="27">
        <f>E26-E40</f>
        <v/>
      </c>
      <c r="F47" s="3" t="n"/>
      <c r="G47" s="3" t="n"/>
      <c r="H47" s="3" t="n"/>
      <c r="I47" s="3" t="n"/>
      <c r="J47" s="3" t="n"/>
      <c r="K47" s="3" t="n"/>
      <c r="L47" s="3" t="n"/>
      <c r="M47" s="3" t="n"/>
      <c r="N47" s="3" t="n"/>
      <c r="O47" s="3" t="n"/>
      <c r="P47" s="3" t="n"/>
      <c r="Q47" s="3" t="n"/>
      <c r="R47" s="3" t="n"/>
      <c r="S47" s="3" t="n"/>
      <c r="T47" s="3" t="n"/>
      <c r="U47" s="3" t="n"/>
      <c r="V47" s="3" t="n"/>
      <c r="W47" s="3" t="n"/>
      <c r="X47" s="3" t="n"/>
      <c r="Y47" s="3" t="n"/>
      <c r="Z47" s="3" t="inlineStr">
        <is>
          <t>CHECK</t>
        </is>
      </c>
    </row>
    <row r="48">
      <c r="A48" s="25" t="inlineStr">
        <is>
          <t>CHECK total liabilities</t>
        </is>
      </c>
      <c r="B48" s="27">
        <f>B32-B41</f>
        <v/>
      </c>
      <c r="C48" s="27">
        <f>C32-C41</f>
        <v/>
      </c>
      <c r="D48" s="27">
        <f>D32-D41</f>
        <v/>
      </c>
      <c r="E48" s="27">
        <f>E32-E41</f>
        <v/>
      </c>
      <c r="F48" s="3" t="n"/>
      <c r="G48" s="3" t="n"/>
      <c r="H48" s="3" t="n"/>
      <c r="I48" s="3" t="n"/>
      <c r="J48" s="3" t="n"/>
      <c r="K48" s="3" t="n"/>
      <c r="L48" s="3" t="n"/>
      <c r="M48" s="3" t="n"/>
      <c r="N48" s="3" t="n"/>
      <c r="O48" s="3" t="n"/>
      <c r="P48" s="3" t="n"/>
      <c r="Q48" s="3" t="n"/>
      <c r="R48" s="3" t="n"/>
      <c r="S48" s="3" t="n"/>
      <c r="T48" s="3" t="n"/>
      <c r="U48" s="3" t="n"/>
      <c r="V48" s="3" t="n"/>
      <c r="W48" s="3" t="n"/>
      <c r="X48" s="3" t="n"/>
      <c r="Y48" s="3" t="n"/>
      <c r="Z48" s="3" t="inlineStr">
        <is>
          <t>CHECK</t>
        </is>
      </c>
    </row>
    <row r="49">
      <c r="A49" s="25" t="inlineStr">
        <is>
          <t>CHECK total equity</t>
        </is>
      </c>
      <c r="B49" s="27">
        <f>B35-B42</f>
        <v/>
      </c>
      <c r="C49" s="27">
        <f>C35-C42</f>
        <v/>
      </c>
      <c r="D49" s="27">
        <f>D35-D42</f>
        <v/>
      </c>
      <c r="E49" s="27">
        <f>E35-E42</f>
        <v/>
      </c>
      <c r="F49" s="3" t="n"/>
      <c r="G49" s="3" t="n"/>
      <c r="H49" s="3" t="n"/>
      <c r="I49" s="3" t="n"/>
      <c r="J49" s="3" t="n"/>
      <c r="K49" s="3" t="n"/>
      <c r="L49" s="3" t="n"/>
      <c r="M49" s="3" t="n"/>
      <c r="N49" s="3" t="n"/>
      <c r="O49" s="3" t="n"/>
      <c r="P49" s="3" t="n"/>
      <c r="Q49" s="3" t="n"/>
      <c r="R49" s="3" t="n"/>
      <c r="S49" s="3" t="n"/>
      <c r="T49" s="3" t="n"/>
      <c r="U49" s="3" t="n"/>
      <c r="V49" s="3" t="n"/>
      <c r="W49" s="3" t="n"/>
      <c r="X49" s="3" t="n"/>
      <c r="Y49" s="3" t="n"/>
      <c r="Z49" s="3" t="inlineStr">
        <is>
          <t>CHECK</t>
        </is>
      </c>
    </row>
    <row r="50">
      <c r="A50" s="25" t="inlineStr">
        <is>
          <t>CHECK balance: assets − (liabilities + equity)</t>
        </is>
      </c>
      <c r="B50" s="27">
        <f>B19-B36</f>
        <v/>
      </c>
      <c r="C50" s="27">
        <f>C19-C36</f>
        <v/>
      </c>
      <c r="D50" s="27">
        <f>D19-D36</f>
        <v/>
      </c>
      <c r="E50" s="27">
        <f>E19-E36</f>
        <v/>
      </c>
      <c r="F50" s="3" t="n"/>
      <c r="G50" s="3" t="n"/>
      <c r="H50" s="3" t="n"/>
      <c r="I50" s="3" t="n"/>
      <c r="J50" s="3" t="n"/>
      <c r="K50" s="3" t="n"/>
      <c r="L50" s="3" t="n"/>
      <c r="M50" s="3" t="n"/>
      <c r="N50" s="3" t="n"/>
      <c r="O50" s="3" t="n"/>
      <c r="P50" s="3" t="n"/>
      <c r="Q50" s="3" t="n"/>
      <c r="R50" s="3" t="n"/>
      <c r="S50" s="3" t="n"/>
      <c r="T50" s="3" t="n"/>
      <c r="U50" s="3" t="n"/>
      <c r="V50" s="3" t="n"/>
      <c r="W50" s="3" t="n"/>
      <c r="X50" s="3" t="n"/>
      <c r="Y50" s="3" t="n"/>
      <c r="Z50" s="3" t="inlineStr">
        <is>
          <t>CHECK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0" customWidth="1" min="11" max="11"/>
    <col hidden="1" width="13" customWidth="1" min="26" max="26"/>
  </cols>
  <sheetData>
    <row r="1" ht="20" customHeight="1">
      <c r="A1" s="1" t="inlineStr">
        <is>
          <t>Mobility Global Inc. — Combined Statements of Cash Flows (as originally reported)</t>
        </is>
      </c>
      <c r="B1" s="2" t="n"/>
      <c r="C1" s="2" t="n"/>
      <c r="D1" s="2" t="n"/>
      <c r="E1" s="2" t="n"/>
      <c r="F1" s="2" t="n"/>
      <c r="G1" s="2" t="n"/>
      <c r="H1" s="2" t="n"/>
      <c r="I1" s="2" t="n"/>
      <c r="J1" s="2" t="n"/>
      <c r="K1" s="2" t="n"/>
      <c r="L1" s="3" t="n"/>
      <c r="M1" s="3" t="n"/>
      <c r="N1" s="3" t="n"/>
      <c r="O1" s="3" t="n"/>
      <c r="P1" s="3" t="n"/>
      <c r="Q1" s="3" t="n"/>
      <c r="R1" s="3" t="n"/>
      <c r="S1" s="3" t="n"/>
      <c r="T1" s="3" t="n"/>
      <c r="U1" s="3" t="n"/>
      <c r="V1" s="3" t="n"/>
      <c r="W1" s="3" t="n"/>
      <c r="X1" s="3" t="n"/>
      <c r="Y1" s="3" t="n"/>
      <c r="Z1" s="3" t="n"/>
    </row>
    <row r="2">
      <c r="A2" s="4" t="inlineStr">
        <is>
          <t>Annual "Restructuring and other" and working-capital lines (Form 10/A p.443) and Q1 working-capital lines are NOT machine-readable in the Quartr text — left blank, never derived. No standalone Q2 cash flow is printed.</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9" t="inlineStr">
        <is>
          <t>USD millions unless stated</t>
        </is>
      </c>
      <c r="B4" s="29" t="inlineStr">
        <is>
          <t>FY2023
12/31/23</t>
        </is>
      </c>
      <c r="C4" s="29" t="inlineStr">
        <is>
          <t>FY2024
12/31/24</t>
        </is>
      </c>
      <c r="D4" s="29" t="inlineStr">
        <is>
          <t>FY2025
12/31/25</t>
        </is>
      </c>
      <c r="E4" s="29" t="inlineStr">
        <is>
          <t>Q1-25
3M 3/31/25</t>
        </is>
      </c>
      <c r="F4" s="29" t="inlineStr">
        <is>
          <t>Q2-25
3M 6/30/25</t>
        </is>
      </c>
      <c r="G4" s="29" t="inlineStr">
        <is>
          <t>6M-25
6/30/25</t>
        </is>
      </c>
      <c r="H4" s="29" t="inlineStr">
        <is>
          <t>Q1-26
3M 3/31/26</t>
        </is>
      </c>
      <c r="I4" s="29" t="inlineStr">
        <is>
          <t>Q2-26
3M 6/30/26</t>
        </is>
      </c>
      <c r="J4" s="29" t="inlineStr">
        <is>
          <t>6M-26
6/30/26</t>
        </is>
      </c>
      <c r="K4" s="29" t="inlineStr">
        <is>
          <t>Source</t>
        </is>
      </c>
      <c r="L4" s="3" t="n"/>
      <c r="M4" s="3" t="n"/>
      <c r="N4" s="3" t="n"/>
      <c r="O4" s="3" t="n"/>
      <c r="P4" s="3" t="n"/>
      <c r="Q4" s="3" t="n"/>
      <c r="R4" s="3" t="n"/>
      <c r="S4" s="3" t="n"/>
      <c r="T4" s="3" t="n"/>
      <c r="U4" s="3" t="n"/>
      <c r="V4" s="3" t="n"/>
      <c r="W4" s="3" t="n"/>
      <c r="X4" s="3" t="n"/>
      <c r="Y4" s="3" t="n"/>
      <c r="Z4" s="3" t="n"/>
    </row>
    <row r="5">
      <c r="A5" s="14" t="inlineStr">
        <is>
          <t>Operating activities</t>
        </is>
      </c>
      <c r="B5" s="15" t="n"/>
      <c r="C5" s="15" t="n"/>
      <c r="D5" s="15" t="n"/>
      <c r="E5" s="15" t="n"/>
      <c r="F5" s="15" t="n"/>
      <c r="G5" s="15" t="n"/>
      <c r="H5" s="15" t="n"/>
      <c r="I5" s="15" t="n"/>
      <c r="J5" s="15" t="n"/>
      <c r="K5" s="15" t="n"/>
      <c r="L5" s="3" t="n"/>
      <c r="M5" s="3" t="n"/>
      <c r="N5" s="3" t="n"/>
      <c r="O5" s="3" t="n"/>
      <c r="P5" s="3" t="n"/>
      <c r="Q5" s="3" t="n"/>
      <c r="R5" s="3" t="n"/>
      <c r="S5" s="3" t="n"/>
      <c r="T5" s="3" t="n"/>
      <c r="U5" s="3" t="n"/>
      <c r="V5" s="3" t="n"/>
      <c r="W5" s="3" t="n"/>
      <c r="X5" s="3" t="n"/>
      <c r="Y5" s="3" t="n"/>
      <c r="Z5" s="3" t="n"/>
    </row>
    <row r="6">
      <c r="A6" s="19" t="inlineStr">
        <is>
          <t>Net income</t>
        </is>
      </c>
      <c r="B6" s="30" t="n">
        <v>163</v>
      </c>
      <c r="C6" s="30" t="n">
        <v>208</v>
      </c>
      <c r="D6" s="30" t="n">
        <v>220</v>
      </c>
      <c r="E6" s="30" t="n">
        <v>58</v>
      </c>
      <c r="F6" s="3" t="n"/>
      <c r="G6" s="30" t="n">
        <v>123</v>
      </c>
      <c r="H6" s="30" t="n">
        <v>55</v>
      </c>
      <c r="I6" s="3" t="n"/>
      <c r="J6" s="30" t="n">
        <v>108</v>
      </c>
      <c r="K6" s="4" t="inlineStr">
        <is>
          <t>10Q_Q2-2026 p7; Form10A_2026-05-27 p425; Form10A_2026-05-27 p443</t>
        </is>
      </c>
      <c r="L6" s="3" t="n"/>
      <c r="M6" s="3" t="n"/>
      <c r="N6" s="3" t="n"/>
      <c r="O6" s="3" t="n"/>
      <c r="P6" s="3" t="n"/>
      <c r="Q6" s="3" t="n"/>
      <c r="R6" s="3" t="n"/>
      <c r="S6" s="3" t="n"/>
      <c r="T6" s="3" t="n"/>
      <c r="U6" s="3" t="n"/>
      <c r="V6" s="3" t="n"/>
      <c r="W6" s="3" t="n"/>
      <c r="X6" s="3" t="n"/>
      <c r="Y6" s="3" t="n"/>
      <c r="Z6" s="3" t="n"/>
    </row>
    <row r="7">
      <c r="A7" s="19" t="inlineStr">
        <is>
          <t>Depreciation</t>
        </is>
      </c>
      <c r="B7" s="30" t="n">
        <v>12</v>
      </c>
      <c r="C7" s="30" t="n">
        <v>13</v>
      </c>
      <c r="D7" s="30" t="n">
        <v>14</v>
      </c>
      <c r="E7" s="30" t="n">
        <v>4</v>
      </c>
      <c r="F7" s="3" t="n"/>
      <c r="G7" s="30" t="n">
        <v>7</v>
      </c>
      <c r="H7" s="30" t="n">
        <v>4</v>
      </c>
      <c r="I7" s="3" t="n"/>
      <c r="J7" s="30" t="n">
        <v>7</v>
      </c>
      <c r="K7" s="4" t="inlineStr">
        <is>
          <t>10Q_Q2-2026 p7; Form10A_2026-05-27 p425; Form10A_2026-05-27 p443</t>
        </is>
      </c>
      <c r="L7" s="3" t="n"/>
      <c r="M7" s="3" t="n"/>
      <c r="N7" s="3" t="n"/>
      <c r="O7" s="3" t="n"/>
      <c r="P7" s="3" t="n"/>
      <c r="Q7" s="3" t="n"/>
      <c r="R7" s="3" t="n"/>
      <c r="S7" s="3" t="n"/>
      <c r="T7" s="3" t="n"/>
      <c r="U7" s="3" t="n"/>
      <c r="V7" s="3" t="n"/>
      <c r="W7" s="3" t="n"/>
      <c r="X7" s="3" t="n"/>
      <c r="Y7" s="3" t="n"/>
      <c r="Z7" s="3" t="n"/>
    </row>
    <row r="8">
      <c r="A8" s="19" t="inlineStr">
        <is>
          <t>Amortization of intangibles</t>
        </is>
      </c>
      <c r="B8" s="30" t="n">
        <v>295</v>
      </c>
      <c r="C8" s="30" t="n">
        <v>296</v>
      </c>
      <c r="D8" s="30" t="n">
        <v>296</v>
      </c>
      <c r="E8" s="30" t="n">
        <v>74</v>
      </c>
      <c r="F8" s="3" t="n"/>
      <c r="G8" s="30" t="n">
        <v>148</v>
      </c>
      <c r="H8" s="30" t="n">
        <v>74</v>
      </c>
      <c r="I8" s="3" t="n"/>
      <c r="J8" s="30" t="n">
        <v>148</v>
      </c>
      <c r="K8" s="4" t="inlineStr">
        <is>
          <t>10Q_Q2-2026 p7; Form10A_2026-05-27 p425; Form10A_2026-05-27 p443</t>
        </is>
      </c>
      <c r="L8" s="3" t="n"/>
      <c r="M8" s="3" t="n"/>
      <c r="N8" s="3" t="n"/>
      <c r="O8" s="3" t="n"/>
      <c r="P8" s="3" t="n"/>
      <c r="Q8" s="3" t="n"/>
      <c r="R8" s="3" t="n"/>
      <c r="S8" s="3" t="n"/>
      <c r="T8" s="3" t="n"/>
      <c r="U8" s="3" t="n"/>
      <c r="V8" s="3" t="n"/>
      <c r="W8" s="3" t="n"/>
      <c r="X8" s="3" t="n"/>
      <c r="Y8" s="3" t="n"/>
      <c r="Z8" s="3" t="n"/>
    </row>
    <row r="9">
      <c r="A9" s="19" t="inlineStr">
        <is>
          <t>Provision for losses on accounts receivable</t>
        </is>
      </c>
      <c r="B9" s="30" t="n">
        <v>4</v>
      </c>
      <c r="C9" s="30" t="n">
        <v>4</v>
      </c>
      <c r="D9" s="30" t="n">
        <v>4</v>
      </c>
      <c r="E9" s="30" t="n">
        <v>1</v>
      </c>
      <c r="F9" s="3" t="n"/>
      <c r="G9" s="30" t="n">
        <v>2</v>
      </c>
      <c r="H9" s="30" t="n">
        <v>1</v>
      </c>
      <c r="I9" s="3" t="n"/>
      <c r="J9" s="30" t="n">
        <v>2</v>
      </c>
      <c r="K9" s="4" t="inlineStr">
        <is>
          <t>10Q_Q2-2026 p7; Form10A_2026-05-27 p425; Form10A_2026-05-27 p443</t>
        </is>
      </c>
      <c r="L9" s="3" t="n"/>
      <c r="M9" s="3" t="n"/>
      <c r="N9" s="3" t="n"/>
      <c r="O9" s="3" t="n"/>
      <c r="P9" s="3" t="n"/>
      <c r="Q9" s="3" t="n"/>
      <c r="R9" s="3" t="n"/>
      <c r="S9" s="3" t="n"/>
      <c r="T9" s="3" t="n"/>
      <c r="U9" s="3" t="n"/>
      <c r="V9" s="3" t="n"/>
      <c r="W9" s="3" t="n"/>
      <c r="X9" s="3" t="n"/>
      <c r="Y9" s="3" t="n"/>
      <c r="Z9" s="3" t="n"/>
    </row>
    <row r="10">
      <c r="A10" s="19" t="inlineStr">
        <is>
          <t>Deferred income taxes</t>
        </is>
      </c>
      <c r="B10" s="30" t="n">
        <v>-95</v>
      </c>
      <c r="C10" s="30" t="n">
        <v>-102</v>
      </c>
      <c r="D10" s="30" t="n">
        <v>-90</v>
      </c>
      <c r="E10" s="30" t="n">
        <v>-23</v>
      </c>
      <c r="F10" s="3" t="n"/>
      <c r="G10" s="30" t="n">
        <v>-43</v>
      </c>
      <c r="H10" s="30" t="n">
        <v>-23</v>
      </c>
      <c r="I10" s="3" t="n"/>
      <c r="J10" s="30" t="n">
        <v>-38</v>
      </c>
      <c r="K10" s="4" t="inlineStr">
        <is>
          <t>10Q_Q2-2026 p7; Form10A_2026-05-27 p425; Form10A_2026-05-27 p443</t>
        </is>
      </c>
      <c r="L10" s="3" t="n"/>
      <c r="M10" s="3" t="n"/>
      <c r="N10" s="3" t="n"/>
      <c r="O10" s="3" t="n"/>
      <c r="P10" s="3" t="n"/>
      <c r="Q10" s="3" t="n"/>
      <c r="R10" s="3" t="n"/>
      <c r="S10" s="3" t="n"/>
      <c r="T10" s="3" t="n"/>
      <c r="U10" s="3" t="n"/>
      <c r="V10" s="3" t="n"/>
      <c r="W10" s="3" t="n"/>
      <c r="X10" s="3" t="n"/>
      <c r="Y10" s="3" t="n"/>
      <c r="Z10" s="3" t="n"/>
    </row>
    <row r="11">
      <c r="A11" s="19" t="inlineStr">
        <is>
          <t>Stock-based compensation</t>
        </is>
      </c>
      <c r="B11" s="30" t="n">
        <v>20</v>
      </c>
      <c r="C11" s="30" t="n">
        <v>28</v>
      </c>
      <c r="D11" s="30" t="n">
        <v>22</v>
      </c>
      <c r="E11" s="30" t="n">
        <v>5</v>
      </c>
      <c r="F11" s="3" t="n"/>
      <c r="G11" s="30" t="n">
        <v>9</v>
      </c>
      <c r="H11" s="30" t="n">
        <v>4</v>
      </c>
      <c r="I11" s="3" t="n"/>
      <c r="J11" s="30" t="n">
        <v>9</v>
      </c>
      <c r="K11" s="4" t="inlineStr">
        <is>
          <t>10Q_Q2-2026 p7; Form10A_2026-05-27 p425; Form10A_2026-05-27 p443</t>
        </is>
      </c>
      <c r="L11" s="3" t="n"/>
      <c r="M11" s="3" t="n"/>
      <c r="N11" s="3" t="n"/>
      <c r="O11" s="3" t="n"/>
      <c r="P11" s="3" t="n"/>
      <c r="Q11" s="3" t="n"/>
      <c r="R11" s="3" t="n"/>
      <c r="S11" s="3" t="n"/>
      <c r="T11" s="3" t="n"/>
      <c r="U11" s="3" t="n"/>
      <c r="V11" s="3" t="n"/>
      <c r="W11" s="3" t="n"/>
      <c r="X11" s="3" t="n"/>
      <c r="Y11" s="3" t="n"/>
      <c r="Z11" s="3" t="n"/>
    </row>
    <row r="12">
      <c r="A12" s="19" t="inlineStr">
        <is>
          <t>Restructuring and other</t>
        </is>
      </c>
      <c r="B12" s="3" t="n"/>
      <c r="C12" s="3" t="n"/>
      <c r="D12" s="3" t="n"/>
      <c r="E12" s="3" t="n"/>
      <c r="F12" s="3" t="n"/>
      <c r="G12" s="3" t="n"/>
      <c r="H12" s="3" t="n"/>
      <c r="I12" s="3" t="n"/>
      <c r="J12" s="3" t="n"/>
      <c r="K12" s="4" t="inlineStr"/>
      <c r="L12" s="3" t="n"/>
      <c r="M12" s="3" t="n"/>
      <c r="N12" s="3" t="n"/>
      <c r="O12" s="3" t="n"/>
      <c r="P12" s="3" t="n"/>
      <c r="Q12" s="3" t="n"/>
      <c r="R12" s="3" t="n"/>
      <c r="S12" s="3" t="n"/>
      <c r="T12" s="3" t="n"/>
      <c r="U12" s="3" t="n"/>
      <c r="V12" s="3" t="n"/>
      <c r="W12" s="3" t="n"/>
      <c r="X12" s="3" t="n"/>
      <c r="Y12" s="3" t="n"/>
      <c r="Z12" s="3" t="n"/>
    </row>
    <row r="13">
      <c r="A13" s="19" t="inlineStr">
        <is>
          <t>Other</t>
        </is>
      </c>
      <c r="B13" s="3" t="n"/>
      <c r="C13" s="3" t="n"/>
      <c r="D13" s="3" t="n"/>
      <c r="E13" s="3" t="n"/>
      <c r="F13" s="3" t="n"/>
      <c r="G13" s="3" t="n"/>
      <c r="H13" s="3" t="n"/>
      <c r="I13" s="3" t="n"/>
      <c r="J13" s="30" t="n">
        <v>-1</v>
      </c>
      <c r="K13" s="4" t="inlineStr">
        <is>
          <t>10Q_Q2-2026 p7</t>
        </is>
      </c>
      <c r="L13" s="3" t="n"/>
      <c r="M13" s="3" t="n"/>
      <c r="N13" s="3" t="n"/>
      <c r="O13" s="3" t="n"/>
      <c r="P13" s="3" t="n"/>
      <c r="Q13" s="3" t="n"/>
      <c r="R13" s="3" t="n"/>
      <c r="S13" s="3" t="n"/>
      <c r="T13" s="3" t="n"/>
      <c r="U13" s="3" t="n"/>
      <c r="V13" s="3" t="n"/>
      <c r="W13" s="3" t="n"/>
      <c r="X13" s="3" t="n"/>
      <c r="Y13" s="3" t="n"/>
      <c r="Z13" s="3" t="n"/>
    </row>
    <row r="14">
      <c r="A14" s="19" t="inlineStr">
        <is>
          <t>Δ Accounts receivable</t>
        </is>
      </c>
      <c r="B14" s="3" t="n"/>
      <c r="C14" s="3" t="n"/>
      <c r="D14" s="3" t="n"/>
      <c r="E14" s="3" t="n"/>
      <c r="F14" s="3" t="n"/>
      <c r="G14" s="30" t="n">
        <v>-4</v>
      </c>
      <c r="H14" s="3" t="n"/>
      <c r="I14" s="3" t="n"/>
      <c r="J14" s="30" t="n">
        <v>-16</v>
      </c>
      <c r="K14" s="4" t="inlineStr">
        <is>
          <t>10Q_Q2-2026 p7</t>
        </is>
      </c>
      <c r="L14" s="3" t="n"/>
      <c r="M14" s="3" t="n"/>
      <c r="N14" s="3" t="n"/>
      <c r="O14" s="3" t="n"/>
      <c r="P14" s="3" t="n"/>
      <c r="Q14" s="3" t="n"/>
      <c r="R14" s="3" t="n"/>
      <c r="S14" s="3" t="n"/>
      <c r="T14" s="3" t="n"/>
      <c r="U14" s="3" t="n"/>
      <c r="V14" s="3" t="n"/>
      <c r="W14" s="3" t="n"/>
      <c r="X14" s="3" t="n"/>
      <c r="Y14" s="3" t="n"/>
      <c r="Z14" s="3" t="n"/>
    </row>
    <row r="15">
      <c r="A15" s="19" t="inlineStr">
        <is>
          <t>Δ Due from related parties</t>
        </is>
      </c>
      <c r="B15" s="3" t="n"/>
      <c r="C15" s="3" t="n"/>
      <c r="D15" s="3" t="n"/>
      <c r="E15" s="3" t="n"/>
      <c r="F15" s="3" t="n"/>
      <c r="G15" s="30" t="n">
        <v>2</v>
      </c>
      <c r="H15" s="3" t="n"/>
      <c r="I15" s="3" t="n"/>
      <c r="J15" s="30" t="n">
        <v>-8</v>
      </c>
      <c r="K15" s="4" t="inlineStr">
        <is>
          <t>10Q_Q2-2026 p7</t>
        </is>
      </c>
      <c r="L15" s="3" t="n"/>
      <c r="M15" s="3" t="n"/>
      <c r="N15" s="3" t="n"/>
      <c r="O15" s="3" t="n"/>
      <c r="P15" s="3" t="n"/>
      <c r="Q15" s="3" t="n"/>
      <c r="R15" s="3" t="n"/>
      <c r="S15" s="3" t="n"/>
      <c r="T15" s="3" t="n"/>
      <c r="U15" s="3" t="n"/>
      <c r="V15" s="3" t="n"/>
      <c r="W15" s="3" t="n"/>
      <c r="X15" s="3" t="n"/>
      <c r="Y15" s="3" t="n"/>
      <c r="Z15" s="3" t="n"/>
    </row>
    <row r="16">
      <c r="A16" s="19" t="inlineStr">
        <is>
          <t>Δ Prepaid and other current assets</t>
        </is>
      </c>
      <c r="B16" s="3" t="n"/>
      <c r="C16" s="3" t="n"/>
      <c r="D16" s="3" t="n"/>
      <c r="E16" s="3" t="n"/>
      <c r="F16" s="3" t="n"/>
      <c r="G16" s="30" t="n">
        <v>-4</v>
      </c>
      <c r="H16" s="3" t="n"/>
      <c r="I16" s="3" t="n"/>
      <c r="J16" s="30" t="n">
        <v>-15</v>
      </c>
      <c r="K16" s="4" t="inlineStr">
        <is>
          <t>10Q_Q2-2026 p7</t>
        </is>
      </c>
      <c r="L16" s="3" t="n"/>
      <c r="M16" s="3" t="n"/>
      <c r="N16" s="3" t="n"/>
      <c r="O16" s="3" t="n"/>
      <c r="P16" s="3" t="n"/>
      <c r="Q16" s="3" t="n"/>
      <c r="R16" s="3" t="n"/>
      <c r="S16" s="3" t="n"/>
      <c r="T16" s="3" t="n"/>
      <c r="U16" s="3" t="n"/>
      <c r="V16" s="3" t="n"/>
      <c r="W16" s="3" t="n"/>
      <c r="X16" s="3" t="n"/>
      <c r="Y16" s="3" t="n"/>
      <c r="Z16" s="3" t="n"/>
    </row>
    <row r="17">
      <c r="A17" s="19" t="inlineStr">
        <is>
          <t>Δ Accounts payable and accrued expenses</t>
        </is>
      </c>
      <c r="B17" s="3" t="n"/>
      <c r="C17" s="3" t="n"/>
      <c r="D17" s="3" t="n"/>
      <c r="E17" s="3" t="n"/>
      <c r="F17" s="3" t="n"/>
      <c r="G17" s="30" t="n">
        <v>-25</v>
      </c>
      <c r="H17" s="3" t="n"/>
      <c r="I17" s="3" t="n"/>
      <c r="J17" s="30" t="n">
        <v>-26</v>
      </c>
      <c r="K17" s="4" t="inlineStr">
        <is>
          <t>10Q_Q2-2026 p7</t>
        </is>
      </c>
      <c r="L17" s="3" t="n"/>
      <c r="M17" s="3" t="n"/>
      <c r="N17" s="3" t="n"/>
      <c r="O17" s="3" t="n"/>
      <c r="P17" s="3" t="n"/>
      <c r="Q17" s="3" t="n"/>
      <c r="R17" s="3" t="n"/>
      <c r="S17" s="3" t="n"/>
      <c r="T17" s="3" t="n"/>
      <c r="U17" s="3" t="n"/>
      <c r="V17" s="3" t="n"/>
      <c r="W17" s="3" t="n"/>
      <c r="X17" s="3" t="n"/>
      <c r="Y17" s="3" t="n"/>
      <c r="Z17" s="3" t="n"/>
    </row>
    <row r="18">
      <c r="A18" s="19" t="inlineStr">
        <is>
          <t>Δ Due to related parties</t>
        </is>
      </c>
      <c r="B18" s="3" t="n"/>
      <c r="C18" s="3" t="n"/>
      <c r="D18" s="3" t="n"/>
      <c r="E18" s="3" t="n"/>
      <c r="F18" s="3" t="n"/>
      <c r="G18" s="30" t="n">
        <v>12</v>
      </c>
      <c r="H18" s="3" t="n"/>
      <c r="I18" s="3" t="n"/>
      <c r="J18" s="30" t="n">
        <v>-19</v>
      </c>
      <c r="K18" s="4" t="inlineStr">
        <is>
          <t>10Q_Q2-2026 p7</t>
        </is>
      </c>
      <c r="L18" s="3" t="n"/>
      <c r="M18" s="3" t="n"/>
      <c r="N18" s="3" t="n"/>
      <c r="O18" s="3" t="n"/>
      <c r="P18" s="3" t="n"/>
      <c r="Q18" s="3" t="n"/>
      <c r="R18" s="3" t="n"/>
      <c r="S18" s="3" t="n"/>
      <c r="T18" s="3" t="n"/>
      <c r="U18" s="3" t="n"/>
      <c r="V18" s="3" t="n"/>
      <c r="W18" s="3" t="n"/>
      <c r="X18" s="3" t="n"/>
      <c r="Y18" s="3" t="n"/>
      <c r="Z18" s="3" t="n"/>
    </row>
    <row r="19">
      <c r="A19" s="19" t="inlineStr">
        <is>
          <t>Δ Unearned revenue</t>
        </is>
      </c>
      <c r="B19" s="3" t="n"/>
      <c r="C19" s="3" t="n"/>
      <c r="D19" s="3" t="n"/>
      <c r="E19" s="3" t="n"/>
      <c r="F19" s="3" t="n"/>
      <c r="G19" s="30" t="n">
        <v>20</v>
      </c>
      <c r="H19" s="3" t="n"/>
      <c r="I19" s="3" t="n"/>
      <c r="J19" s="30" t="n">
        <v>25</v>
      </c>
      <c r="K19" s="4" t="inlineStr">
        <is>
          <t>10Q_Q2-2026 p7</t>
        </is>
      </c>
      <c r="L19" s="3" t="n"/>
      <c r="M19" s="3" t="n"/>
      <c r="N19" s="3" t="n"/>
      <c r="O19" s="3" t="n"/>
      <c r="P19" s="3" t="n"/>
      <c r="Q19" s="3" t="n"/>
      <c r="R19" s="3" t="n"/>
      <c r="S19" s="3" t="n"/>
      <c r="T19" s="3" t="n"/>
      <c r="U19" s="3" t="n"/>
      <c r="V19" s="3" t="n"/>
      <c r="W19" s="3" t="n"/>
      <c r="X19" s="3" t="n"/>
      <c r="Y19" s="3" t="n"/>
      <c r="Z19" s="3" t="n"/>
    </row>
    <row r="20">
      <c r="A20" s="19" t="inlineStr">
        <is>
          <t>Δ Other current liabilities</t>
        </is>
      </c>
      <c r="B20" s="3" t="n"/>
      <c r="C20" s="3" t="n"/>
      <c r="D20" s="3" t="n"/>
      <c r="E20" s="3" t="n"/>
      <c r="F20" s="3" t="n"/>
      <c r="G20" s="3" t="n"/>
      <c r="H20" s="3" t="n"/>
      <c r="I20" s="3" t="n"/>
      <c r="J20" s="30" t="n">
        <v>11</v>
      </c>
      <c r="K20" s="4" t="inlineStr">
        <is>
          <t>10Q_Q2-2026 p7</t>
        </is>
      </c>
      <c r="L20" s="3" t="n"/>
      <c r="M20" s="3" t="n"/>
      <c r="N20" s="3" t="n"/>
      <c r="O20" s="3" t="n"/>
      <c r="P20" s="3" t="n"/>
      <c r="Q20" s="3" t="n"/>
      <c r="R20" s="3" t="n"/>
      <c r="S20" s="3" t="n"/>
      <c r="T20" s="3" t="n"/>
      <c r="U20" s="3" t="n"/>
      <c r="V20" s="3" t="n"/>
      <c r="W20" s="3" t="n"/>
      <c r="X20" s="3" t="n"/>
      <c r="Y20" s="3" t="n"/>
      <c r="Z20" s="3" t="n"/>
    </row>
    <row r="21">
      <c r="A21" s="19" t="inlineStr">
        <is>
          <t>Net change in other assets and liabilities</t>
        </is>
      </c>
      <c r="B21" s="3" t="n"/>
      <c r="C21" s="3" t="n"/>
      <c r="D21" s="3" t="n"/>
      <c r="E21" s="3" t="n"/>
      <c r="F21" s="3" t="n"/>
      <c r="G21" s="30" t="n">
        <v>-14</v>
      </c>
      <c r="H21" s="3" t="n"/>
      <c r="I21" s="3" t="n"/>
      <c r="J21" s="30" t="n">
        <v>2</v>
      </c>
      <c r="K21" s="4" t="inlineStr">
        <is>
          <t>10Q_Q2-2026 p7</t>
        </is>
      </c>
      <c r="L21" s="3" t="n"/>
      <c r="M21" s="3" t="n"/>
      <c r="N21" s="3" t="n"/>
      <c r="O21" s="3" t="n"/>
      <c r="P21" s="3" t="n"/>
      <c r="Q21" s="3" t="n"/>
      <c r="R21" s="3" t="n"/>
      <c r="S21" s="3" t="n"/>
      <c r="T21" s="3" t="n"/>
      <c r="U21" s="3" t="n"/>
      <c r="V21" s="3" t="n"/>
      <c r="W21" s="3" t="n"/>
      <c r="X21" s="3" t="n"/>
      <c r="Y21" s="3" t="n"/>
      <c r="Z21" s="3" t="n"/>
    </row>
    <row r="22">
      <c r="A22" s="16" t="inlineStr">
        <is>
          <t>Cash provided by operating activities</t>
        </is>
      </c>
      <c r="B22" s="18" t="n">
        <v>393</v>
      </c>
      <c r="C22" s="18" t="n">
        <v>427</v>
      </c>
      <c r="D22" s="18" t="n">
        <v>485</v>
      </c>
      <c r="E22" s="18" t="n">
        <v>67</v>
      </c>
      <c r="F22" s="3" t="n"/>
      <c r="G22" s="18" t="n">
        <v>233</v>
      </c>
      <c r="H22" s="18" t="n">
        <v>54</v>
      </c>
      <c r="I22" s="3" t="n"/>
      <c r="J22" s="18" t="n">
        <v>189</v>
      </c>
      <c r="K22" s="4" t="inlineStr">
        <is>
          <t>10Q_Q2-2026 p7; Form10A_2026-05-27 p425; Form10A_2026-05-27 p443</t>
        </is>
      </c>
      <c r="L22" s="3" t="n"/>
      <c r="M22" s="3" t="n"/>
      <c r="N22" s="3" t="n"/>
      <c r="O22" s="3" t="n"/>
      <c r="P22" s="3" t="n"/>
      <c r="Q22" s="3" t="n"/>
      <c r="R22" s="3" t="n"/>
      <c r="S22" s="3" t="n"/>
      <c r="T22" s="3" t="n"/>
      <c r="U22" s="3" t="n"/>
      <c r="V22" s="3" t="n"/>
      <c r="W22" s="3" t="n"/>
      <c r="X22" s="3" t="n"/>
      <c r="Y22" s="3" t="n"/>
      <c r="Z22" s="3" t="n"/>
    </row>
    <row r="23">
      <c r="A23" s="14" t="inlineStr">
        <is>
          <t>Investing activities</t>
        </is>
      </c>
      <c r="B23" s="15" t="n"/>
      <c r="C23" s="15" t="n"/>
      <c r="D23" s="15" t="n"/>
      <c r="E23" s="15" t="n"/>
      <c r="F23" s="15" t="n"/>
      <c r="G23" s="15" t="n"/>
      <c r="H23" s="15" t="n"/>
      <c r="I23" s="15" t="n"/>
      <c r="J23" s="15" t="n"/>
      <c r="K23" s="15" t="n"/>
      <c r="L23" s="3" t="n"/>
      <c r="M23" s="3" t="n"/>
      <c r="N23" s="3" t="n"/>
      <c r="O23" s="3" t="n"/>
      <c r="P23" s="3" t="n"/>
      <c r="Q23" s="3" t="n"/>
      <c r="R23" s="3" t="n"/>
      <c r="S23" s="3" t="n"/>
      <c r="T23" s="3" t="n"/>
      <c r="U23" s="3" t="n"/>
      <c r="V23" s="3" t="n"/>
      <c r="W23" s="3" t="n"/>
      <c r="X23" s="3" t="n"/>
      <c r="Y23" s="3" t="n"/>
      <c r="Z23" s="3" t="n"/>
    </row>
    <row r="24">
      <c r="A24" s="19" t="inlineStr">
        <is>
          <t>Capital expenditures</t>
        </is>
      </c>
      <c r="B24" s="30" t="n">
        <v>-18</v>
      </c>
      <c r="C24" s="30" t="n">
        <v>-15</v>
      </c>
      <c r="D24" s="30" t="n">
        <v>-24</v>
      </c>
      <c r="E24" s="3" t="n"/>
      <c r="F24" s="3" t="n"/>
      <c r="G24" s="30" t="n">
        <v>-8</v>
      </c>
      <c r="H24" s="30" t="n">
        <v>-6</v>
      </c>
      <c r="I24" s="3" t="n"/>
      <c r="J24" s="30" t="n">
        <v>-12</v>
      </c>
      <c r="K24" s="4" t="inlineStr">
        <is>
          <t>10Q_Q2-2026 p7; Form10A_2026-05-27 p425; Form10A_2026-05-27 p443</t>
        </is>
      </c>
      <c r="L24" s="3" t="n"/>
      <c r="M24" s="3" t="n"/>
      <c r="N24" s="3" t="n"/>
      <c r="O24" s="3" t="n"/>
      <c r="P24" s="3" t="n"/>
      <c r="Q24" s="3" t="n"/>
      <c r="R24" s="3" t="n"/>
      <c r="S24" s="3" t="n"/>
      <c r="T24" s="3" t="n"/>
      <c r="U24" s="3" t="n"/>
      <c r="V24" s="3" t="n"/>
      <c r="W24" s="3" t="n"/>
      <c r="X24" s="3" t="n"/>
      <c r="Y24" s="3" t="n"/>
      <c r="Z24" s="3" t="n"/>
    </row>
    <row r="25">
      <c r="A25" s="19" t="inlineStr">
        <is>
          <t>Acquisitions, net of cash acquired</t>
        </is>
      </c>
      <c r="B25" s="30" t="n">
        <v>-214</v>
      </c>
      <c r="C25" s="30" t="n">
        <v>-6</v>
      </c>
      <c r="D25" s="30" t="n">
        <v>-4</v>
      </c>
      <c r="E25" s="3" t="n"/>
      <c r="F25" s="3" t="n"/>
      <c r="G25" s="3" t="n"/>
      <c r="H25" s="3" t="n"/>
      <c r="I25" s="3" t="n"/>
      <c r="J25" s="3" t="n"/>
      <c r="K25" s="4" t="inlineStr">
        <is>
          <t>Form10A_2026-05-27 p443</t>
        </is>
      </c>
      <c r="L25" s="3" t="n"/>
      <c r="M25" s="3" t="n"/>
      <c r="N25" s="3" t="n"/>
      <c r="O25" s="3" t="n"/>
      <c r="P25" s="3" t="n"/>
      <c r="Q25" s="3" t="n"/>
      <c r="R25" s="3" t="n"/>
      <c r="S25" s="3" t="n"/>
      <c r="T25" s="3" t="n"/>
      <c r="U25" s="3" t="n"/>
      <c r="V25" s="3" t="n"/>
      <c r="W25" s="3" t="n"/>
      <c r="X25" s="3" t="n"/>
      <c r="Y25" s="3" t="n"/>
      <c r="Z25" s="3" t="n"/>
    </row>
    <row r="26">
      <c r="A26" s="19" t="inlineStr">
        <is>
          <t>Proceeds from loan to related parties</t>
        </is>
      </c>
      <c r="B26" s="3" t="n"/>
      <c r="C26" s="3" t="n"/>
      <c r="D26" s="30" t="n">
        <v>5</v>
      </c>
      <c r="E26" s="3" t="n"/>
      <c r="F26" s="3" t="n"/>
      <c r="G26" s="3" t="n"/>
      <c r="H26" s="3" t="n"/>
      <c r="I26" s="3" t="n"/>
      <c r="J26" s="3" t="n"/>
      <c r="K26" s="4" t="inlineStr">
        <is>
          <t>Form10A_2026-05-27 p443</t>
        </is>
      </c>
      <c r="L26" s="3" t="n"/>
      <c r="M26" s="3" t="n"/>
      <c r="N26" s="3" t="n"/>
      <c r="O26" s="3" t="n"/>
      <c r="P26" s="3" t="n"/>
      <c r="Q26" s="3" t="n"/>
      <c r="R26" s="3" t="n"/>
      <c r="S26" s="3" t="n"/>
      <c r="T26" s="3" t="n"/>
      <c r="U26" s="3" t="n"/>
      <c r="V26" s="3" t="n"/>
      <c r="W26" s="3" t="n"/>
      <c r="X26" s="3" t="n"/>
      <c r="Y26" s="3" t="n"/>
      <c r="Z26" s="3" t="n"/>
    </row>
    <row r="27">
      <c r="A27" s="19" t="inlineStr">
        <is>
          <t>Proceeds from dispositions</t>
        </is>
      </c>
      <c r="B27" s="30" t="n">
        <v>2</v>
      </c>
      <c r="C27" s="3" t="n"/>
      <c r="D27" s="3" t="n"/>
      <c r="E27" s="3" t="n"/>
      <c r="F27" s="3" t="n"/>
      <c r="G27" s="3" t="n"/>
      <c r="H27" s="3" t="n"/>
      <c r="I27" s="3" t="n"/>
      <c r="J27" s="3" t="n"/>
      <c r="K27" s="4" t="inlineStr">
        <is>
          <t>Form10A_2026-05-27 p443</t>
        </is>
      </c>
      <c r="L27" s="3" t="n"/>
      <c r="M27" s="3" t="n"/>
      <c r="N27" s="3" t="n"/>
      <c r="O27" s="3" t="n"/>
      <c r="P27" s="3" t="n"/>
      <c r="Q27" s="3" t="n"/>
      <c r="R27" s="3" t="n"/>
      <c r="S27" s="3" t="n"/>
      <c r="T27" s="3" t="n"/>
      <c r="U27" s="3" t="n"/>
      <c r="V27" s="3" t="n"/>
      <c r="W27" s="3" t="n"/>
      <c r="X27" s="3" t="n"/>
      <c r="Y27" s="3" t="n"/>
      <c r="Z27" s="3" t="n"/>
    </row>
    <row r="28">
      <c r="A28" s="19" t="inlineStr">
        <is>
          <t>Purchases of equity investments</t>
        </is>
      </c>
      <c r="B28" s="3" t="n"/>
      <c r="C28" s="3" t="n"/>
      <c r="D28" s="3" t="n"/>
      <c r="E28" s="3" t="n"/>
      <c r="F28" s="3" t="n"/>
      <c r="G28" s="30" t="n">
        <v>-3</v>
      </c>
      <c r="H28" s="3" t="n"/>
      <c r="I28" s="3" t="n"/>
      <c r="J28" s="30" t="n">
        <v>-3</v>
      </c>
      <c r="K28" s="4" t="inlineStr">
        <is>
          <t>10Q_Q2-2026 p7</t>
        </is>
      </c>
      <c r="L28" s="3" t="n"/>
      <c r="M28" s="3" t="n"/>
      <c r="N28" s="3" t="n"/>
      <c r="O28" s="3" t="n"/>
      <c r="P28" s="3" t="n"/>
      <c r="Q28" s="3" t="n"/>
      <c r="R28" s="3" t="n"/>
      <c r="S28" s="3" t="n"/>
      <c r="T28" s="3" t="n"/>
      <c r="U28" s="3" t="n"/>
      <c r="V28" s="3" t="n"/>
      <c r="W28" s="3" t="n"/>
      <c r="X28" s="3" t="n"/>
      <c r="Y28" s="3" t="n"/>
      <c r="Z28" s="3" t="n"/>
    </row>
    <row r="29">
      <c r="A29" s="16" t="inlineStr">
        <is>
          <t>Cash used for investing activities (FY2024 &amp; Q1-25 from MD&amp;A cash-flow overview — statement cell unreadable)</t>
        </is>
      </c>
      <c r="B29" s="18" t="n">
        <v>-230</v>
      </c>
      <c r="C29" s="18" t="n">
        <v>-21</v>
      </c>
      <c r="D29" s="18" t="n">
        <v>-23</v>
      </c>
      <c r="E29" s="18" t="n">
        <v>-5</v>
      </c>
      <c r="F29" s="3" t="n"/>
      <c r="G29" s="18" t="n">
        <v>-11</v>
      </c>
      <c r="H29" s="18" t="n">
        <v>-6</v>
      </c>
      <c r="I29" s="3" t="n"/>
      <c r="J29" s="18" t="n">
        <v>-15</v>
      </c>
      <c r="K29" s="4" t="inlineStr">
        <is>
          <t>10Q_Q2-2026 p7; Form10A_2026-05-27 p361; Form10A_2026-05-27 p425; Form10A_2026-05-27 p443</t>
        </is>
      </c>
      <c r="L29" s="3" t="n"/>
      <c r="M29" s="3" t="n"/>
      <c r="N29" s="3" t="n"/>
      <c r="O29" s="3" t="n"/>
      <c r="P29" s="3" t="n"/>
      <c r="Q29" s="3" t="n"/>
      <c r="R29" s="3" t="n"/>
      <c r="S29" s="3" t="n"/>
      <c r="T29" s="3" t="n"/>
      <c r="U29" s="3" t="n"/>
      <c r="V29" s="3" t="n"/>
      <c r="W29" s="3" t="n"/>
      <c r="X29" s="3" t="n"/>
      <c r="Y29" s="3" t="n"/>
      <c r="Z29" s="3" t="n"/>
    </row>
    <row r="30">
      <c r="A30" s="14" t="inlineStr">
        <is>
          <t>Financing activities</t>
        </is>
      </c>
      <c r="B30" s="15" t="n"/>
      <c r="C30" s="15" t="n"/>
      <c r="D30" s="15" t="n"/>
      <c r="E30" s="15" t="n"/>
      <c r="F30" s="15" t="n"/>
      <c r="G30" s="15" t="n"/>
      <c r="H30" s="15" t="n"/>
      <c r="I30" s="15" t="n"/>
      <c r="J30" s="15" t="n"/>
      <c r="K30" s="15" t="n"/>
      <c r="L30" s="3" t="n"/>
      <c r="M30" s="3" t="n"/>
      <c r="N30" s="3" t="n"/>
      <c r="O30" s="3" t="n"/>
      <c r="P30" s="3" t="n"/>
      <c r="Q30" s="3" t="n"/>
      <c r="R30" s="3" t="n"/>
      <c r="S30" s="3" t="n"/>
      <c r="T30" s="3" t="n"/>
      <c r="U30" s="3" t="n"/>
      <c r="V30" s="3" t="n"/>
      <c r="W30" s="3" t="n"/>
      <c r="X30" s="3" t="n"/>
      <c r="Y30" s="3" t="n"/>
      <c r="Z30" s="3" t="n"/>
    </row>
    <row r="31">
      <c r="A31" s="19" t="inlineStr">
        <is>
          <t>Proceeds from issuance of Senior Notes</t>
        </is>
      </c>
      <c r="B31" s="3" t="n"/>
      <c r="C31" s="3" t="n"/>
      <c r="D31" s="3" t="n"/>
      <c r="E31" s="3" t="n"/>
      <c r="F31" s="3" t="n"/>
      <c r="G31" s="3" t="n"/>
      <c r="H31" s="3" t="n"/>
      <c r="I31" s="3" t="n"/>
      <c r="J31" s="30" t="n">
        <v>1986</v>
      </c>
      <c r="K31" s="4" t="inlineStr">
        <is>
          <t>10Q_Q2-2026 p7</t>
        </is>
      </c>
      <c r="L31" s="3" t="n"/>
      <c r="M31" s="3" t="n"/>
      <c r="N31" s="3" t="n"/>
      <c r="O31" s="3" t="n"/>
      <c r="P31" s="3" t="n"/>
      <c r="Q31" s="3" t="n"/>
      <c r="R31" s="3" t="n"/>
      <c r="S31" s="3" t="n"/>
      <c r="T31" s="3" t="n"/>
      <c r="U31" s="3" t="n"/>
      <c r="V31" s="3" t="n"/>
      <c r="W31" s="3" t="n"/>
      <c r="X31" s="3" t="n"/>
      <c r="Y31" s="3" t="n"/>
      <c r="Z31" s="3" t="n"/>
    </row>
    <row r="32">
      <c r="A32" s="19" t="inlineStr">
        <is>
          <t>Net transfers to Parent</t>
        </is>
      </c>
      <c r="B32" s="30" t="n">
        <v>-158</v>
      </c>
      <c r="C32" s="30" t="n">
        <v>-373</v>
      </c>
      <c r="D32" s="30" t="n">
        <v>-433</v>
      </c>
      <c r="E32" s="3" t="n"/>
      <c r="F32" s="3" t="n"/>
      <c r="G32" s="30" t="n">
        <v>-190</v>
      </c>
      <c r="H32" s="3" t="n"/>
      <c r="I32" s="3" t="n"/>
      <c r="J32" s="30" t="n">
        <v>-2011</v>
      </c>
      <c r="K32" s="4" t="inlineStr">
        <is>
          <t>10Q_Q2-2026 p7; Form10A_2026-05-27 p443</t>
        </is>
      </c>
      <c r="L32" s="3" t="n"/>
      <c r="M32" s="3" t="n"/>
      <c r="N32" s="3" t="n"/>
      <c r="O32" s="3" t="n"/>
      <c r="P32" s="3" t="n"/>
      <c r="Q32" s="3" t="n"/>
      <c r="R32" s="3" t="n"/>
      <c r="S32" s="3" t="n"/>
      <c r="T32" s="3" t="n"/>
      <c r="U32" s="3" t="n"/>
      <c r="V32" s="3" t="n"/>
      <c r="W32" s="3" t="n"/>
      <c r="X32" s="3" t="n"/>
      <c r="Y32" s="3" t="n"/>
      <c r="Z32" s="3" t="n"/>
    </row>
    <row r="33">
      <c r="A33" s="19" t="inlineStr">
        <is>
          <t>Payments related to loan from related parties</t>
        </is>
      </c>
      <c r="B33" s="3" t="n"/>
      <c r="C33" s="30" t="n">
        <v>-45</v>
      </c>
      <c r="D33" s="30" t="n">
        <v>-18</v>
      </c>
      <c r="E33" s="3" t="n"/>
      <c r="F33" s="3" t="n"/>
      <c r="G33" s="30" t="n">
        <v>-18</v>
      </c>
      <c r="H33" s="3" t="n"/>
      <c r="I33" s="3" t="n"/>
      <c r="J33" s="3" t="n"/>
      <c r="K33" s="4" t="inlineStr">
        <is>
          <t>10Q_Q2-2026 p7; Form10A_2026-05-27 p443</t>
        </is>
      </c>
      <c r="L33" s="3" t="n"/>
      <c r="M33" s="3" t="n"/>
      <c r="N33" s="3" t="n"/>
      <c r="O33" s="3" t="n"/>
      <c r="P33" s="3" t="n"/>
      <c r="Q33" s="3" t="n"/>
      <c r="R33" s="3" t="n"/>
      <c r="S33" s="3" t="n"/>
      <c r="T33" s="3" t="n"/>
      <c r="U33" s="3" t="n"/>
      <c r="V33" s="3" t="n"/>
      <c r="W33" s="3" t="n"/>
      <c r="X33" s="3" t="n"/>
      <c r="Y33" s="3" t="n"/>
      <c r="Z33" s="3" t="n"/>
    </row>
    <row r="34">
      <c r="A34" s="19" t="inlineStr">
        <is>
          <t>Contingent consideration payments</t>
        </is>
      </c>
      <c r="B34" s="3" t="n"/>
      <c r="C34" s="30" t="n">
        <v>-5</v>
      </c>
      <c r="D34" s="3" t="n"/>
      <c r="E34" s="3" t="n"/>
      <c r="F34" s="3" t="n"/>
      <c r="G34" s="30" t="n">
        <v>-2</v>
      </c>
      <c r="H34" s="3" t="n"/>
      <c r="I34" s="3" t="n"/>
      <c r="J34" s="3" t="n"/>
      <c r="K34" s="4" t="inlineStr">
        <is>
          <t>10Q_Q2-2026 p7; Form10A_2026-05-27 p443</t>
        </is>
      </c>
      <c r="L34" s="3" t="n"/>
      <c r="M34" s="3" t="n"/>
      <c r="N34" s="3" t="n"/>
      <c r="O34" s="3" t="n"/>
      <c r="P34" s="3" t="n"/>
      <c r="Q34" s="3" t="n"/>
      <c r="R34" s="3" t="n"/>
      <c r="S34" s="3" t="n"/>
      <c r="T34" s="3" t="n"/>
      <c r="U34" s="3" t="n"/>
      <c r="V34" s="3" t="n"/>
      <c r="W34" s="3" t="n"/>
      <c r="X34" s="3" t="n"/>
      <c r="Y34" s="3" t="n"/>
      <c r="Z34" s="3" t="n"/>
    </row>
    <row r="35">
      <c r="A35" s="16" t="inlineStr">
        <is>
          <t>Cash provided by (used for) financing activities (Q1-25 from MD&amp;A)</t>
        </is>
      </c>
      <c r="B35" s="18" t="n">
        <v>-160</v>
      </c>
      <c r="C35" s="18" t="n">
        <v>-423</v>
      </c>
      <c r="D35" s="18" t="n">
        <v>-453</v>
      </c>
      <c r="E35" s="18" t="n">
        <v>-62</v>
      </c>
      <c r="F35" s="3" t="n"/>
      <c r="G35" s="18" t="n">
        <v>-210</v>
      </c>
      <c r="H35" s="18" t="n">
        <v>37</v>
      </c>
      <c r="I35" s="3" t="n"/>
      <c r="J35" s="18" t="n">
        <v>-25</v>
      </c>
      <c r="K35" s="4" t="inlineStr">
        <is>
          <t>10Q_Q2-2026 p7; Form10A_2026-05-27 p361; Form10A_2026-05-27 p425; Form10A_2026-05-27 p443</t>
        </is>
      </c>
      <c r="L35" s="3" t="n"/>
      <c r="M35" s="3" t="n"/>
      <c r="N35" s="3" t="n"/>
      <c r="O35" s="3" t="n"/>
      <c r="P35" s="3" t="n"/>
      <c r="Q35" s="3" t="n"/>
      <c r="R35" s="3" t="n"/>
      <c r="S35" s="3" t="n"/>
      <c r="T35" s="3" t="n"/>
      <c r="U35" s="3" t="n"/>
      <c r="V35" s="3" t="n"/>
      <c r="W35" s="3" t="n"/>
      <c r="X35" s="3" t="n"/>
      <c r="Y35" s="3" t="n"/>
      <c r="Z35" s="3" t="n"/>
    </row>
    <row r="36">
      <c r="A36" s="19" t="inlineStr">
        <is>
          <t>Effect of exchange rate changes on cash</t>
        </is>
      </c>
      <c r="B36" s="30" t="n">
        <v>2</v>
      </c>
      <c r="C36" s="30" t="n">
        <v>-3</v>
      </c>
      <c r="D36" s="30" t="n">
        <v>2</v>
      </c>
      <c r="E36" s="3" t="n"/>
      <c r="F36" s="3" t="n"/>
      <c r="G36" s="30" t="n">
        <v>1</v>
      </c>
      <c r="H36" s="30" t="n">
        <v>-1</v>
      </c>
      <c r="I36" s="3" t="n"/>
      <c r="J36" s="30" t="n">
        <v>-1</v>
      </c>
      <c r="K36" s="4" t="inlineStr">
        <is>
          <t>10Q_Q2-2026 p7; Form10A_2026-05-27 p425; Form10A_2026-05-27 p443</t>
        </is>
      </c>
      <c r="L36" s="3" t="n"/>
      <c r="M36" s="3" t="n"/>
      <c r="N36" s="3" t="n"/>
      <c r="O36" s="3" t="n"/>
      <c r="P36" s="3" t="n"/>
      <c r="Q36" s="3" t="n"/>
      <c r="R36" s="3" t="n"/>
      <c r="S36" s="3" t="n"/>
      <c r="T36" s="3" t="n"/>
      <c r="U36" s="3" t="n"/>
      <c r="V36" s="3" t="n"/>
      <c r="W36" s="3" t="n"/>
      <c r="X36" s="3" t="n"/>
      <c r="Y36" s="3" t="n"/>
      <c r="Z36" s="3" t="n"/>
    </row>
    <row r="37">
      <c r="A37" s="16" t="inlineStr">
        <is>
          <t>Net change in cash, cash equivalents and restricted cash</t>
        </is>
      </c>
      <c r="B37" s="18" t="n">
        <v>5</v>
      </c>
      <c r="C37" s="18" t="n">
        <v>-20</v>
      </c>
      <c r="D37" s="18" t="n">
        <v>11</v>
      </c>
      <c r="E37" s="18" t="n">
        <v>1</v>
      </c>
      <c r="F37" s="3" t="n"/>
      <c r="G37" s="18" t="n">
        <v>13</v>
      </c>
      <c r="H37" s="18" t="n">
        <v>84</v>
      </c>
      <c r="I37" s="3" t="n"/>
      <c r="J37" s="18" t="n">
        <v>148</v>
      </c>
      <c r="K37" s="4" t="inlineStr">
        <is>
          <t>10Q_Q2-2026 p7; Form10A_2026-05-27 p425; Form10A_2026-05-27 p443</t>
        </is>
      </c>
      <c r="L37" s="3" t="n"/>
      <c r="M37" s="3" t="n"/>
      <c r="N37" s="3" t="n"/>
      <c r="O37" s="3" t="n"/>
      <c r="P37" s="3" t="n"/>
      <c r="Q37" s="3" t="n"/>
      <c r="R37" s="3" t="n"/>
      <c r="S37" s="3" t="n"/>
      <c r="T37" s="3" t="n"/>
      <c r="U37" s="3" t="n"/>
      <c r="V37" s="3" t="n"/>
      <c r="W37" s="3" t="n"/>
      <c r="X37" s="3" t="n"/>
      <c r="Y37" s="3" t="n"/>
      <c r="Z37" s="3" t="n"/>
    </row>
    <row r="38">
      <c r="A38" s="19" t="inlineStr">
        <is>
          <t>Cash at beginning of period</t>
        </is>
      </c>
      <c r="B38" s="30" t="n">
        <v>42</v>
      </c>
      <c r="C38" s="30" t="n">
        <v>47</v>
      </c>
      <c r="D38" s="30" t="n">
        <v>27</v>
      </c>
      <c r="E38" s="30" t="n">
        <v>27</v>
      </c>
      <c r="F38" s="3" t="n"/>
      <c r="G38" s="30" t="n">
        <v>27</v>
      </c>
      <c r="H38" s="30" t="n">
        <v>38</v>
      </c>
      <c r="I38" s="3" t="n"/>
      <c r="J38" s="30" t="n">
        <v>38</v>
      </c>
      <c r="K38" s="4" t="inlineStr">
        <is>
          <t>10Q_Q2-2026 p7; Form10A_2026-05-27 p425; Form10A_2026-05-27 p443</t>
        </is>
      </c>
      <c r="L38" s="3" t="n"/>
      <c r="M38" s="3" t="n"/>
      <c r="N38" s="3" t="n"/>
      <c r="O38" s="3" t="n"/>
      <c r="P38" s="3" t="n"/>
      <c r="Q38" s="3" t="n"/>
      <c r="R38" s="3" t="n"/>
      <c r="S38" s="3" t="n"/>
      <c r="T38" s="3" t="n"/>
      <c r="U38" s="3" t="n"/>
      <c r="V38" s="3" t="n"/>
      <c r="W38" s="3" t="n"/>
      <c r="X38" s="3" t="n"/>
      <c r="Y38" s="3" t="n"/>
      <c r="Z38" s="3" t="n"/>
    </row>
    <row r="39">
      <c r="A39" s="16" t="inlineStr">
        <is>
          <t>Cash at end of period</t>
        </is>
      </c>
      <c r="B39" s="18" t="n">
        <v>47</v>
      </c>
      <c r="C39" s="18" t="n">
        <v>27</v>
      </c>
      <c r="D39" s="18" t="n">
        <v>38</v>
      </c>
      <c r="E39" s="18" t="n">
        <v>28</v>
      </c>
      <c r="F39" s="3" t="n"/>
      <c r="G39" s="18" t="n">
        <v>40</v>
      </c>
      <c r="H39" s="18" t="n">
        <v>122</v>
      </c>
      <c r="I39" s="3" t="n"/>
      <c r="J39" s="18" t="n">
        <v>186</v>
      </c>
      <c r="K39" s="4" t="inlineStr">
        <is>
          <t>10Q_Q2-2026 p7; Form10A_2026-05-27 p425; Form10A_2026-05-27 p443</t>
        </is>
      </c>
      <c r="L39" s="3" t="n"/>
      <c r="M39" s="3" t="n"/>
      <c r="N39" s="3" t="n"/>
      <c r="O39" s="3" t="n"/>
      <c r="P39" s="3" t="n"/>
      <c r="Q39" s="3" t="n"/>
      <c r="R39" s="3" t="n"/>
      <c r="S39" s="3" t="n"/>
      <c r="T39" s="3" t="n"/>
      <c r="U39" s="3" t="n"/>
      <c r="V39" s="3" t="n"/>
      <c r="W39" s="3" t="n"/>
      <c r="X39" s="3" t="n"/>
      <c r="Y39" s="3" t="n"/>
      <c r="Z39" s="3" t="n"/>
    </row>
    <row r="40">
      <c r="A40" s="14" t="inlineStr">
        <is>
          <t>Supplemental</t>
        </is>
      </c>
      <c r="B40" s="15" t="n"/>
      <c r="C40" s="15" t="n"/>
      <c r="D40" s="15" t="n"/>
      <c r="E40" s="15" t="n"/>
      <c r="F40" s="15" t="n"/>
      <c r="G40" s="15" t="n"/>
      <c r="H40" s="15" t="n"/>
      <c r="I40" s="15" t="n"/>
      <c r="J40" s="15" t="n"/>
      <c r="K40" s="15" t="n"/>
      <c r="L40" s="3" t="n"/>
      <c r="M40" s="3" t="n"/>
      <c r="N40" s="3" t="n"/>
      <c r="O40" s="3" t="n"/>
      <c r="P40" s="3" t="n"/>
      <c r="Q40" s="3" t="n"/>
      <c r="R40" s="3" t="n"/>
      <c r="S40" s="3" t="n"/>
      <c r="T40" s="3" t="n"/>
      <c r="U40" s="3" t="n"/>
      <c r="V40" s="3" t="n"/>
      <c r="W40" s="3" t="n"/>
      <c r="X40" s="3" t="n"/>
      <c r="Y40" s="3" t="n"/>
      <c r="Z40" s="3" t="n"/>
    </row>
    <row r="41">
      <c r="A41" s="19" t="inlineStr">
        <is>
          <t>Cash paid for interest</t>
        </is>
      </c>
      <c r="B41" s="30" t="n">
        <v>18</v>
      </c>
      <c r="C41" s="30" t="n">
        <v>17</v>
      </c>
      <c r="D41" s="30" t="n">
        <v>14</v>
      </c>
      <c r="E41" s="3" t="n"/>
      <c r="F41" s="3" t="n"/>
      <c r="G41" s="3" t="n"/>
      <c r="H41" s="3" t="n"/>
      <c r="I41" s="3" t="n"/>
      <c r="J41" s="3" t="n"/>
      <c r="K41" s="4" t="inlineStr">
        <is>
          <t>Form10A_2026-05-27 p443</t>
        </is>
      </c>
      <c r="L41" s="3" t="n"/>
      <c r="M41" s="3" t="n"/>
      <c r="N41" s="3" t="n"/>
      <c r="O41" s="3" t="n"/>
      <c r="P41" s="3" t="n"/>
      <c r="Q41" s="3" t="n"/>
      <c r="R41" s="3" t="n"/>
      <c r="S41" s="3" t="n"/>
      <c r="T41" s="3" t="n"/>
      <c r="U41" s="3" t="n"/>
      <c r="V41" s="3" t="n"/>
      <c r="W41" s="3" t="n"/>
      <c r="X41" s="3" t="n"/>
      <c r="Y41" s="3" t="n"/>
      <c r="Z41" s="3" t="n"/>
    </row>
    <row r="42">
      <c r="A42" s="19" t="inlineStr">
        <is>
          <t>Cash paid for income taxes</t>
        </is>
      </c>
      <c r="B42" s="30" t="n">
        <v>15</v>
      </c>
      <c r="C42" s="30" t="n">
        <v>29</v>
      </c>
      <c r="D42" s="30" t="n">
        <v>26</v>
      </c>
      <c r="E42" s="3" t="n"/>
      <c r="F42" s="3" t="n"/>
      <c r="G42" s="3" t="n"/>
      <c r="H42" s="3" t="n"/>
      <c r="I42" s="3" t="n"/>
      <c r="J42" s="3" t="n"/>
      <c r="K42" s="4" t="inlineStr">
        <is>
          <t>Form10A_2026-05-27 p443</t>
        </is>
      </c>
      <c r="L42" s="3" t="n"/>
      <c r="M42" s="3" t="n"/>
      <c r="N42" s="3" t="n"/>
      <c r="O42" s="3" t="n"/>
      <c r="P42" s="3" t="n"/>
      <c r="Q42" s="3" t="n"/>
      <c r="R42" s="3" t="n"/>
      <c r="S42" s="3" t="n"/>
      <c r="T42" s="3" t="n"/>
      <c r="U42" s="3" t="n"/>
      <c r="V42" s="3" t="n"/>
      <c r="W42" s="3" t="n"/>
      <c r="X42" s="3" t="n"/>
      <c r="Y42" s="3" t="n"/>
      <c r="Z42" s="3" t="n"/>
    </row>
    <row r="43">
      <c r="A43" s="19" t="inlineStr">
        <is>
          <t>Non-cash: consolidation of Canada Carfax loan</t>
        </is>
      </c>
      <c r="B43" s="3" t="n"/>
      <c r="C43" s="3" t="n"/>
      <c r="D43" s="3" t="n"/>
      <c r="E43" s="3" t="n"/>
      <c r="F43" s="3" t="n"/>
      <c r="G43" s="3" t="n"/>
      <c r="H43" s="3" t="n"/>
      <c r="I43" s="3" t="n"/>
      <c r="J43" s="30" t="n">
        <v>230</v>
      </c>
      <c r="K43" s="4" t="inlineStr">
        <is>
          <t>10Q_Q2-2026 p7</t>
        </is>
      </c>
      <c r="L43" s="3" t="n"/>
      <c r="M43" s="3" t="n"/>
      <c r="N43" s="3" t="n"/>
      <c r="O43" s="3" t="n"/>
      <c r="P43" s="3" t="n"/>
      <c r="Q43" s="3" t="n"/>
      <c r="R43" s="3" t="n"/>
      <c r="S43" s="3" t="n"/>
      <c r="T43" s="3" t="n"/>
      <c r="U43" s="3" t="n"/>
      <c r="V43" s="3" t="n"/>
      <c r="W43" s="3" t="n"/>
      <c r="X43" s="3" t="n"/>
      <c r="Y43" s="3" t="n"/>
      <c r="Z43" s="3" t="n"/>
    </row>
    <row r="44">
      <c r="A44" s="19" t="inlineStr">
        <is>
          <t>Non-cash: accrued debt issuance costs</t>
        </is>
      </c>
      <c r="B44" s="3" t="n"/>
      <c r="C44" s="3" t="n"/>
      <c r="D44" s="3" t="n"/>
      <c r="E44" s="3" t="n"/>
      <c r="F44" s="3" t="n"/>
      <c r="G44" s="3" t="n"/>
      <c r="H44" s="3" t="n"/>
      <c r="I44" s="3" t="n"/>
      <c r="J44" s="30" t="n">
        <v>5</v>
      </c>
      <c r="K44" s="4" t="inlineStr">
        <is>
          <t>10Q_Q2-2026 p7</t>
        </is>
      </c>
      <c r="L44" s="3" t="n"/>
      <c r="M44" s="3" t="n"/>
      <c r="N44" s="3" t="n"/>
      <c r="O44" s="3" t="n"/>
      <c r="P44" s="3" t="n"/>
      <c r="Q44" s="3" t="n"/>
      <c r="R44" s="3" t="n"/>
      <c r="S44" s="3" t="n"/>
      <c r="T44" s="3" t="n"/>
      <c r="U44" s="3" t="n"/>
      <c r="V44" s="3" t="n"/>
      <c r="W44" s="3" t="n"/>
      <c r="X44" s="3" t="n"/>
      <c r="Y44" s="3" t="n"/>
      <c r="Z44" s="3" t="n"/>
    </row>
    <row r="45">
      <c r="A45" s="14" t="inlineStr">
        <is>
          <t>Integrity checks (must be 0; n/a where components not fully extractable or not printed)</t>
        </is>
      </c>
      <c r="B45" s="15" t="n"/>
      <c r="C45" s="15" t="n"/>
      <c r="D45" s="15" t="n"/>
      <c r="E45" s="15" t="n"/>
      <c r="F45" s="15" t="n"/>
      <c r="G45" s="15" t="n"/>
      <c r="H45" s="15" t="n"/>
      <c r="I45" s="15" t="n"/>
      <c r="J45" s="15" t="n"/>
      <c r="K45" s="15" t="n"/>
      <c r="L45" s="3" t="n"/>
      <c r="M45" s="3" t="n"/>
      <c r="N45" s="3" t="n"/>
      <c r="O45" s="3" t="n"/>
      <c r="P45" s="3" t="n"/>
      <c r="Q45" s="3" t="n"/>
      <c r="R45" s="3" t="n"/>
      <c r="S45" s="3" t="n"/>
      <c r="T45" s="3" t="n"/>
      <c r="U45" s="3" t="n"/>
      <c r="V45" s="3" t="n"/>
      <c r="W45" s="3" t="n"/>
      <c r="X45" s="3" t="n"/>
      <c r="Y45" s="3" t="n"/>
      <c r="Z45" s="3" t="n"/>
    </row>
    <row r="46">
      <c r="A46" s="25" t="inlineStr">
        <is>
          <t>CHECK CFO = sum of printed components</t>
        </is>
      </c>
      <c r="B46" s="25" t="inlineStr">
        <is>
          <t>n/a</t>
        </is>
      </c>
      <c r="C46" s="25" t="inlineStr">
        <is>
          <t>n/a</t>
        </is>
      </c>
      <c r="D46" s="25" t="inlineStr">
        <is>
          <t>n/a</t>
        </is>
      </c>
      <c r="E46" s="25" t="inlineStr">
        <is>
          <t>n/a</t>
        </is>
      </c>
      <c r="F46" s="25" t="inlineStr">
        <is>
          <t>n/a</t>
        </is>
      </c>
      <c r="G46" s="27">
        <f>G6+G7+G8+G9+G10+G11+G12+G13+G14+G15+G16+G17+G18+G19+G20+G21-G22</f>
        <v/>
      </c>
      <c r="H46" s="25" t="inlineStr">
        <is>
          <t>n/a</t>
        </is>
      </c>
      <c r="I46" s="25" t="inlineStr">
        <is>
          <t>n/a</t>
        </is>
      </c>
      <c r="J46" s="27">
        <f>J6+J7+J8+J9+J10+J11+J12+J13+J14+J15+J16+J17+J18+J19+J20+J21-J22</f>
        <v/>
      </c>
      <c r="K46" s="3" t="n"/>
      <c r="L46" s="3" t="n"/>
      <c r="M46" s="3" t="n"/>
      <c r="N46" s="3" t="n"/>
      <c r="O46" s="3" t="n"/>
      <c r="P46" s="3" t="n"/>
      <c r="Q46" s="3" t="n"/>
      <c r="R46" s="3" t="n"/>
      <c r="S46" s="3" t="n"/>
      <c r="T46" s="3" t="n"/>
      <c r="U46" s="3" t="n"/>
      <c r="V46" s="3" t="n"/>
      <c r="W46" s="3" t="n"/>
      <c r="X46" s="3" t="n"/>
      <c r="Y46" s="3" t="n"/>
      <c r="Z46" s="3" t="inlineStr">
        <is>
          <t>CHECK</t>
        </is>
      </c>
    </row>
    <row r="47">
      <c r="A47" s="25" t="inlineStr">
        <is>
          <t>CHECK CFI = sum of printed components</t>
        </is>
      </c>
      <c r="B47" s="27">
        <f>B24+B25+B26+B27+B28-B29</f>
        <v/>
      </c>
      <c r="C47" s="27">
        <f>C24+C25+C26+C27+C28-C29</f>
        <v/>
      </c>
      <c r="D47" s="27">
        <f>D24+D25+D26+D27+D28-D29</f>
        <v/>
      </c>
      <c r="E47" s="25" t="inlineStr">
        <is>
          <t>n/a</t>
        </is>
      </c>
      <c r="F47" s="25" t="inlineStr">
        <is>
          <t>n/a</t>
        </is>
      </c>
      <c r="G47" s="27">
        <f>G24+G25+G26+G27+G28-G29</f>
        <v/>
      </c>
      <c r="H47" s="27">
        <f>H24+H25+H26+H27+H28-H29</f>
        <v/>
      </c>
      <c r="I47" s="25" t="inlineStr">
        <is>
          <t>n/a</t>
        </is>
      </c>
      <c r="J47" s="27">
        <f>J24+J25+J26+J27+J28-J29</f>
        <v/>
      </c>
      <c r="K47" s="3" t="n"/>
      <c r="L47" s="3" t="n"/>
      <c r="M47" s="3" t="n"/>
      <c r="N47" s="3" t="n"/>
      <c r="O47" s="3" t="n"/>
      <c r="P47" s="3" t="n"/>
      <c r="Q47" s="3" t="n"/>
      <c r="R47" s="3" t="n"/>
      <c r="S47" s="3" t="n"/>
      <c r="T47" s="3" t="n"/>
      <c r="U47" s="3" t="n"/>
      <c r="V47" s="3" t="n"/>
      <c r="W47" s="3" t="n"/>
      <c r="X47" s="3" t="n"/>
      <c r="Y47" s="3" t="n"/>
      <c r="Z47" s="3" t="inlineStr">
        <is>
          <t>CHECK</t>
        </is>
      </c>
    </row>
    <row r="48">
      <c r="A48" s="25" t="inlineStr">
        <is>
          <t>CHECK CFF = sum of printed components</t>
        </is>
      </c>
      <c r="B48" s="25" t="inlineStr">
        <is>
          <t>n/a</t>
        </is>
      </c>
      <c r="C48" s="27">
        <f>C31+C32+C33+C34-C35</f>
        <v/>
      </c>
      <c r="D48" s="25" t="inlineStr">
        <is>
          <t>n/a</t>
        </is>
      </c>
      <c r="E48" s="25" t="inlineStr">
        <is>
          <t>n/a</t>
        </is>
      </c>
      <c r="F48" s="25" t="inlineStr">
        <is>
          <t>n/a</t>
        </is>
      </c>
      <c r="G48" s="27">
        <f>G31+G32+G33+G34-G35</f>
        <v/>
      </c>
      <c r="H48" s="25" t="inlineStr">
        <is>
          <t>n/a</t>
        </is>
      </c>
      <c r="I48" s="25" t="inlineStr">
        <is>
          <t>n/a</t>
        </is>
      </c>
      <c r="J48" s="27">
        <f>J31+J32+J33+J34-J35</f>
        <v/>
      </c>
      <c r="K48" s="3" t="n"/>
      <c r="L48" s="3" t="n"/>
      <c r="M48" s="3" t="n"/>
      <c r="N48" s="3" t="n"/>
      <c r="O48" s="3" t="n"/>
      <c r="P48" s="3" t="n"/>
      <c r="Q48" s="3" t="n"/>
      <c r="R48" s="3" t="n"/>
      <c r="S48" s="3" t="n"/>
      <c r="T48" s="3" t="n"/>
      <c r="U48" s="3" t="n"/>
      <c r="V48" s="3" t="n"/>
      <c r="W48" s="3" t="n"/>
      <c r="X48" s="3" t="n"/>
      <c r="Y48" s="3" t="n"/>
      <c r="Z48" s="3" t="inlineStr">
        <is>
          <t>CHECK</t>
        </is>
      </c>
    </row>
    <row r="49">
      <c r="A49" s="25" t="inlineStr">
        <is>
          <t>CHECK CFO + CFI + CFF + FX = net change</t>
        </is>
      </c>
      <c r="B49" s="27">
        <f>B22+B29+B35+B36-B37</f>
        <v/>
      </c>
      <c r="C49" s="27">
        <f>C22+C29+C35+C36-C37</f>
        <v/>
      </c>
      <c r="D49" s="27">
        <f>D22+D29+D35+D36-D37</f>
        <v/>
      </c>
      <c r="E49" s="25" t="inlineStr">
        <is>
          <t>n/a</t>
        </is>
      </c>
      <c r="F49" s="25" t="inlineStr">
        <is>
          <t>n/a</t>
        </is>
      </c>
      <c r="G49" s="27">
        <f>G22+G29+G35+G36-G37</f>
        <v/>
      </c>
      <c r="H49" s="27">
        <f>H22+H29+H35+H36-H37</f>
        <v/>
      </c>
      <c r="I49" s="25" t="inlineStr">
        <is>
          <t>n/a</t>
        </is>
      </c>
      <c r="J49" s="27">
        <f>J22+J29+J35+J36-J37</f>
        <v/>
      </c>
      <c r="K49" s="3" t="n"/>
      <c r="L49" s="3" t="n"/>
      <c r="M49" s="3" t="n"/>
      <c r="N49" s="3" t="n"/>
      <c r="O49" s="3" t="n"/>
      <c r="P49" s="3" t="n"/>
      <c r="Q49" s="3" t="n"/>
      <c r="R49" s="3" t="n"/>
      <c r="S49" s="3" t="n"/>
      <c r="T49" s="3" t="n"/>
      <c r="U49" s="3" t="n"/>
      <c r="V49" s="3" t="n"/>
      <c r="W49" s="3" t="n"/>
      <c r="X49" s="3" t="n"/>
      <c r="Y49" s="3" t="n"/>
      <c r="Z49" s="3" t="inlineStr">
        <is>
          <t>CHECK</t>
        </is>
      </c>
    </row>
    <row r="50">
      <c r="A50" s="25" t="inlineStr">
        <is>
          <t>CHECK beginning + change = ending cash</t>
        </is>
      </c>
      <c r="B50" s="27">
        <f>B38+B37-B39</f>
        <v/>
      </c>
      <c r="C50" s="27">
        <f>C38+C37-C39</f>
        <v/>
      </c>
      <c r="D50" s="27">
        <f>D38+D37-D39</f>
        <v/>
      </c>
      <c r="E50" s="27">
        <f>E38+E37-E39</f>
        <v/>
      </c>
      <c r="F50" s="25" t="inlineStr">
        <is>
          <t>n/a</t>
        </is>
      </c>
      <c r="G50" s="27">
        <f>G38+G37-G39</f>
        <v/>
      </c>
      <c r="H50" s="27">
        <f>H38+H37-H39</f>
        <v/>
      </c>
      <c r="I50" s="25" t="inlineStr">
        <is>
          <t>n/a</t>
        </is>
      </c>
      <c r="J50" s="27">
        <f>J38+J37-J39</f>
        <v/>
      </c>
      <c r="K50" s="3" t="n"/>
      <c r="L50" s="3" t="n"/>
      <c r="M50" s="3" t="n"/>
      <c r="N50" s="3" t="n"/>
      <c r="O50" s="3" t="n"/>
      <c r="P50" s="3" t="n"/>
      <c r="Q50" s="3" t="n"/>
      <c r="R50" s="3" t="n"/>
      <c r="S50" s="3" t="n"/>
      <c r="T50" s="3" t="n"/>
      <c r="U50" s="3" t="n"/>
      <c r="V50" s="3" t="n"/>
      <c r="W50" s="3" t="n"/>
      <c r="X50" s="3" t="n"/>
      <c r="Y50" s="3" t="n"/>
      <c r="Z50" s="3" t="inlineStr">
        <is>
          <t>CHECK</t>
        </is>
      </c>
    </row>
    <row r="51">
      <c r="A51" s="25" t="inlineStr">
        <is>
          <t>CHECK net income = IS net income</t>
        </is>
      </c>
      <c r="B51" s="34">
        <f>B6-'IS'!B17</f>
        <v/>
      </c>
      <c r="C51" s="34">
        <f>C6-'IS'!C17</f>
        <v/>
      </c>
      <c r="D51" s="34">
        <f>D6-'IS'!D17</f>
        <v/>
      </c>
      <c r="E51" s="34">
        <f>E6-'IS'!E17</f>
        <v/>
      </c>
      <c r="F51" s="25" t="inlineStr">
        <is>
          <t>n/a</t>
        </is>
      </c>
      <c r="G51" s="34">
        <f>G6-'IS'!G17</f>
        <v/>
      </c>
      <c r="H51" s="34">
        <f>H6-'IS'!H17</f>
        <v/>
      </c>
      <c r="I51" s="25" t="inlineStr">
        <is>
          <t>n/a</t>
        </is>
      </c>
      <c r="J51" s="34">
        <f>J6-'IS'!J17</f>
        <v/>
      </c>
      <c r="K51" s="3" t="n"/>
      <c r="L51" s="3" t="n"/>
      <c r="M51" s="3" t="n"/>
      <c r="N51" s="3" t="n"/>
      <c r="O51" s="3" t="n"/>
      <c r="P51" s="3" t="n"/>
      <c r="Q51" s="3" t="n"/>
      <c r="R51" s="3" t="n"/>
      <c r="S51" s="3" t="n"/>
      <c r="T51" s="3" t="n"/>
      <c r="U51" s="3" t="n"/>
      <c r="V51" s="3" t="n"/>
      <c r="W51" s="3" t="n"/>
      <c r="X51" s="3" t="n"/>
      <c r="Y51" s="3" t="n"/>
      <c r="Z51" s="3" t="inlineStr">
        <is>
          <t>CHECK</t>
        </is>
      </c>
    </row>
    <row r="52">
      <c r="A52" s="25" t="inlineStr">
        <is>
          <t>CHECK ending cash = BS cash</t>
        </is>
      </c>
      <c r="B52" s="25" t="inlineStr">
        <is>
          <t>n/a</t>
        </is>
      </c>
      <c r="C52" s="34">
        <f>C39-'BS'!B6</f>
        <v/>
      </c>
      <c r="D52" s="34">
        <f>D39-'BS'!C6</f>
        <v/>
      </c>
      <c r="E52" s="25" t="inlineStr">
        <is>
          <t>n/a</t>
        </is>
      </c>
      <c r="F52" s="25" t="inlineStr">
        <is>
          <t>n/a</t>
        </is>
      </c>
      <c r="G52" s="25" t="inlineStr">
        <is>
          <t>n/a</t>
        </is>
      </c>
      <c r="H52" s="34">
        <f>H39-'BS'!D6</f>
        <v/>
      </c>
      <c r="I52" s="25" t="inlineStr">
        <is>
          <t>n/a</t>
        </is>
      </c>
      <c r="J52" s="34">
        <f>J39-'BS'!E6</f>
        <v/>
      </c>
      <c r="K52" s="3" t="n"/>
      <c r="L52" s="3" t="n"/>
      <c r="M52" s="3" t="n"/>
      <c r="N52" s="3" t="n"/>
      <c r="O52" s="3" t="n"/>
      <c r="P52" s="3" t="n"/>
      <c r="Q52" s="3" t="n"/>
      <c r="R52" s="3" t="n"/>
      <c r="S52" s="3" t="n"/>
      <c r="T52" s="3" t="n"/>
      <c r="U52" s="3" t="n"/>
      <c r="V52" s="3" t="n"/>
      <c r="W52" s="3" t="n"/>
      <c r="X52" s="3" t="n"/>
      <c r="Y52" s="3" t="n"/>
      <c r="Z52" s="3" t="inlineStr">
        <is>
          <t>CHECK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50" customWidth="1" min="11" max="11"/>
    <col hidden="1" width="13" customWidth="1" min="26" max="26"/>
  </cols>
  <sheetData>
    <row r="1" ht="20" customHeight="1">
      <c r="A1" s="1" t="inlineStr">
        <is>
          <t>Key Metrics — computed [C] from IS / BS / CF (formulas only)</t>
        </is>
      </c>
      <c r="B1" s="2" t="n"/>
      <c r="C1" s="2" t="n"/>
      <c r="D1" s="2" t="n"/>
      <c r="E1" s="2" t="n"/>
      <c r="F1" s="2" t="n"/>
      <c r="G1" s="2" t="n"/>
      <c r="H1" s="2" t="n"/>
      <c r="I1" s="2" t="n"/>
      <c r="J1" s="2" t="n"/>
      <c r="K1" s="2" t="n"/>
    </row>
    <row r="2">
      <c r="A2" s="4" t="inlineStr">
        <is>
          <t>Growth only between comparable periods (same length, prior year). FY2023 growth suppressed: no FY2022 carve-out statements printed. No 53-week years (calendar Dec-31 FYE).</t>
        </is>
      </c>
      <c r="B2" s="3" t="n"/>
      <c r="C2" s="3" t="n"/>
      <c r="D2" s="3" t="n"/>
      <c r="E2" s="3" t="n"/>
      <c r="F2" s="3" t="n"/>
      <c r="G2" s="3" t="n"/>
      <c r="H2" s="3" t="n"/>
      <c r="I2" s="3" t="n"/>
      <c r="J2" s="3" t="n"/>
      <c r="K2" s="3" t="n"/>
    </row>
    <row r="3">
      <c r="A3" s="3" t="n"/>
      <c r="B3" s="3" t="n"/>
      <c r="C3" s="3" t="n"/>
      <c r="D3" s="3" t="n"/>
      <c r="E3" s="3" t="n"/>
      <c r="F3" s="3" t="n"/>
      <c r="G3" s="3" t="n"/>
      <c r="H3" s="3" t="n"/>
      <c r="I3" s="3" t="n"/>
      <c r="J3" s="3" t="n"/>
      <c r="K3" s="3" t="n"/>
    </row>
    <row r="4">
      <c r="A4" s="9" t="inlineStr">
        <is>
          <t>Ratio / metric</t>
        </is>
      </c>
      <c r="B4" s="29" t="inlineStr">
        <is>
          <t>FY2023
12/31/23</t>
        </is>
      </c>
      <c r="C4" s="29" t="inlineStr">
        <is>
          <t>FY2024
12/31/24</t>
        </is>
      </c>
      <c r="D4" s="29" t="inlineStr">
        <is>
          <t>FY2025
12/31/25</t>
        </is>
      </c>
      <c r="E4" s="29" t="inlineStr">
        <is>
          <t>Q1-25
3M 3/31/25</t>
        </is>
      </c>
      <c r="F4" s="29" t="inlineStr">
        <is>
          <t>Q2-25
3M 6/30/25</t>
        </is>
      </c>
      <c r="G4" s="29" t="inlineStr">
        <is>
          <t>6M-25
6/30/25</t>
        </is>
      </c>
      <c r="H4" s="29" t="inlineStr">
        <is>
          <t>Q1-26
3M 3/31/26</t>
        </is>
      </c>
      <c r="I4" s="29" t="inlineStr">
        <is>
          <t>Q2-26
3M 6/30/26</t>
        </is>
      </c>
      <c r="J4" s="29" t="inlineStr">
        <is>
          <t>6M-26
6/30/26</t>
        </is>
      </c>
      <c r="K4" s="29" t="inlineStr">
        <is>
          <t>Definition</t>
        </is>
      </c>
    </row>
    <row r="5">
      <c r="A5" s="14" t="inlineStr">
        <is>
          <t>Growth, margins, cash conversion</t>
        </is>
      </c>
      <c r="B5" s="15" t="n"/>
      <c r="C5" s="15" t="n"/>
      <c r="D5" s="15" t="n"/>
      <c r="E5" s="15" t="n"/>
      <c r="F5" s="15" t="n"/>
      <c r="G5" s="15" t="n"/>
      <c r="H5" s="15" t="n"/>
      <c r="I5" s="15" t="n"/>
      <c r="J5" s="15" t="n"/>
      <c r="K5" s="15" t="n"/>
    </row>
    <row r="6">
      <c r="A6" s="19" t="inlineStr">
        <is>
          <t>Revenue growth (y/y)</t>
        </is>
      </c>
      <c r="B6" s="3" t="n"/>
      <c r="C6" s="35">
        <f>'IS'!C6/'IS'!B6-1</f>
        <v/>
      </c>
      <c r="D6" s="35">
        <f>'IS'!D6/'IS'!C6-1</f>
        <v/>
      </c>
      <c r="E6" s="3" t="n"/>
      <c r="F6" s="3" t="n"/>
      <c r="G6" s="3" t="n"/>
      <c r="H6" s="35">
        <f>'IS'!H6/'IS'!E6-1</f>
        <v/>
      </c>
      <c r="I6" s="35">
        <f>'IS'!I6/'IS'!F6-1</f>
        <v/>
      </c>
      <c r="J6" s="35">
        <f>'IS'!J6/'IS'!G6-1</f>
        <v/>
      </c>
      <c r="K6" s="4" t="inlineStr">
        <is>
          <t>Revenue / prior-year comparable period − 1</t>
        </is>
      </c>
    </row>
    <row r="7">
      <c r="A7" s="19" t="inlineStr">
        <is>
          <t>Operating-related expenses % revenue</t>
        </is>
      </c>
      <c r="B7" s="35">
        <f>'IS'!B7/'IS'!B6</f>
        <v/>
      </c>
      <c r="C7" s="35">
        <f>'IS'!C7/'IS'!C6</f>
        <v/>
      </c>
      <c r="D7" s="35">
        <f>'IS'!D7/'IS'!D6</f>
        <v/>
      </c>
      <c r="E7" s="35">
        <f>'IS'!E7/'IS'!E6</f>
        <v/>
      </c>
      <c r="F7" s="35">
        <f>'IS'!F7/'IS'!F6</f>
        <v/>
      </c>
      <c r="G7" s="35">
        <f>'IS'!G7/'IS'!G6</f>
        <v/>
      </c>
      <c r="H7" s="35">
        <f>'IS'!H7/'IS'!H6</f>
        <v/>
      </c>
      <c r="I7" s="35">
        <f>'IS'!I7/'IS'!I6</f>
        <v/>
      </c>
      <c r="J7" s="35">
        <f>'IS'!J7/'IS'!J6</f>
        <v/>
      </c>
      <c r="K7" s="4" t="inlineStr"/>
    </row>
    <row r="8">
      <c r="A8" s="19" t="inlineStr">
        <is>
          <t>Selling &amp; general % revenue</t>
        </is>
      </c>
      <c r="B8" s="35">
        <f>'IS'!B8/'IS'!B6</f>
        <v/>
      </c>
      <c r="C8" s="35">
        <f>'IS'!C8/'IS'!C6</f>
        <v/>
      </c>
      <c r="D8" s="35">
        <f>'IS'!D8/'IS'!D6</f>
        <v/>
      </c>
      <c r="E8" s="35">
        <f>'IS'!E8/'IS'!E6</f>
        <v/>
      </c>
      <c r="F8" s="35">
        <f>'IS'!F8/'IS'!F6</f>
        <v/>
      </c>
      <c r="G8" s="35">
        <f>'IS'!G8/'IS'!G6</f>
        <v/>
      </c>
      <c r="H8" s="35">
        <f>'IS'!H8/'IS'!H6</f>
        <v/>
      </c>
      <c r="I8" s="35">
        <f>'IS'!I8/'IS'!I6</f>
        <v/>
      </c>
      <c r="J8" s="35">
        <f>'IS'!J8/'IS'!J6</f>
        <v/>
      </c>
      <c r="K8" s="4" t="inlineStr"/>
    </row>
    <row r="9">
      <c r="A9" s="19" t="inlineStr">
        <is>
          <t>EBITDA (operating profit + D&amp;A) [C]</t>
        </is>
      </c>
      <c r="B9" s="22">
        <f>'IS'!B12+'IS'!B9+'IS'!B10</f>
        <v/>
      </c>
      <c r="C9" s="22">
        <f>'IS'!C12+'IS'!C9+'IS'!C10</f>
        <v/>
      </c>
      <c r="D9" s="22">
        <f>'IS'!D12+'IS'!D9+'IS'!D10</f>
        <v/>
      </c>
      <c r="E9" s="22">
        <f>'IS'!E12+'IS'!E9+'IS'!E10</f>
        <v/>
      </c>
      <c r="F9" s="22">
        <f>'IS'!F12+'IS'!F9+'IS'!F10</f>
        <v/>
      </c>
      <c r="G9" s="22">
        <f>'IS'!G12+'IS'!G9+'IS'!G10</f>
        <v/>
      </c>
      <c r="H9" s="22">
        <f>'IS'!H12+'IS'!H9+'IS'!H10</f>
        <v/>
      </c>
      <c r="I9" s="22">
        <f>'IS'!I12+'IS'!I9+'IS'!I10</f>
        <v/>
      </c>
      <c r="J9" s="22">
        <f>'IS'!J12+'IS'!J9+'IS'!J10</f>
        <v/>
      </c>
      <c r="K9" s="4" t="inlineStr">
        <is>
          <t>Unadjusted; company Adjusted EBITDA is on the Non-GAAP tab</t>
        </is>
      </c>
    </row>
    <row r="10">
      <c r="A10" s="19" t="inlineStr">
        <is>
          <t>EBITDA margin [C]</t>
        </is>
      </c>
      <c r="B10" s="35">
        <f>(B9)/'IS'!B6</f>
        <v/>
      </c>
      <c r="C10" s="35">
        <f>(C9)/'IS'!C6</f>
        <v/>
      </c>
      <c r="D10" s="35">
        <f>(D9)/'IS'!D6</f>
        <v/>
      </c>
      <c r="E10" s="35">
        <f>(E9)/'IS'!E6</f>
        <v/>
      </c>
      <c r="F10" s="35">
        <f>(F9)/'IS'!F6</f>
        <v/>
      </c>
      <c r="G10" s="35">
        <f>(G9)/'IS'!G6</f>
        <v/>
      </c>
      <c r="H10" s="35">
        <f>(H9)/'IS'!H6</f>
        <v/>
      </c>
      <c r="I10" s="35">
        <f>(I9)/'IS'!I6</f>
        <v/>
      </c>
      <c r="J10" s="35">
        <f>(J9)/'IS'!J6</f>
        <v/>
      </c>
      <c r="K10" s="4" t="inlineStr"/>
    </row>
    <row r="11">
      <c r="A11" s="19" t="inlineStr">
        <is>
          <t>Operating margin</t>
        </is>
      </c>
      <c r="B11" s="35">
        <f>'IS'!B12/'IS'!B6</f>
        <v/>
      </c>
      <c r="C11" s="35">
        <f>'IS'!C12/'IS'!C6</f>
        <v/>
      </c>
      <c r="D11" s="35">
        <f>'IS'!D12/'IS'!D6</f>
        <v/>
      </c>
      <c r="E11" s="35">
        <f>'IS'!E12/'IS'!E6</f>
        <v/>
      </c>
      <c r="F11" s="35">
        <f>'IS'!F12/'IS'!F6</f>
        <v/>
      </c>
      <c r="G11" s="35">
        <f>'IS'!G12/'IS'!G6</f>
        <v/>
      </c>
      <c r="H11" s="35">
        <f>'IS'!H12/'IS'!H6</f>
        <v/>
      </c>
      <c r="I11" s="35">
        <f>'IS'!I12/'IS'!I6</f>
        <v/>
      </c>
      <c r="J11" s="35">
        <f>'IS'!J12/'IS'!J6</f>
        <v/>
      </c>
      <c r="K11" s="4" t="inlineStr"/>
    </row>
    <row r="12">
      <c r="A12" s="19" t="inlineStr">
        <is>
          <t>Amortization of intangibles % revenue</t>
        </is>
      </c>
      <c r="B12" s="35">
        <f>'IS'!B10/'IS'!B6</f>
        <v/>
      </c>
      <c r="C12" s="35">
        <f>'IS'!C10/'IS'!C6</f>
        <v/>
      </c>
      <c r="D12" s="35">
        <f>'IS'!D10/'IS'!D6</f>
        <v/>
      </c>
      <c r="E12" s="35">
        <f>'IS'!E10/'IS'!E6</f>
        <v/>
      </c>
      <c r="F12" s="35">
        <f>'IS'!F10/'IS'!F6</f>
        <v/>
      </c>
      <c r="G12" s="35">
        <f>'IS'!G10/'IS'!G6</f>
        <v/>
      </c>
      <c r="H12" s="35">
        <f>'IS'!H10/'IS'!H6</f>
        <v/>
      </c>
      <c r="I12" s="35">
        <f>'IS'!I10/'IS'!I6</f>
        <v/>
      </c>
      <c r="J12" s="35">
        <f>'IS'!J10/'IS'!J6</f>
        <v/>
      </c>
      <c r="K12" s="4" t="inlineStr">
        <is>
          <t>Acquisition (IHS Markit merger) step-up amortization</t>
        </is>
      </c>
    </row>
    <row r="13">
      <c r="A13" s="19" t="inlineStr">
        <is>
          <t>Net margin</t>
        </is>
      </c>
      <c r="B13" s="35">
        <f>'IS'!B17/'IS'!B6</f>
        <v/>
      </c>
      <c r="C13" s="35">
        <f>'IS'!C17/'IS'!C6</f>
        <v/>
      </c>
      <c r="D13" s="35">
        <f>'IS'!D17/'IS'!D6</f>
        <v/>
      </c>
      <c r="E13" s="35">
        <f>'IS'!E17/'IS'!E6</f>
        <v/>
      </c>
      <c r="F13" s="35">
        <f>'IS'!F17/'IS'!F6</f>
        <v/>
      </c>
      <c r="G13" s="35">
        <f>'IS'!G17/'IS'!G6</f>
        <v/>
      </c>
      <c r="H13" s="35">
        <f>'IS'!H17/'IS'!H6</f>
        <v/>
      </c>
      <c r="I13" s="35">
        <f>'IS'!I17/'IS'!I6</f>
        <v/>
      </c>
      <c r="J13" s="35">
        <f>'IS'!J17/'IS'!J6</f>
        <v/>
      </c>
      <c r="K13" s="4" t="inlineStr"/>
    </row>
    <row r="14">
      <c r="A14" s="19" t="inlineStr">
        <is>
          <t>Effective tax rate</t>
        </is>
      </c>
      <c r="B14" s="35">
        <f>'IS'!B16/'IS'!B15</f>
        <v/>
      </c>
      <c r="C14" s="35">
        <f>'IS'!C16/'IS'!C15</f>
        <v/>
      </c>
      <c r="D14" s="35">
        <f>'IS'!D16/'IS'!D15</f>
        <v/>
      </c>
      <c r="E14" s="35">
        <f>'IS'!E16/'IS'!E15</f>
        <v/>
      </c>
      <c r="F14" s="35">
        <f>'IS'!F16/'IS'!F15</f>
        <v/>
      </c>
      <c r="G14" s="35">
        <f>'IS'!G16/'IS'!G15</f>
        <v/>
      </c>
      <c r="H14" s="35">
        <f>'IS'!H16/'IS'!H15</f>
        <v/>
      </c>
      <c r="I14" s="35">
        <f>'IS'!I16/'IS'!I15</f>
        <v/>
      </c>
      <c r="J14" s="35">
        <f>'IS'!J16/'IS'!J15</f>
        <v/>
      </c>
      <c r="K14" s="4" t="inlineStr"/>
    </row>
    <row r="15">
      <c r="A15" s="19" t="inlineStr">
        <is>
          <t>Free cash flow (CFO + capex) [C]</t>
        </is>
      </c>
      <c r="B15" s="22">
        <f>'CF'!B22+'CF'!B24</f>
        <v/>
      </c>
      <c r="C15" s="22">
        <f>'CF'!C22+'CF'!C24</f>
        <v/>
      </c>
      <c r="D15" s="22">
        <f>'CF'!D22+'CF'!D24</f>
        <v/>
      </c>
      <c r="E15" s="3" t="n"/>
      <c r="F15" s="3" t="n"/>
      <c r="G15" s="22">
        <f>'CF'!G22+'CF'!G24</f>
        <v/>
      </c>
      <c r="H15" s="22">
        <f>'CF'!H22+'CF'!H24</f>
        <v/>
      </c>
      <c r="I15" s="3" t="n"/>
      <c r="J15" s="22">
        <f>'CF'!J22+'CF'!J24</f>
        <v/>
      </c>
      <c r="K15" s="4" t="inlineStr">
        <is>
          <t>Suppressed where capex not printed in the statement</t>
        </is>
      </c>
    </row>
    <row r="16">
      <c r="A16" s="19" t="inlineStr">
        <is>
          <t>FCF / net income</t>
        </is>
      </c>
      <c r="B16" s="35">
        <f>B15/'IS'!B17</f>
        <v/>
      </c>
      <c r="C16" s="35">
        <f>C15/'IS'!C17</f>
        <v/>
      </c>
      <c r="D16" s="35">
        <f>D15/'IS'!D17</f>
        <v/>
      </c>
      <c r="E16" s="3" t="n"/>
      <c r="F16" s="3" t="n"/>
      <c r="G16" s="35">
        <f>G15/'IS'!G17</f>
        <v/>
      </c>
      <c r="H16" s="35">
        <f>H15/'IS'!H17</f>
        <v/>
      </c>
      <c r="I16" s="3" t="n"/>
      <c r="J16" s="35">
        <f>J15/'IS'!J17</f>
        <v/>
      </c>
      <c r="K16" s="4" t="inlineStr"/>
    </row>
    <row r="17">
      <c r="A17" s="19" t="inlineStr">
        <is>
          <t>FCF / (net income + amortization) [C]</t>
        </is>
      </c>
      <c r="B17" s="35">
        <f>B15/('IS'!B17+'IS'!B10)</f>
        <v/>
      </c>
      <c r="C17" s="35">
        <f>C15/('IS'!C17+'IS'!C10)</f>
        <v/>
      </c>
      <c r="D17" s="35">
        <f>D15/('IS'!D17+'IS'!D10)</f>
        <v/>
      </c>
      <c r="E17" s="3" t="n"/>
      <c r="F17" s="3" t="n"/>
      <c r="G17" s="35">
        <f>G15/('IS'!G17+'IS'!G10)</f>
        <v/>
      </c>
      <c r="H17" s="35">
        <f>H15/('IS'!H17+'IS'!H10)</f>
        <v/>
      </c>
      <c r="I17" s="3" t="n"/>
      <c r="J17" s="35">
        <f>J15/('IS'!J17+'IS'!J10)</f>
        <v/>
      </c>
      <c r="K17" s="4" t="inlineStr">
        <is>
          <t>Cash conversion ex-acquired-intangible amortization (pre-tax amortization; indicative)</t>
        </is>
      </c>
    </row>
    <row r="18">
      <c r="A18" s="19" t="inlineStr">
        <is>
          <t>Capex % revenue</t>
        </is>
      </c>
      <c r="B18" s="35">
        <f>-'CF'!B24/'IS'!B6</f>
        <v/>
      </c>
      <c r="C18" s="35">
        <f>-'CF'!C24/'IS'!C6</f>
        <v/>
      </c>
      <c r="D18" s="35">
        <f>-'CF'!D24/'IS'!D6</f>
        <v/>
      </c>
      <c r="E18" s="3" t="n"/>
      <c r="F18" s="3" t="n"/>
      <c r="G18" s="35">
        <f>-'CF'!G24/'IS'!G6</f>
        <v/>
      </c>
      <c r="H18" s="35">
        <f>-'CF'!H24/'IS'!H6</f>
        <v/>
      </c>
      <c r="I18" s="3" t="n"/>
      <c r="J18" s="35">
        <f>-'CF'!J24/'IS'!J6</f>
        <v/>
      </c>
      <c r="K18" s="4" t="inlineStr"/>
    </row>
    <row r="19">
      <c r="A19" s="19" t="inlineStr">
        <is>
          <t>Stock-based compensation % revenue</t>
        </is>
      </c>
      <c r="B19" s="35">
        <f>'CF'!B11/'IS'!B6</f>
        <v/>
      </c>
      <c r="C19" s="35">
        <f>'CF'!C11/'IS'!C6</f>
        <v/>
      </c>
      <c r="D19" s="35">
        <f>'CF'!D11/'IS'!D6</f>
        <v/>
      </c>
      <c r="E19" s="35">
        <f>'CF'!E11/'IS'!E6</f>
        <v/>
      </c>
      <c r="F19" s="3" t="n"/>
      <c r="G19" s="35">
        <f>'CF'!G11/'IS'!G6</f>
        <v/>
      </c>
      <c r="H19" s="35">
        <f>'CF'!H11/'IS'!H6</f>
        <v/>
      </c>
      <c r="I19" s="3" t="n"/>
      <c r="J19" s="35">
        <f>'CF'!J11/'IS'!J6</f>
        <v/>
      </c>
      <c r="K19" s="4" t="inlineStr">
        <is>
          <t>Carve-out SBC; mgmt guides 3–4% standalone [IR]</t>
        </is>
      </c>
    </row>
    <row r="20">
      <c r="A20" s="19" t="inlineStr">
        <is>
          <t>Net transfers to Parent % CFO</t>
        </is>
      </c>
      <c r="B20" s="35">
        <f>-'CF'!B32/'CF'!B22</f>
        <v/>
      </c>
      <c r="C20" s="35">
        <f>-'CF'!C32/'CF'!C22</f>
        <v/>
      </c>
      <c r="D20" s="35">
        <f>-'CF'!D32/'CF'!D22</f>
        <v/>
      </c>
      <c r="E20" s="3" t="n"/>
      <c r="F20" s="3" t="n"/>
      <c r="G20" s="35">
        <f>-'CF'!G32/'CF'!G22</f>
        <v/>
      </c>
      <c r="H20" s="3" t="n"/>
      <c r="I20" s="3" t="n"/>
      <c r="J20" s="35">
        <f>-'CF'!J32/'CF'!J22</f>
        <v/>
      </c>
      <c r="K20"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11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8" customWidth="1" min="11" max="11"/>
    <col hidden="1" width="13" customWidth="1" min="26" max="26"/>
  </cols>
  <sheetData>
    <row r="1" ht="20" customHeight="1">
      <c r="A1" s="1" t="inlineStr">
        <is>
          <t>Segment P&amp;L — uniform layout, CARFAX / B2B / Corporate (carve-out, as originally reported)</t>
        </is>
      </c>
      <c r="B1" s="2" t="n"/>
      <c r="C1" s="2" t="n"/>
      <c r="D1" s="2" t="n"/>
      <c r="E1" s="2" t="n"/>
      <c r="F1" s="2" t="n"/>
      <c r="G1" s="2" t="n"/>
      <c r="H1" s="2" t="n"/>
      <c r="I1" s="2" t="n"/>
      <c r="J1" s="2" t="n"/>
      <c r="K1" s="2" t="n"/>
      <c r="L1" s="3" t="n"/>
      <c r="M1" s="3" t="n"/>
      <c r="N1" s="3" t="n"/>
      <c r="O1" s="3" t="n"/>
      <c r="P1" s="3" t="n"/>
      <c r="Q1" s="3" t="n"/>
      <c r="R1" s="3" t="n"/>
      <c r="S1" s="3" t="n"/>
      <c r="T1" s="3" t="n"/>
      <c r="U1" s="3" t="n"/>
      <c r="V1" s="3" t="n"/>
      <c r="W1" s="3" t="n"/>
      <c r="X1" s="3" t="n"/>
      <c r="Y1" s="3" t="n"/>
      <c r="Z1" s="3" t="n"/>
    </row>
    <row r="2">
      <c r="A2" s="4" t="inlineStr">
        <is>
          <t>Same rows in every period. Uniform Adjusted EBITDA = segment operating profit + amortization + depreciation + SBC + special items (all printed). FY &amp; Q1: Form 10/A; Q2 &amp; 6M: 10-Q. Company Adj. EBITDA definition changed (10 → 6 exclusions) at Q2-2026; the uniform build re-expresses every period on one basis. Blue = as filed; black = formula; green = cross-sheet.</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9" t="inlineStr">
        <is>
          <t>USD millions unless stated</t>
        </is>
      </c>
      <c r="B4" s="29" t="inlineStr">
        <is>
          <t>FY2023
12/31/23</t>
        </is>
      </c>
      <c r="C4" s="29" t="inlineStr">
        <is>
          <t>FY2024
12/31/24</t>
        </is>
      </c>
      <c r="D4" s="29" t="inlineStr">
        <is>
          <t>FY2025
12/31/25</t>
        </is>
      </c>
      <c r="E4" s="29" t="inlineStr">
        <is>
          <t>Q1-25
3M 3/31/25</t>
        </is>
      </c>
      <c r="F4" s="29" t="inlineStr">
        <is>
          <t>Q2-25
3M 6/30/25</t>
        </is>
      </c>
      <c r="G4" s="29" t="inlineStr">
        <is>
          <t>6M-25
6/30/25</t>
        </is>
      </c>
      <c r="H4" s="29" t="inlineStr">
        <is>
          <t>Q1-26
3M 3/31/26</t>
        </is>
      </c>
      <c r="I4" s="29" t="inlineStr">
        <is>
          <t>Q2-26
3M 6/30/26</t>
        </is>
      </c>
      <c r="J4" s="29" t="inlineStr">
        <is>
          <t>6M-26
6/30/26</t>
        </is>
      </c>
      <c r="K4" s="29" t="inlineStr">
        <is>
          <t>Source / note</t>
        </is>
      </c>
      <c r="L4" s="3" t="n"/>
      <c r="M4" s="3" t="n"/>
      <c r="N4" s="3" t="n"/>
      <c r="O4" s="3" t="n"/>
      <c r="P4" s="3" t="n"/>
      <c r="Q4" s="3" t="n"/>
      <c r="R4" s="3" t="n"/>
      <c r="S4" s="3" t="n"/>
      <c r="T4" s="3" t="n"/>
      <c r="U4" s="3" t="n"/>
      <c r="V4" s="3" t="n"/>
      <c r="W4" s="3" t="n"/>
      <c r="X4" s="3" t="n"/>
      <c r="Y4" s="3" t="n"/>
      <c r="Z4" s="3" t="n"/>
    </row>
    <row r="5">
      <c r="A5" s="14" t="inlineStr">
        <is>
          <t>CARFAX segment</t>
        </is>
      </c>
      <c r="B5" s="15" t="n"/>
      <c r="C5" s="15" t="n"/>
      <c r="D5" s="15" t="n"/>
      <c r="E5" s="15" t="n"/>
      <c r="F5" s="15" t="n"/>
      <c r="G5" s="15" t="n"/>
      <c r="H5" s="15" t="n"/>
      <c r="I5" s="15" t="n"/>
      <c r="J5" s="15" t="n"/>
      <c r="K5" s="15" t="n"/>
      <c r="L5" s="3" t="n"/>
      <c r="M5" s="3" t="n"/>
      <c r="N5" s="3" t="n"/>
      <c r="O5" s="3" t="n"/>
      <c r="P5" s="3" t="n"/>
      <c r="Q5" s="3" t="n"/>
      <c r="R5" s="3" t="n"/>
      <c r="S5" s="3" t="n"/>
      <c r="T5" s="3" t="n"/>
      <c r="U5" s="3" t="n"/>
      <c r="V5" s="3" t="n"/>
      <c r="W5" s="3" t="n"/>
      <c r="X5" s="3" t="n"/>
      <c r="Y5" s="3" t="n"/>
      <c r="Z5" s="3" t="n"/>
    </row>
    <row r="6">
      <c r="A6" s="16" t="inlineStr">
        <is>
          <t>Revenue [D]</t>
        </is>
      </c>
      <c r="B6" s="18" t="n">
        <v>928</v>
      </c>
      <c r="C6" s="18" t="n">
        <v>1039</v>
      </c>
      <c r="D6" s="18" t="n">
        <v>1142</v>
      </c>
      <c r="E6" s="18" t="n">
        <v>275</v>
      </c>
      <c r="F6" s="18" t="n">
        <v>289</v>
      </c>
      <c r="G6" s="18" t="n">
        <v>564</v>
      </c>
      <c r="H6" s="18" t="n">
        <v>298</v>
      </c>
      <c r="I6" s="18" t="n">
        <v>312</v>
      </c>
      <c r="J6" s="18" t="n">
        <v>610</v>
      </c>
      <c r="K6" s="4" t="inlineStr">
        <is>
          <t>10Q_Q2-2026; Form10A_2026-05-27</t>
        </is>
      </c>
      <c r="L6" s="3" t="n"/>
      <c r="M6" s="3" t="n"/>
      <c r="N6" s="3" t="n"/>
      <c r="O6" s="3" t="n"/>
      <c r="P6" s="3" t="n"/>
      <c r="Q6" s="3" t="n"/>
      <c r="R6" s="3" t="n"/>
      <c r="S6" s="3" t="n"/>
      <c r="T6" s="3" t="n"/>
      <c r="U6" s="3" t="n"/>
      <c r="V6" s="3" t="n"/>
      <c r="W6" s="3" t="n"/>
      <c r="X6" s="3" t="n"/>
      <c r="Y6" s="3" t="n"/>
      <c r="Z6" s="3" t="n"/>
    </row>
    <row r="7">
      <c r="A7" s="36" t="inlineStr">
        <is>
          <t xml:space="preserve">  Revenue growth y/y [C]</t>
        </is>
      </c>
      <c r="B7" s="3" t="n"/>
      <c r="C7" s="20">
        <f>C6/B6-1</f>
        <v/>
      </c>
      <c r="D7" s="20">
        <f>D6/C6-1</f>
        <v/>
      </c>
      <c r="E7" s="3" t="n"/>
      <c r="F7" s="3" t="n"/>
      <c r="G7" s="3" t="n"/>
      <c r="H7" s="20">
        <f>H6/E6-1</f>
        <v/>
      </c>
      <c r="I7" s="20">
        <f>I6/F6-1</f>
        <v/>
      </c>
      <c r="J7" s="20">
        <f>J6/G6-1</f>
        <v/>
      </c>
      <c r="K7" s="4" t="inlineStr">
        <is>
          <t>[C]</t>
        </is>
      </c>
      <c r="L7" s="3" t="n"/>
      <c r="M7" s="3" t="n"/>
      <c r="N7" s="3" t="n"/>
      <c r="O7" s="3" t="n"/>
      <c r="P7" s="3" t="n"/>
      <c r="Q7" s="3" t="n"/>
      <c r="R7" s="3" t="n"/>
      <c r="S7" s="3" t="n"/>
      <c r="T7" s="3" t="n"/>
      <c r="U7" s="3" t="n"/>
      <c r="V7" s="3" t="n"/>
      <c r="W7" s="3" t="n"/>
      <c r="X7" s="3" t="n"/>
      <c r="Y7" s="3" t="n"/>
      <c r="Z7" s="3" t="n"/>
    </row>
    <row r="8">
      <c r="A8" s="19" t="inlineStr">
        <is>
          <t xml:space="preserve">  Subscription [D]</t>
        </is>
      </c>
      <c r="B8" s="30" t="n">
        <v>748</v>
      </c>
      <c r="C8" s="30" t="n">
        <v>843</v>
      </c>
      <c r="D8" s="30" t="n">
        <v>927</v>
      </c>
      <c r="E8" s="30" t="n">
        <v>225</v>
      </c>
      <c r="F8" s="30" t="n">
        <v>234</v>
      </c>
      <c r="G8" s="30" t="n">
        <v>459</v>
      </c>
      <c r="H8" s="30" t="n">
        <v>242</v>
      </c>
      <c r="I8" s="30" t="n">
        <v>252</v>
      </c>
      <c r="J8" s="30" t="n">
        <v>494</v>
      </c>
      <c r="K8" s="4" t="inlineStr">
        <is>
          <t>10Q_Q2-2026; Form10A_2026-05-27</t>
        </is>
      </c>
      <c r="L8" s="3" t="n"/>
      <c r="M8" s="3" t="n"/>
      <c r="N8" s="3" t="n"/>
      <c r="O8" s="3" t="n"/>
      <c r="P8" s="3" t="n"/>
      <c r="Q8" s="3" t="n"/>
      <c r="R8" s="3" t="n"/>
      <c r="S8" s="3" t="n"/>
      <c r="T8" s="3" t="n"/>
      <c r="U8" s="3" t="n"/>
      <c r="V8" s="3" t="n"/>
      <c r="W8" s="3" t="n"/>
      <c r="X8" s="3" t="n"/>
      <c r="Y8" s="3" t="n"/>
      <c r="Z8" s="3" t="n"/>
    </row>
    <row r="9">
      <c r="A9" s="19" t="inlineStr">
        <is>
          <t xml:space="preserve">  Non-subscription [D]</t>
        </is>
      </c>
      <c r="B9" s="30" t="n">
        <v>180</v>
      </c>
      <c r="C9" s="30" t="n">
        <v>196</v>
      </c>
      <c r="D9" s="30" t="n">
        <v>215</v>
      </c>
      <c r="E9" s="30" t="n">
        <v>50</v>
      </c>
      <c r="F9" s="30" t="n">
        <v>55</v>
      </c>
      <c r="G9" s="30" t="n">
        <v>105</v>
      </c>
      <c r="H9" s="30" t="n">
        <v>56</v>
      </c>
      <c r="I9" s="30" t="n">
        <v>60</v>
      </c>
      <c r="J9" s="30" t="n">
        <v>116</v>
      </c>
      <c r="K9" s="4" t="inlineStr">
        <is>
          <t>10Q_Q2-2026; Form10A_2026-05-27</t>
        </is>
      </c>
      <c r="L9" s="3" t="n"/>
      <c r="M9" s="3" t="n"/>
      <c r="N9" s="3" t="n"/>
      <c r="O9" s="3" t="n"/>
      <c r="P9" s="3" t="n"/>
      <c r="Q9" s="3" t="n"/>
      <c r="R9" s="3" t="n"/>
      <c r="S9" s="3" t="n"/>
      <c r="T9" s="3" t="n"/>
      <c r="U9" s="3" t="n"/>
      <c r="V9" s="3" t="n"/>
      <c r="W9" s="3" t="n"/>
      <c r="X9" s="3" t="n"/>
      <c r="Y9" s="3" t="n"/>
      <c r="Z9" s="3" t="n"/>
    </row>
    <row r="10">
      <c r="A10" s="36" t="inlineStr">
        <is>
          <t xml:space="preserve">  Subscription share [C]</t>
        </is>
      </c>
      <c r="B10" s="20">
        <f>B8/B6</f>
        <v/>
      </c>
      <c r="C10" s="20">
        <f>C8/C6</f>
        <v/>
      </c>
      <c r="D10" s="20">
        <f>D8/D6</f>
        <v/>
      </c>
      <c r="E10" s="20">
        <f>E8/E6</f>
        <v/>
      </c>
      <c r="F10" s="20">
        <f>F8/F6</f>
        <v/>
      </c>
      <c r="G10" s="20">
        <f>G8/G6</f>
        <v/>
      </c>
      <c r="H10" s="20">
        <f>H8/H6</f>
        <v/>
      </c>
      <c r="I10" s="20">
        <f>I8/I6</f>
        <v/>
      </c>
      <c r="J10" s="20">
        <f>J8/J6</f>
        <v/>
      </c>
      <c r="K10" s="4" t="inlineStr">
        <is>
          <t>[C]</t>
        </is>
      </c>
      <c r="L10" s="3" t="n"/>
      <c r="M10" s="3" t="n"/>
      <c r="N10" s="3" t="n"/>
      <c r="O10" s="3" t="n"/>
      <c r="P10" s="3" t="n"/>
      <c r="Q10" s="3" t="n"/>
      <c r="R10" s="3" t="n"/>
      <c r="S10" s="3" t="n"/>
      <c r="T10" s="3" t="n"/>
      <c r="U10" s="3" t="n"/>
      <c r="V10" s="3" t="n"/>
      <c r="W10" s="3" t="n"/>
      <c r="X10" s="3" t="n"/>
      <c r="Y10" s="3" t="n"/>
      <c r="Z10" s="3" t="n"/>
    </row>
    <row r="11">
      <c r="A11" s="19" t="inlineStr">
        <is>
          <t xml:space="preserve">  U.S. [D]</t>
        </is>
      </c>
      <c r="B11" s="30" t="n">
        <v>791</v>
      </c>
      <c r="C11" s="30" t="n">
        <v>884</v>
      </c>
      <c r="D11" s="30" t="n">
        <v>974</v>
      </c>
      <c r="E11" s="30" t="n">
        <v>236</v>
      </c>
      <c r="F11" s="30" t="n">
        <v>246</v>
      </c>
      <c r="G11" s="30" t="n">
        <v>482</v>
      </c>
      <c r="H11" s="30" t="n">
        <v>253</v>
      </c>
      <c r="I11" s="30" t="n">
        <v>265</v>
      </c>
      <c r="J11" s="30" t="n">
        <v>518</v>
      </c>
      <c r="K11" s="4" t="inlineStr">
        <is>
          <t>10Q_Q2-2026; Form10A_2026-05-27</t>
        </is>
      </c>
      <c r="L11" s="3" t="n"/>
      <c r="M11" s="3" t="n"/>
      <c r="N11" s="3" t="n"/>
      <c r="O11" s="3" t="n"/>
      <c r="P11" s="3" t="n"/>
      <c r="Q11" s="3" t="n"/>
      <c r="R11" s="3" t="n"/>
      <c r="S11" s="3" t="n"/>
      <c r="T11" s="3" t="n"/>
      <c r="U11" s="3" t="n"/>
      <c r="V11" s="3" t="n"/>
      <c r="W11" s="3" t="n"/>
      <c r="X11" s="3" t="n"/>
      <c r="Y11" s="3" t="n"/>
      <c r="Z11" s="3" t="n"/>
    </row>
    <row r="12">
      <c r="A12" s="19" t="inlineStr">
        <is>
          <t xml:space="preserve">  International [D]</t>
        </is>
      </c>
      <c r="B12" s="30" t="n">
        <v>137</v>
      </c>
      <c r="C12" s="30" t="n">
        <v>155</v>
      </c>
      <c r="D12" s="30" t="n">
        <v>168</v>
      </c>
      <c r="E12" s="30" t="n">
        <v>39</v>
      </c>
      <c r="F12" s="30" t="n">
        <v>43</v>
      </c>
      <c r="G12" s="30" t="n">
        <v>82</v>
      </c>
      <c r="H12" s="30" t="n">
        <v>45</v>
      </c>
      <c r="I12" s="30" t="n">
        <v>47</v>
      </c>
      <c r="J12" s="30" t="n">
        <v>92</v>
      </c>
      <c r="K12" s="4" t="inlineStr">
        <is>
          <t>10Q_Q2-2026; Form10A_2026-05-27</t>
        </is>
      </c>
      <c r="L12" s="3" t="n"/>
      <c r="M12" s="3" t="n"/>
      <c r="N12" s="3" t="n"/>
      <c r="O12" s="3" t="n"/>
      <c r="P12" s="3" t="n"/>
      <c r="Q12" s="3" t="n"/>
      <c r="R12" s="3" t="n"/>
      <c r="S12" s="3" t="n"/>
      <c r="T12" s="3" t="n"/>
      <c r="U12" s="3" t="n"/>
      <c r="V12" s="3" t="n"/>
      <c r="W12" s="3" t="n"/>
      <c r="X12" s="3" t="n"/>
      <c r="Y12" s="3" t="n"/>
      <c r="Z12" s="3" t="n"/>
    </row>
    <row r="13">
      <c r="A13" s="36" t="inlineStr">
        <is>
          <t xml:space="preserve">  International growth y/y [C]</t>
        </is>
      </c>
      <c r="B13" s="3" t="n"/>
      <c r="C13" s="20">
        <f>C12/B12-1</f>
        <v/>
      </c>
      <c r="D13" s="20">
        <f>D12/C12-1</f>
        <v/>
      </c>
      <c r="E13" s="3" t="n"/>
      <c r="F13" s="3" t="n"/>
      <c r="G13" s="3" t="n"/>
      <c r="H13" s="20">
        <f>H12/E12-1</f>
        <v/>
      </c>
      <c r="I13" s="20">
        <f>I12/F12-1</f>
        <v/>
      </c>
      <c r="J13" s="20">
        <f>J12/G12-1</f>
        <v/>
      </c>
      <c r="K13" s="4" t="inlineStr">
        <is>
          <t>[C]</t>
        </is>
      </c>
      <c r="L13" s="3" t="n"/>
      <c r="M13" s="3" t="n"/>
      <c r="N13" s="3" t="n"/>
      <c r="O13" s="3" t="n"/>
      <c r="P13" s="3" t="n"/>
      <c r="Q13" s="3" t="n"/>
      <c r="R13" s="3" t="n"/>
      <c r="S13" s="3" t="n"/>
      <c r="T13" s="3" t="n"/>
      <c r="U13" s="3" t="n"/>
      <c r="V13" s="3" t="n"/>
      <c r="W13" s="3" t="n"/>
      <c r="X13" s="3" t="n"/>
      <c r="Y13" s="3" t="n"/>
      <c r="Z13" s="3" t="n"/>
    </row>
    <row r="14">
      <c r="A14" s="19" t="inlineStr">
        <is>
          <t>Memo: operating-related expenses (FY &amp; Q1 only — not split in 10-Q) [D]</t>
        </is>
      </c>
      <c r="B14" s="30" t="n">
        <v>221</v>
      </c>
      <c r="C14" s="30" t="n">
        <v>243</v>
      </c>
      <c r="D14" s="30" t="n">
        <v>258</v>
      </c>
      <c r="E14" s="30" t="n">
        <v>63</v>
      </c>
      <c r="F14" s="3" t="n"/>
      <c r="G14" s="3" t="n"/>
      <c r="H14" s="30" t="n">
        <v>68</v>
      </c>
      <c r="I14" s="3" t="n"/>
      <c r="J14" s="3" t="n"/>
      <c r="K14" s="4" t="inlineStr">
        <is>
          <t>Form10A_2026-05-27</t>
        </is>
      </c>
      <c r="L14" s="3" t="n"/>
      <c r="M14" s="3" t="n"/>
      <c r="N14" s="3" t="n"/>
      <c r="O14" s="3" t="n"/>
      <c r="P14" s="3" t="n"/>
      <c r="Q14" s="3" t="n"/>
      <c r="R14" s="3" t="n"/>
      <c r="S14" s="3" t="n"/>
      <c r="T14" s="3" t="n"/>
      <c r="U14" s="3" t="n"/>
      <c r="V14" s="3" t="n"/>
      <c r="W14" s="3" t="n"/>
      <c r="X14" s="3" t="n"/>
      <c r="Y14" s="3" t="n"/>
      <c r="Z14" s="3" t="n"/>
    </row>
    <row r="15">
      <c r="A15" s="19" t="inlineStr">
        <is>
          <t>Memo: selling &amp; general expenses (FY &amp; Q1 only) [D]</t>
        </is>
      </c>
      <c r="B15" s="30" t="n">
        <v>300</v>
      </c>
      <c r="C15" s="30" t="n">
        <v>339</v>
      </c>
      <c r="D15" s="30" t="n">
        <v>363</v>
      </c>
      <c r="E15" s="30" t="n">
        <v>85</v>
      </c>
      <c r="F15" s="3" t="n"/>
      <c r="G15" s="3" t="n"/>
      <c r="H15" s="30" t="n">
        <v>91</v>
      </c>
      <c r="I15" s="3" t="n"/>
      <c r="J15" s="3" t="n"/>
      <c r="K15" s="4" t="inlineStr">
        <is>
          <t>Form10A_2026-05-27</t>
        </is>
      </c>
      <c r="L15" s="3" t="n"/>
      <c r="M15" s="3" t="n"/>
      <c r="N15" s="3" t="n"/>
      <c r="O15" s="3" t="n"/>
      <c r="P15" s="3" t="n"/>
      <c r="Q15" s="3" t="n"/>
      <c r="R15" s="3" t="n"/>
      <c r="S15" s="3" t="n"/>
      <c r="T15" s="3" t="n"/>
      <c r="U15" s="3" t="n"/>
      <c r="V15" s="3" t="n"/>
      <c r="W15" s="3" t="n"/>
      <c r="X15" s="3" t="n"/>
      <c r="Y15" s="3" t="n"/>
      <c r="Z15" s="3" t="n"/>
    </row>
    <row r="16">
      <c r="A16" s="16" t="inlineStr">
        <is>
          <t>Segment operating profit (GAAP) [D]</t>
        </is>
      </c>
      <c r="B16" s="18" t="n">
        <v>210</v>
      </c>
      <c r="C16" s="18" t="n">
        <v>259</v>
      </c>
      <c r="D16" s="18" t="n">
        <v>322</v>
      </c>
      <c r="E16" s="18" t="n">
        <v>77</v>
      </c>
      <c r="F16" s="18" t="n">
        <v>89</v>
      </c>
      <c r="G16" s="18" t="n">
        <v>166</v>
      </c>
      <c r="H16" s="18" t="n">
        <v>89</v>
      </c>
      <c r="I16" s="18" t="n">
        <v>101</v>
      </c>
      <c r="J16" s="18" t="n">
        <v>190</v>
      </c>
      <c r="K16" s="4" t="inlineStr">
        <is>
          <t>10Q_Q2-2026; Form10A_2026-05-27</t>
        </is>
      </c>
      <c r="L16" s="3" t="n"/>
      <c r="M16" s="3" t="n"/>
      <c r="N16" s="3" t="n"/>
      <c r="O16" s="3" t="n"/>
      <c r="P16" s="3" t="n"/>
      <c r="Q16" s="3" t="n"/>
      <c r="R16" s="3" t="n"/>
      <c r="S16" s="3" t="n"/>
      <c r="T16" s="3" t="n"/>
      <c r="U16" s="3" t="n"/>
      <c r="V16" s="3" t="n"/>
      <c r="W16" s="3" t="n"/>
      <c r="X16" s="3" t="n"/>
      <c r="Y16" s="3" t="n"/>
      <c r="Z16" s="3" t="n"/>
    </row>
    <row r="17">
      <c r="A17" s="36" t="inlineStr">
        <is>
          <t xml:space="preserve">  Operating margin [C]</t>
        </is>
      </c>
      <c r="B17" s="20">
        <f>B16/B6</f>
        <v/>
      </c>
      <c r="C17" s="20">
        <f>C16/C6</f>
        <v/>
      </c>
      <c r="D17" s="20">
        <f>D16/D6</f>
        <v/>
      </c>
      <c r="E17" s="20">
        <f>E16/E6</f>
        <v/>
      </c>
      <c r="F17" s="20">
        <f>F16/F6</f>
        <v/>
      </c>
      <c r="G17" s="20">
        <f>G16/G6</f>
        <v/>
      </c>
      <c r="H17" s="20">
        <f>H16/H6</f>
        <v/>
      </c>
      <c r="I17" s="20">
        <f>I16/I6</f>
        <v/>
      </c>
      <c r="J17" s="20">
        <f>J16/J6</f>
        <v/>
      </c>
      <c r="K17" s="4" t="inlineStr">
        <is>
          <t>[C]</t>
        </is>
      </c>
      <c r="L17" s="3" t="n"/>
      <c r="M17" s="3" t="n"/>
      <c r="N17" s="3" t="n"/>
      <c r="O17" s="3" t="n"/>
      <c r="P17" s="3" t="n"/>
      <c r="Q17" s="3" t="n"/>
      <c r="R17" s="3" t="n"/>
      <c r="S17" s="3" t="n"/>
      <c r="T17" s="3" t="n"/>
      <c r="U17" s="3" t="n"/>
      <c r="V17" s="3" t="n"/>
      <c r="W17" s="3" t="n"/>
      <c r="X17" s="3" t="n"/>
      <c r="Y17" s="3" t="n"/>
      <c r="Z17" s="3" t="n"/>
    </row>
    <row r="18">
      <c r="A18" s="19" t="inlineStr">
        <is>
          <t xml:space="preserve">  + Amortization of acquired intangibles [D]</t>
        </is>
      </c>
      <c r="B18" s="30" t="n">
        <v>190</v>
      </c>
      <c r="C18" s="30" t="n">
        <v>190</v>
      </c>
      <c r="D18" s="30" t="n">
        <v>189</v>
      </c>
      <c r="E18" s="30" t="n">
        <v>47</v>
      </c>
      <c r="F18" s="30" t="n">
        <v>48</v>
      </c>
      <c r="G18" s="30" t="n">
        <v>95</v>
      </c>
      <c r="H18" s="30" t="n">
        <v>47</v>
      </c>
      <c r="I18" s="30" t="n">
        <v>48</v>
      </c>
      <c r="J18" s="30" t="n">
        <v>95</v>
      </c>
      <c r="K18" s="4" t="inlineStr">
        <is>
          <t>10Q_Q2-2026; Form10A_2026-05-27</t>
        </is>
      </c>
      <c r="L18" s="3" t="n"/>
      <c r="M18" s="3" t="n"/>
      <c r="N18" s="3" t="n"/>
      <c r="O18" s="3" t="n"/>
      <c r="P18" s="3" t="n"/>
      <c r="Q18" s="3" t="n"/>
      <c r="R18" s="3" t="n"/>
      <c r="S18" s="3" t="n"/>
      <c r="T18" s="3" t="n"/>
      <c r="U18" s="3" t="n"/>
      <c r="V18" s="3" t="n"/>
      <c r="W18" s="3" t="n"/>
      <c r="X18" s="3" t="n"/>
      <c r="Y18" s="3" t="n"/>
      <c r="Z18" s="3" t="n"/>
    </row>
    <row r="19">
      <c r="A19" s="19" t="inlineStr">
        <is>
          <t xml:space="preserve">  + Depreciation [D]</t>
        </is>
      </c>
      <c r="B19" s="30" t="n">
        <v>8</v>
      </c>
      <c r="C19" s="30" t="n">
        <v>9</v>
      </c>
      <c r="D19" s="30" t="n">
        <v>9</v>
      </c>
      <c r="E19" s="30" t="n">
        <v>3</v>
      </c>
      <c r="F19" s="30" t="n">
        <v>2</v>
      </c>
      <c r="G19" s="30" t="n">
        <v>5</v>
      </c>
      <c r="H19" s="30" t="n">
        <v>3</v>
      </c>
      <c r="I19" s="30" t="n">
        <v>2</v>
      </c>
      <c r="J19" s="30" t="n">
        <v>5</v>
      </c>
      <c r="K19" s="4" t="inlineStr">
        <is>
          <t>10Q_Q2-2026; Form10A_2026-05-27</t>
        </is>
      </c>
      <c r="L19" s="3" t="n"/>
      <c r="M19" s="3" t="n"/>
      <c r="N19" s="3" t="n"/>
      <c r="O19" s="3" t="n"/>
      <c r="P19" s="3" t="n"/>
      <c r="Q19" s="3" t="n"/>
      <c r="R19" s="3" t="n"/>
      <c r="S19" s="3" t="n"/>
      <c r="T19" s="3" t="n"/>
      <c r="U19" s="3" t="n"/>
      <c r="V19" s="3" t="n"/>
      <c r="W19" s="3" t="n"/>
      <c r="X19" s="3" t="n"/>
      <c r="Y19" s="3" t="n"/>
      <c r="Z19" s="3" t="n"/>
    </row>
    <row r="20">
      <c r="A20" s="19" t="inlineStr">
        <is>
          <t xml:space="preserve">  + Stock-based compensation [D]</t>
        </is>
      </c>
      <c r="B20" s="30" t="n">
        <v>14</v>
      </c>
      <c r="C20" s="30" t="n">
        <v>18</v>
      </c>
      <c r="D20" s="30" t="n">
        <v>13</v>
      </c>
      <c r="E20" s="30" t="n">
        <v>3</v>
      </c>
      <c r="F20" s="30" t="n">
        <v>2</v>
      </c>
      <c r="G20" s="30" t="n">
        <v>5</v>
      </c>
      <c r="H20" s="30" t="n">
        <v>1</v>
      </c>
      <c r="I20" s="30" t="n">
        <v>2</v>
      </c>
      <c r="J20" s="30" t="n">
        <v>3</v>
      </c>
      <c r="K20" s="4" t="inlineStr">
        <is>
          <t>10Q_Q2-2026; Form10A_2026-05-27</t>
        </is>
      </c>
      <c r="L20" s="3" t="n"/>
      <c r="M20" s="3" t="n"/>
      <c r="N20" s="3" t="n"/>
      <c r="O20" s="3" t="n"/>
      <c r="P20" s="3" t="n"/>
      <c r="Q20" s="3" t="n"/>
      <c r="R20" s="3" t="n"/>
      <c r="S20" s="3" t="n"/>
      <c r="T20" s="3" t="n"/>
      <c r="U20" s="3" t="n"/>
      <c r="V20" s="3" t="n"/>
      <c r="W20" s="3" t="n"/>
      <c r="X20" s="3" t="n"/>
      <c r="Y20" s="3" t="n"/>
      <c r="Z20" s="3" t="n"/>
    </row>
    <row r="21">
      <c r="A21" s="19" t="inlineStr">
        <is>
          <t xml:space="preserve">  + Transaction (separation) costs [D]</t>
        </is>
      </c>
      <c r="B21" s="3" t="n"/>
      <c r="C21" s="3" t="n"/>
      <c r="D21" s="3" t="n"/>
      <c r="E21" s="3" t="n"/>
      <c r="F21" s="30" t="n">
        <v>0</v>
      </c>
      <c r="G21" s="30" t="n">
        <v>0</v>
      </c>
      <c r="H21" s="3" t="n"/>
      <c r="I21" s="30" t="n">
        <v>0</v>
      </c>
      <c r="J21" s="30" t="n">
        <v>0</v>
      </c>
      <c r="K21" s="4" t="inlineStr">
        <is>
          <t>10Q_Q2-2026</t>
        </is>
      </c>
      <c r="L21" s="3" t="n"/>
      <c r="M21" s="3" t="n"/>
      <c r="N21" s="3" t="n"/>
      <c r="O21" s="3" t="n"/>
      <c r="P21" s="3" t="n"/>
      <c r="Q21" s="3" t="n"/>
      <c r="R21" s="3" t="n"/>
      <c r="S21" s="3" t="n"/>
      <c r="T21" s="3" t="n"/>
      <c r="U21" s="3" t="n"/>
      <c r="V21" s="3" t="n"/>
      <c r="W21" s="3" t="n"/>
      <c r="X21" s="3" t="n"/>
      <c r="Y21" s="3" t="n"/>
      <c r="Z21" s="3" t="n"/>
    </row>
    <row r="22">
      <c r="A22" s="19" t="inlineStr">
        <is>
          <t xml:space="preserve">  + Employee severance &amp; other [D]</t>
        </is>
      </c>
      <c r="B22" s="3" t="n"/>
      <c r="C22" s="3" t="n"/>
      <c r="D22" s="30" t="n">
        <v>2</v>
      </c>
      <c r="E22" s="3" t="n"/>
      <c r="F22" s="30" t="n">
        <v>1</v>
      </c>
      <c r="G22" s="30" t="n">
        <v>1</v>
      </c>
      <c r="H22" s="3" t="n"/>
      <c r="I22" s="30" t="n">
        <v>0</v>
      </c>
      <c r="J22" s="30" t="n">
        <v>0</v>
      </c>
      <c r="K22" s="4" t="inlineStr">
        <is>
          <t>10Q_Q2-2026; Form10A_2026-05-27</t>
        </is>
      </c>
      <c r="L22" s="3" t="n"/>
      <c r="M22" s="3" t="n"/>
      <c r="N22" s="3" t="n"/>
      <c r="O22" s="3" t="n"/>
      <c r="P22" s="3" t="n"/>
      <c r="Q22" s="3" t="n"/>
      <c r="R22" s="3" t="n"/>
      <c r="S22" s="3" t="n"/>
      <c r="T22" s="3" t="n"/>
      <c r="U22" s="3" t="n"/>
      <c r="V22" s="3" t="n"/>
      <c r="W22" s="3" t="n"/>
      <c r="X22" s="3" t="n"/>
      <c r="Y22" s="3" t="n"/>
      <c r="Z22" s="3" t="n"/>
    </row>
    <row r="23">
      <c r="A23" s="19" t="inlineStr">
        <is>
          <t xml:space="preserve">  + Acquisition / integration / legal recovery / ELT [D]</t>
        </is>
      </c>
      <c r="B23" s="3" t="n"/>
      <c r="C23" s="3" t="n"/>
      <c r="D23" s="3" t="n"/>
      <c r="E23" s="3" t="n"/>
      <c r="F23" s="3" t="n"/>
      <c r="G23" s="3" t="n"/>
      <c r="H23" s="3" t="n"/>
      <c r="I23" s="3" t="n"/>
      <c r="J23" s="3" t="n"/>
      <c r="K23" s="4" t="inlineStr"/>
      <c r="L23" s="3" t="n"/>
      <c r="M23" s="3" t="n"/>
      <c r="N23" s="3" t="n"/>
      <c r="O23" s="3" t="n"/>
      <c r="P23" s="3" t="n"/>
      <c r="Q23" s="3" t="n"/>
      <c r="R23" s="3" t="n"/>
      <c r="S23" s="3" t="n"/>
      <c r="T23" s="3" t="n"/>
      <c r="U23" s="3" t="n"/>
      <c r="V23" s="3" t="n"/>
      <c r="W23" s="3" t="n"/>
      <c r="X23" s="3" t="n"/>
      <c r="Y23" s="3" t="n"/>
      <c r="Z23" s="3" t="n"/>
    </row>
    <row r="24">
      <c r="A24" s="31" t="inlineStr">
        <is>
          <t>Adjusted EBITDA — uniform build [C]</t>
        </is>
      </c>
      <c r="B24" s="24">
        <f>B16+B18+B19+B20+B21+B22+B23</f>
        <v/>
      </c>
      <c r="C24" s="24">
        <f>C16+C18+C19+C20+C21+C22+C23</f>
        <v/>
      </c>
      <c r="D24" s="24">
        <f>D16+D18+D19+D20+D21+D22+D23</f>
        <v/>
      </c>
      <c r="E24" s="24">
        <f>E16+E18+E19+E20+E21+E22+E23</f>
        <v/>
      </c>
      <c r="F24" s="24">
        <f>F16+F18+F19+F20+F21+F22+F23</f>
        <v/>
      </c>
      <c r="G24" s="24">
        <f>G16+G18+G19+G20+G21+G22+G23</f>
        <v/>
      </c>
      <c r="H24" s="24">
        <f>H16+H18+H19+H20+H21+H22+H23</f>
        <v/>
      </c>
      <c r="I24" s="24">
        <f>I16+I18+I19+I20+I21+I22+I23</f>
        <v/>
      </c>
      <c r="J24" s="24">
        <f>J16+J18+J19+J20+J21+J22+J23</f>
        <v/>
      </c>
      <c r="K24" s="4" t="inlineStr">
        <is>
          <t>Operating profit + all printed add-backs</t>
        </is>
      </c>
      <c r="L24" s="3" t="n"/>
      <c r="M24" s="3" t="n"/>
      <c r="N24" s="3" t="n"/>
      <c r="O24" s="3" t="n"/>
      <c r="P24" s="3" t="n"/>
      <c r="Q24" s="3" t="n"/>
      <c r="R24" s="3" t="n"/>
      <c r="S24" s="3" t="n"/>
      <c r="T24" s="3" t="n"/>
      <c r="U24" s="3" t="n"/>
      <c r="V24" s="3" t="n"/>
      <c r="W24" s="3" t="n"/>
      <c r="X24" s="3" t="n"/>
      <c r="Y24" s="3" t="n"/>
      <c r="Z24" s="3" t="n"/>
    </row>
    <row r="25">
      <c r="A25" s="19" t="inlineStr">
        <is>
          <t>Adjusted EBITDA — as reported by the company [D]</t>
        </is>
      </c>
      <c r="B25" s="30" t="n">
        <v>422</v>
      </c>
      <c r="C25" s="30" t="n">
        <v>476</v>
      </c>
      <c r="D25" s="30" t="n">
        <v>536</v>
      </c>
      <c r="E25" s="30" t="n">
        <v>130</v>
      </c>
      <c r="F25" s="30" t="n">
        <v>142</v>
      </c>
      <c r="G25" s="30" t="n">
        <v>272</v>
      </c>
      <c r="H25" s="30" t="n">
        <v>140</v>
      </c>
      <c r="I25" s="30" t="n">
        <v>153</v>
      </c>
      <c r="J25" s="30" t="n">
        <v>293</v>
      </c>
      <c r="K25" s="4" t="inlineStr">
        <is>
          <t>FY/Q1: Form 10/A "Segment Adjusted EBITDA" (10-exclusion def.); Q2/6M: 10-Q (6-exclusion def.). 10Q_Q2-2026; Form10A_2026-05-27</t>
        </is>
      </c>
      <c r="L25" s="3" t="n"/>
      <c r="M25" s="3" t="n"/>
      <c r="N25" s="3" t="n"/>
      <c r="O25" s="3" t="n"/>
      <c r="P25" s="3" t="n"/>
      <c r="Q25" s="3" t="n"/>
      <c r="R25" s="3" t="n"/>
      <c r="S25" s="3" t="n"/>
      <c r="T25" s="3" t="n"/>
      <c r="U25" s="3" t="n"/>
      <c r="V25" s="3" t="n"/>
      <c r="W25" s="3" t="n"/>
      <c r="X25" s="3" t="n"/>
      <c r="Y25" s="3" t="n"/>
      <c r="Z25" s="3" t="n"/>
    </row>
    <row r="26">
      <c r="A26" s="25" t="inlineStr">
        <is>
          <t>CHECK uniform build − reported</t>
        </is>
      </c>
      <c r="B26" s="27">
        <f>B24-B25</f>
        <v/>
      </c>
      <c r="C26" s="27">
        <f>C24-C25</f>
        <v/>
      </c>
      <c r="D26" s="25" t="inlineStr">
        <is>
          <t>n/a</t>
        </is>
      </c>
      <c r="E26" s="27">
        <f>E24-E25</f>
        <v/>
      </c>
      <c r="F26" s="27">
        <f>F24-F25</f>
        <v/>
      </c>
      <c r="G26" s="27">
        <f>G24-G25</f>
        <v/>
      </c>
      <c r="H26" s="27">
        <f>H24-H25</f>
        <v/>
      </c>
      <c r="I26" s="27">
        <f>I24-I25</f>
        <v/>
      </c>
      <c r="J26" s="27">
        <f>J24-J25</f>
        <v/>
      </c>
      <c r="K26" s="4" t="inlineStr">
        <is>
          <t>n/a: segment split of FY2025 "Other" ($2m total) not legible</t>
        </is>
      </c>
      <c r="L26" s="3" t="n"/>
      <c r="M26" s="3" t="n"/>
      <c r="N26" s="3" t="n"/>
      <c r="O26" s="3" t="n"/>
      <c r="P26" s="3" t="n"/>
      <c r="Q26" s="3" t="n"/>
      <c r="R26" s="3" t="n"/>
      <c r="S26" s="3" t="n"/>
      <c r="T26" s="3" t="n"/>
      <c r="U26" s="3" t="n"/>
      <c r="V26" s="3" t="n"/>
      <c r="W26" s="3" t="n"/>
      <c r="X26" s="3" t="n"/>
      <c r="Y26" s="3" t="n"/>
      <c r="Z26" s="3" t="inlineStr">
        <is>
          <t>CHECK</t>
        </is>
      </c>
    </row>
    <row r="27">
      <c r="A27" s="31" t="inlineStr">
        <is>
          <t xml:space="preserve">  Adjusted EBITDA margin [C]</t>
        </is>
      </c>
      <c r="B27" s="37">
        <f>B25/B6</f>
        <v/>
      </c>
      <c r="C27" s="37">
        <f>C25/C6</f>
        <v/>
      </c>
      <c r="D27" s="37">
        <f>D25/D6</f>
        <v/>
      </c>
      <c r="E27" s="37">
        <f>E25/E6</f>
        <v/>
      </c>
      <c r="F27" s="37">
        <f>F25/F6</f>
        <v/>
      </c>
      <c r="G27" s="37">
        <f>G25/G6</f>
        <v/>
      </c>
      <c r="H27" s="37">
        <f>H25/H6</f>
        <v/>
      </c>
      <c r="I27" s="37">
        <f>I25/I6</f>
        <v/>
      </c>
      <c r="J27" s="37">
        <f>J25/J6</f>
        <v/>
      </c>
      <c r="K27" s="4" t="inlineStr">
        <is>
          <t>[C]</t>
        </is>
      </c>
      <c r="L27" s="3" t="n"/>
      <c r="M27" s="3" t="n"/>
      <c r="N27" s="3" t="n"/>
      <c r="O27" s="3" t="n"/>
      <c r="P27" s="3" t="n"/>
      <c r="Q27" s="3" t="n"/>
      <c r="R27" s="3" t="n"/>
      <c r="S27" s="3" t="n"/>
      <c r="T27" s="3" t="n"/>
      <c r="U27" s="3" t="n"/>
      <c r="V27" s="3" t="n"/>
      <c r="W27" s="3" t="n"/>
      <c r="X27" s="3" t="n"/>
      <c r="Y27" s="3" t="n"/>
      <c r="Z27" s="3" t="n"/>
    </row>
    <row r="28">
      <c r="A28" s="36" t="inlineStr">
        <is>
          <t xml:space="preserve">  Adjusted EBITDA growth y/y [C]</t>
        </is>
      </c>
      <c r="B28" s="3" t="n"/>
      <c r="C28" s="20">
        <f>C25/B25-1</f>
        <v/>
      </c>
      <c r="D28" s="20">
        <f>D25/C25-1</f>
        <v/>
      </c>
      <c r="E28" s="3" t="n"/>
      <c r="F28" s="3" t="n"/>
      <c r="G28" s="3" t="n"/>
      <c r="H28" s="20">
        <f>H25/E25-1</f>
        <v/>
      </c>
      <c r="I28" s="20">
        <f>I25/F25-1</f>
        <v/>
      </c>
      <c r="J28" s="20">
        <f>J25/G25-1</f>
        <v/>
      </c>
      <c r="K28" s="4" t="inlineStr">
        <is>
          <t>[C]</t>
        </is>
      </c>
      <c r="L28" s="3" t="n"/>
      <c r="M28" s="3" t="n"/>
      <c r="N28" s="3" t="n"/>
      <c r="O28" s="3" t="n"/>
      <c r="P28" s="3" t="n"/>
      <c r="Q28" s="3" t="n"/>
      <c r="R28" s="3" t="n"/>
      <c r="S28" s="3" t="n"/>
      <c r="T28" s="3" t="n"/>
      <c r="U28" s="3" t="n"/>
      <c r="V28" s="3" t="n"/>
      <c r="W28" s="3" t="n"/>
      <c r="X28" s="3" t="n"/>
      <c r="Y28" s="3" t="n"/>
      <c r="Z28" s="3" t="n"/>
    </row>
    <row r="29">
      <c r="A29" s="36" t="inlineStr">
        <is>
          <t xml:space="preserve">  Incremental Adj. EBITDA margin (Δ EBITDA / Δ revenue) [C]</t>
        </is>
      </c>
      <c r="B29" s="3" t="n"/>
      <c r="C29" s="20">
        <f>(C25-B25)/(C6-B6)</f>
        <v/>
      </c>
      <c r="D29" s="20">
        <f>(D25-C25)/(D6-C6)</f>
        <v/>
      </c>
      <c r="E29" s="3" t="n"/>
      <c r="F29" s="3" t="n"/>
      <c r="G29" s="3" t="n"/>
      <c r="H29" s="20">
        <f>(H25-E25)/(H6-E6)</f>
        <v/>
      </c>
      <c r="I29" s="20">
        <f>(I25-F25)/(I6-F6)</f>
        <v/>
      </c>
      <c r="J29" s="20">
        <f>(J25-G25)/(J6-G6)</f>
        <v/>
      </c>
      <c r="K29" s="4" t="inlineStr">
        <is>
          <t>[C]</t>
        </is>
      </c>
      <c r="L29" s="3" t="n"/>
      <c r="M29" s="3" t="n"/>
      <c r="N29" s="3" t="n"/>
      <c r="O29" s="3" t="n"/>
      <c r="P29" s="3" t="n"/>
      <c r="Q29" s="3" t="n"/>
      <c r="R29" s="3" t="n"/>
      <c r="S29" s="3" t="n"/>
      <c r="T29" s="3" t="n"/>
      <c r="U29" s="3" t="n"/>
      <c r="V29" s="3" t="n"/>
      <c r="W29" s="3" t="n"/>
      <c r="X29" s="3" t="n"/>
      <c r="Y29" s="3" t="n"/>
      <c r="Z29" s="3" t="n"/>
    </row>
    <row r="30">
      <c r="A30" s="36" t="inlineStr">
        <is>
          <t xml:space="preserve">  Cash operating costs = revenue − Adj. EBITDA [C]</t>
        </is>
      </c>
      <c r="B30" s="23">
        <f>B6-B25</f>
        <v/>
      </c>
      <c r="C30" s="23">
        <f>C6-C25</f>
        <v/>
      </c>
      <c r="D30" s="23">
        <f>D6-D25</f>
        <v/>
      </c>
      <c r="E30" s="23">
        <f>E6-E25</f>
        <v/>
      </c>
      <c r="F30" s="23">
        <f>F6-F25</f>
        <v/>
      </c>
      <c r="G30" s="23">
        <f>G6-G25</f>
        <v/>
      </c>
      <c r="H30" s="23">
        <f>H6-H25</f>
        <v/>
      </c>
      <c r="I30" s="23">
        <f>I6-I25</f>
        <v/>
      </c>
      <c r="J30" s="23">
        <f>J6-J25</f>
        <v/>
      </c>
      <c r="K30" s="4" t="inlineStr">
        <is>
          <t>[C]</t>
        </is>
      </c>
      <c r="L30" s="3" t="n"/>
      <c r="M30" s="3" t="n"/>
      <c r="N30" s="3" t="n"/>
      <c r="O30" s="3" t="n"/>
      <c r="P30" s="3" t="n"/>
      <c r="Q30" s="3" t="n"/>
      <c r="R30" s="3" t="n"/>
      <c r="S30" s="3" t="n"/>
      <c r="T30" s="3" t="n"/>
      <c r="U30" s="3" t="n"/>
      <c r="V30" s="3" t="n"/>
      <c r="W30" s="3" t="n"/>
      <c r="X30" s="3" t="n"/>
      <c r="Y30" s="3" t="n"/>
      <c r="Z30" s="3" t="n"/>
    </row>
    <row r="31">
      <c r="A31" s="36" t="inlineStr">
        <is>
          <t xml:space="preserve">  D&amp;A % revenue [C]</t>
        </is>
      </c>
      <c r="B31" s="20">
        <f>(B18+B19)/B6</f>
        <v/>
      </c>
      <c r="C31" s="20">
        <f>(C18+C19)/C6</f>
        <v/>
      </c>
      <c r="D31" s="20">
        <f>(D18+D19)/D6</f>
        <v/>
      </c>
      <c r="E31" s="20">
        <f>(E18+E19)/E6</f>
        <v/>
      </c>
      <c r="F31" s="20">
        <f>(F18+F19)/F6</f>
        <v/>
      </c>
      <c r="G31" s="20">
        <f>(G18+G19)/G6</f>
        <v/>
      </c>
      <c r="H31" s="20">
        <f>(H18+H19)/H6</f>
        <v/>
      </c>
      <c r="I31" s="20">
        <f>(I18+I19)/I6</f>
        <v/>
      </c>
      <c r="J31" s="20">
        <f>(J18+J19)/J6</f>
        <v/>
      </c>
      <c r="K31" s="4" t="inlineStr">
        <is>
          <t>[C]</t>
        </is>
      </c>
      <c r="L31" s="3" t="n"/>
      <c r="M31" s="3" t="n"/>
      <c r="N31" s="3" t="n"/>
      <c r="O31" s="3" t="n"/>
      <c r="P31" s="3" t="n"/>
      <c r="Q31" s="3" t="n"/>
      <c r="R31" s="3" t="n"/>
      <c r="S31" s="3" t="n"/>
      <c r="T31" s="3" t="n"/>
      <c r="U31" s="3" t="n"/>
      <c r="V31" s="3" t="n"/>
      <c r="W31" s="3" t="n"/>
      <c r="X31" s="3" t="n"/>
      <c r="Y31" s="3" t="n"/>
      <c r="Z31" s="3" t="n"/>
    </row>
    <row r="32">
      <c r="A32" s="36" t="inlineStr">
        <is>
          <t xml:space="preserve">  SBC % revenue [C]</t>
        </is>
      </c>
      <c r="B32" s="20">
        <f>B20/B6</f>
        <v/>
      </c>
      <c r="C32" s="20">
        <f>C20/C6</f>
        <v/>
      </c>
      <c r="D32" s="20">
        <f>D20/D6</f>
        <v/>
      </c>
      <c r="E32" s="20">
        <f>E20/E6</f>
        <v/>
      </c>
      <c r="F32" s="20">
        <f>F20/F6</f>
        <v/>
      </c>
      <c r="G32" s="20">
        <f>G20/G6</f>
        <v/>
      </c>
      <c r="H32" s="20">
        <f>H20/H6</f>
        <v/>
      </c>
      <c r="I32" s="20">
        <f>I20/I6</f>
        <v/>
      </c>
      <c r="J32" s="20">
        <f>J20/J6</f>
        <v/>
      </c>
      <c r="K32" s="4" t="inlineStr">
        <is>
          <t>[C]</t>
        </is>
      </c>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14" t="inlineStr">
        <is>
          <t>B2B segment (Marketing &amp; Sales; Strategy &amp; Planning)</t>
        </is>
      </c>
      <c r="B34" s="15" t="n"/>
      <c r="C34" s="15" t="n"/>
      <c r="D34" s="15" t="n"/>
      <c r="E34" s="15" t="n"/>
      <c r="F34" s="15" t="n"/>
      <c r="G34" s="15" t="n"/>
      <c r="H34" s="15" t="n"/>
      <c r="I34" s="15" t="n"/>
      <c r="J34" s="15" t="n"/>
      <c r="K34" s="15" t="n"/>
      <c r="L34" s="3" t="n"/>
      <c r="M34" s="3" t="n"/>
      <c r="N34" s="3" t="n"/>
      <c r="O34" s="3" t="n"/>
      <c r="P34" s="3" t="n"/>
      <c r="Q34" s="3" t="n"/>
      <c r="R34" s="3" t="n"/>
      <c r="S34" s="3" t="n"/>
      <c r="T34" s="3" t="n"/>
      <c r="U34" s="3" t="n"/>
      <c r="V34" s="3" t="n"/>
      <c r="W34" s="3" t="n"/>
      <c r="X34" s="3" t="n"/>
      <c r="Y34" s="3" t="n"/>
      <c r="Z34" s="3" t="n"/>
    </row>
    <row r="35">
      <c r="A35" s="16" t="inlineStr">
        <is>
          <t>Revenue [D]</t>
        </is>
      </c>
      <c r="B35" s="18" t="n">
        <v>557</v>
      </c>
      <c r="C35" s="18" t="n">
        <v>574</v>
      </c>
      <c r="D35" s="18" t="n">
        <v>608</v>
      </c>
      <c r="E35" s="18" t="n">
        <v>145</v>
      </c>
      <c r="F35" s="18" t="n">
        <v>150</v>
      </c>
      <c r="G35" s="18" t="n">
        <v>295</v>
      </c>
      <c r="H35" s="18" t="n">
        <v>157</v>
      </c>
      <c r="I35" s="18" t="n">
        <v>156</v>
      </c>
      <c r="J35" s="18" t="n">
        <v>313</v>
      </c>
      <c r="K35" s="4" t="inlineStr">
        <is>
          <t>10Q_Q2-2026; Form10A_2026-05-27</t>
        </is>
      </c>
      <c r="L35" s="3" t="n"/>
      <c r="M35" s="3" t="n"/>
      <c r="N35" s="3" t="n"/>
      <c r="O35" s="3" t="n"/>
      <c r="P35" s="3" t="n"/>
      <c r="Q35" s="3" t="n"/>
      <c r="R35" s="3" t="n"/>
      <c r="S35" s="3" t="n"/>
      <c r="T35" s="3" t="n"/>
      <c r="U35" s="3" t="n"/>
      <c r="V35" s="3" t="n"/>
      <c r="W35" s="3" t="n"/>
      <c r="X35" s="3" t="n"/>
      <c r="Y35" s="3" t="n"/>
      <c r="Z35" s="3" t="n"/>
    </row>
    <row r="36">
      <c r="A36" s="36" t="inlineStr">
        <is>
          <t xml:space="preserve">  Revenue growth y/y [C]</t>
        </is>
      </c>
      <c r="B36" s="3" t="n"/>
      <c r="C36" s="20">
        <f>C35/B35-1</f>
        <v/>
      </c>
      <c r="D36" s="20">
        <f>D35/C35-1</f>
        <v/>
      </c>
      <c r="E36" s="3" t="n"/>
      <c r="F36" s="3" t="n"/>
      <c r="G36" s="3" t="n"/>
      <c r="H36" s="20">
        <f>H35/E35-1</f>
        <v/>
      </c>
      <c r="I36" s="20">
        <f>I35/F35-1</f>
        <v/>
      </c>
      <c r="J36" s="20">
        <f>J35/G35-1</f>
        <v/>
      </c>
      <c r="K36" s="4" t="inlineStr">
        <is>
          <t>[C]</t>
        </is>
      </c>
      <c r="L36" s="3" t="n"/>
      <c r="M36" s="3" t="n"/>
      <c r="N36" s="3" t="n"/>
      <c r="O36" s="3" t="n"/>
      <c r="P36" s="3" t="n"/>
      <c r="Q36" s="3" t="n"/>
      <c r="R36" s="3" t="n"/>
      <c r="S36" s="3" t="n"/>
      <c r="T36" s="3" t="n"/>
      <c r="U36" s="3" t="n"/>
      <c r="V36" s="3" t="n"/>
      <c r="W36" s="3" t="n"/>
      <c r="X36" s="3" t="n"/>
      <c r="Y36" s="3" t="n"/>
      <c r="Z36" s="3" t="n"/>
    </row>
    <row r="37">
      <c r="A37" s="19" t="inlineStr">
        <is>
          <t xml:space="preserve">  Subscription [D]</t>
        </is>
      </c>
      <c r="B37" s="30" t="n">
        <v>422</v>
      </c>
      <c r="C37" s="30" t="n">
        <v>460</v>
      </c>
      <c r="D37" s="30" t="n">
        <v>499</v>
      </c>
      <c r="E37" s="30" t="n">
        <v>118</v>
      </c>
      <c r="F37" s="30" t="n">
        <v>124</v>
      </c>
      <c r="G37" s="30" t="n">
        <v>242</v>
      </c>
      <c r="H37" s="30" t="n">
        <v>130</v>
      </c>
      <c r="I37" s="30" t="n">
        <v>131</v>
      </c>
      <c r="J37" s="30" t="n">
        <v>261</v>
      </c>
      <c r="K37" s="4" t="inlineStr">
        <is>
          <t>10Q_Q2-2026; Form10A_2026-05-27</t>
        </is>
      </c>
      <c r="L37" s="3" t="n"/>
      <c r="M37" s="3" t="n"/>
      <c r="N37" s="3" t="n"/>
      <c r="O37" s="3" t="n"/>
      <c r="P37" s="3" t="n"/>
      <c r="Q37" s="3" t="n"/>
      <c r="R37" s="3" t="n"/>
      <c r="S37" s="3" t="n"/>
      <c r="T37" s="3" t="n"/>
      <c r="U37" s="3" t="n"/>
      <c r="V37" s="3" t="n"/>
      <c r="W37" s="3" t="n"/>
      <c r="X37" s="3" t="n"/>
      <c r="Y37" s="3" t="n"/>
      <c r="Z37" s="3" t="n"/>
    </row>
    <row r="38">
      <c r="A38" s="19" t="inlineStr">
        <is>
          <t xml:space="preserve">  Non-subscription [D]</t>
        </is>
      </c>
      <c r="B38" s="30" t="n">
        <v>135</v>
      </c>
      <c r="C38" s="30" t="n">
        <v>114</v>
      </c>
      <c r="D38" s="30" t="n">
        <v>109</v>
      </c>
      <c r="E38" s="30" t="n">
        <v>27</v>
      </c>
      <c r="F38" s="30" t="n">
        <v>26</v>
      </c>
      <c r="G38" s="30" t="n">
        <v>53</v>
      </c>
      <c r="H38" s="30" t="n">
        <v>27</v>
      </c>
      <c r="I38" s="30" t="n">
        <v>25</v>
      </c>
      <c r="J38" s="30" t="n">
        <v>52</v>
      </c>
      <c r="K38" s="4" t="inlineStr">
        <is>
          <t>10Q_Q2-2026; Form10A_2026-05-27</t>
        </is>
      </c>
      <c r="L38" s="3" t="n"/>
      <c r="M38" s="3" t="n"/>
      <c r="N38" s="3" t="n"/>
      <c r="O38" s="3" t="n"/>
      <c r="P38" s="3" t="n"/>
      <c r="Q38" s="3" t="n"/>
      <c r="R38" s="3" t="n"/>
      <c r="S38" s="3" t="n"/>
      <c r="T38" s="3" t="n"/>
      <c r="U38" s="3" t="n"/>
      <c r="V38" s="3" t="n"/>
      <c r="W38" s="3" t="n"/>
      <c r="X38" s="3" t="n"/>
      <c r="Y38" s="3" t="n"/>
      <c r="Z38" s="3" t="n"/>
    </row>
    <row r="39">
      <c r="A39" s="36" t="inlineStr">
        <is>
          <t xml:space="preserve">  Subscription share [C]</t>
        </is>
      </c>
      <c r="B39" s="20">
        <f>B37/B35</f>
        <v/>
      </c>
      <c r="C39" s="20">
        <f>C37/C35</f>
        <v/>
      </c>
      <c r="D39" s="20">
        <f>D37/D35</f>
        <v/>
      </c>
      <c r="E39" s="20">
        <f>E37/E35</f>
        <v/>
      </c>
      <c r="F39" s="20">
        <f>F37/F35</f>
        <v/>
      </c>
      <c r="G39" s="20">
        <f>G37/G35</f>
        <v/>
      </c>
      <c r="H39" s="20">
        <f>H37/H35</f>
        <v/>
      </c>
      <c r="I39" s="20">
        <f>I37/I35</f>
        <v/>
      </c>
      <c r="J39" s="20">
        <f>J37/J35</f>
        <v/>
      </c>
      <c r="K39" s="4" t="inlineStr">
        <is>
          <t>[C]</t>
        </is>
      </c>
      <c r="L39" s="3" t="n"/>
      <c r="M39" s="3" t="n"/>
      <c r="N39" s="3" t="n"/>
      <c r="O39" s="3" t="n"/>
      <c r="P39" s="3" t="n"/>
      <c r="Q39" s="3" t="n"/>
      <c r="R39" s="3" t="n"/>
      <c r="S39" s="3" t="n"/>
      <c r="T39" s="3" t="n"/>
      <c r="U39" s="3" t="n"/>
      <c r="V39" s="3" t="n"/>
      <c r="W39" s="3" t="n"/>
      <c r="X39" s="3" t="n"/>
      <c r="Y39" s="3" t="n"/>
      <c r="Z39" s="3" t="n"/>
    </row>
    <row r="40">
      <c r="A40" s="19" t="inlineStr">
        <is>
          <t xml:space="preserve">  U.S. [D]</t>
        </is>
      </c>
      <c r="B40" s="30" t="n">
        <v>433</v>
      </c>
      <c r="C40" s="30" t="n">
        <v>445</v>
      </c>
      <c r="D40" s="30" t="n">
        <v>480</v>
      </c>
      <c r="E40" s="30" t="n">
        <v>114</v>
      </c>
      <c r="F40" s="30" t="n">
        <v>119</v>
      </c>
      <c r="G40" s="30" t="n">
        <v>233</v>
      </c>
      <c r="H40" s="30" t="n">
        <v>123</v>
      </c>
      <c r="I40" s="30" t="n">
        <v>124</v>
      </c>
      <c r="J40" s="30" t="n">
        <v>247</v>
      </c>
      <c r="K40" s="4" t="inlineStr">
        <is>
          <t>10Q_Q2-2026; Form10A_2026-05-27</t>
        </is>
      </c>
      <c r="L40" s="3" t="n"/>
      <c r="M40" s="3" t="n"/>
      <c r="N40" s="3" t="n"/>
      <c r="O40" s="3" t="n"/>
      <c r="P40" s="3" t="n"/>
      <c r="Q40" s="3" t="n"/>
      <c r="R40" s="3" t="n"/>
      <c r="S40" s="3" t="n"/>
      <c r="T40" s="3" t="n"/>
      <c r="U40" s="3" t="n"/>
      <c r="V40" s="3" t="n"/>
      <c r="W40" s="3" t="n"/>
      <c r="X40" s="3" t="n"/>
      <c r="Y40" s="3" t="n"/>
      <c r="Z40" s="3" t="n"/>
    </row>
    <row r="41">
      <c r="A41" s="19" t="inlineStr">
        <is>
          <t xml:space="preserve">  International [D]</t>
        </is>
      </c>
      <c r="B41" s="30" t="n">
        <v>124</v>
      </c>
      <c r="C41" s="30" t="n">
        <v>129</v>
      </c>
      <c r="D41" s="30" t="n">
        <v>128</v>
      </c>
      <c r="E41" s="30" t="n">
        <v>31</v>
      </c>
      <c r="F41" s="30" t="n">
        <v>31</v>
      </c>
      <c r="G41" s="30" t="n">
        <v>62</v>
      </c>
      <c r="H41" s="30" t="n">
        <v>34</v>
      </c>
      <c r="I41" s="30" t="n">
        <v>32</v>
      </c>
      <c r="J41" s="30" t="n">
        <v>66</v>
      </c>
      <c r="K41" s="4" t="inlineStr">
        <is>
          <t>10Q_Q2-2026; Form10A_2026-05-27</t>
        </is>
      </c>
      <c r="L41" s="3" t="n"/>
      <c r="M41" s="3" t="n"/>
      <c r="N41" s="3" t="n"/>
      <c r="O41" s="3" t="n"/>
      <c r="P41" s="3" t="n"/>
      <c r="Q41" s="3" t="n"/>
      <c r="R41" s="3" t="n"/>
      <c r="S41" s="3" t="n"/>
      <c r="T41" s="3" t="n"/>
      <c r="U41" s="3" t="n"/>
      <c r="V41" s="3" t="n"/>
      <c r="W41" s="3" t="n"/>
      <c r="X41" s="3" t="n"/>
      <c r="Y41" s="3" t="n"/>
      <c r="Z41" s="3" t="n"/>
    </row>
    <row r="42">
      <c r="A42" s="36" t="inlineStr">
        <is>
          <t xml:space="preserve">  International growth y/y [C]</t>
        </is>
      </c>
      <c r="B42" s="3" t="n"/>
      <c r="C42" s="20">
        <f>C41/B41-1</f>
        <v/>
      </c>
      <c r="D42" s="20">
        <f>D41/C41-1</f>
        <v/>
      </c>
      <c r="E42" s="3" t="n"/>
      <c r="F42" s="3" t="n"/>
      <c r="G42" s="3" t="n"/>
      <c r="H42" s="20">
        <f>H41/E41-1</f>
        <v/>
      </c>
      <c r="I42" s="20">
        <f>I41/F41-1</f>
        <v/>
      </c>
      <c r="J42" s="20">
        <f>J41/G41-1</f>
        <v/>
      </c>
      <c r="K42" s="4" t="inlineStr">
        <is>
          <t>[C]</t>
        </is>
      </c>
      <c r="L42" s="3" t="n"/>
      <c r="M42" s="3" t="n"/>
      <c r="N42" s="3" t="n"/>
      <c r="O42" s="3" t="n"/>
      <c r="P42" s="3" t="n"/>
      <c r="Q42" s="3" t="n"/>
      <c r="R42" s="3" t="n"/>
      <c r="S42" s="3" t="n"/>
      <c r="T42" s="3" t="n"/>
      <c r="U42" s="3" t="n"/>
      <c r="V42" s="3" t="n"/>
      <c r="W42" s="3" t="n"/>
      <c r="X42" s="3" t="n"/>
      <c r="Y42" s="3" t="n"/>
      <c r="Z42" s="3" t="n"/>
    </row>
    <row r="43">
      <c r="A43" s="19" t="inlineStr">
        <is>
          <t>Memo: operating-related expenses (FY &amp; Q1 only — not split in 10-Q) [D]</t>
        </is>
      </c>
      <c r="B43" s="30" t="n">
        <v>227</v>
      </c>
      <c r="C43" s="30" t="n">
        <v>232</v>
      </c>
      <c r="D43" s="30" t="n">
        <v>258</v>
      </c>
      <c r="E43" s="30" t="n">
        <v>64</v>
      </c>
      <c r="F43" s="3" t="n"/>
      <c r="G43" s="3" t="n"/>
      <c r="H43" s="30" t="n">
        <v>68</v>
      </c>
      <c r="I43" s="3" t="n"/>
      <c r="J43" s="3" t="n"/>
      <c r="K43" s="4" t="inlineStr">
        <is>
          <t>Form10A_2026-05-27</t>
        </is>
      </c>
      <c r="L43" s="3" t="n"/>
      <c r="M43" s="3" t="n"/>
      <c r="N43" s="3" t="n"/>
      <c r="O43" s="3" t="n"/>
      <c r="P43" s="3" t="n"/>
      <c r="Q43" s="3" t="n"/>
      <c r="R43" s="3" t="n"/>
      <c r="S43" s="3" t="n"/>
      <c r="T43" s="3" t="n"/>
      <c r="U43" s="3" t="n"/>
      <c r="V43" s="3" t="n"/>
      <c r="W43" s="3" t="n"/>
      <c r="X43" s="3" t="n"/>
      <c r="Y43" s="3" t="n"/>
      <c r="Z43" s="3" t="n"/>
    </row>
    <row r="44">
      <c r="A44" s="19" t="inlineStr">
        <is>
          <t>Memo: selling &amp; general expenses (FY &amp; Q1 only) [D]</t>
        </is>
      </c>
      <c r="B44" s="30" t="n">
        <v>159</v>
      </c>
      <c r="C44" s="30" t="n">
        <v>162</v>
      </c>
      <c r="D44" s="30" t="n">
        <v>177</v>
      </c>
      <c r="E44" s="30" t="n">
        <v>39</v>
      </c>
      <c r="F44" s="3" t="n"/>
      <c r="G44" s="3" t="n"/>
      <c r="H44" s="30" t="n">
        <v>56</v>
      </c>
      <c r="I44" s="3" t="n"/>
      <c r="J44" s="3" t="n"/>
      <c r="K44" s="4" t="inlineStr">
        <is>
          <t>Form10A_2026-05-27</t>
        </is>
      </c>
      <c r="L44" s="3" t="n"/>
      <c r="M44" s="3" t="n"/>
      <c r="N44" s="3" t="n"/>
      <c r="O44" s="3" t="n"/>
      <c r="P44" s="3" t="n"/>
      <c r="Q44" s="3" t="n"/>
      <c r="R44" s="3" t="n"/>
      <c r="S44" s="3" t="n"/>
      <c r="T44" s="3" t="n"/>
      <c r="U44" s="3" t="n"/>
      <c r="V44" s="3" t="n"/>
      <c r="W44" s="3" t="n"/>
      <c r="X44" s="3" t="n"/>
      <c r="Y44" s="3" t="n"/>
      <c r="Z44" s="3" t="n"/>
    </row>
    <row r="45">
      <c r="A45" s="16" t="inlineStr">
        <is>
          <t>Segment operating profit (GAAP) [D]</t>
        </is>
      </c>
      <c r="B45" s="18" t="n">
        <v>61</v>
      </c>
      <c r="C45" s="18" t="n">
        <v>69</v>
      </c>
      <c r="D45" s="18" t="n">
        <v>62</v>
      </c>
      <c r="E45" s="18" t="n">
        <v>14</v>
      </c>
      <c r="F45" s="18" t="n">
        <v>16</v>
      </c>
      <c r="G45" s="18" t="n">
        <v>30</v>
      </c>
      <c r="H45" s="18" t="n">
        <v>5</v>
      </c>
      <c r="I45" s="18" t="n">
        <v>3</v>
      </c>
      <c r="J45" s="18" t="n">
        <v>8</v>
      </c>
      <c r="K45" s="4" t="inlineStr">
        <is>
          <t>10Q_Q2-2026; Form10A_2026-05-27</t>
        </is>
      </c>
      <c r="L45" s="3" t="n"/>
      <c r="M45" s="3" t="n"/>
      <c r="N45" s="3" t="n"/>
      <c r="O45" s="3" t="n"/>
      <c r="P45" s="3" t="n"/>
      <c r="Q45" s="3" t="n"/>
      <c r="R45" s="3" t="n"/>
      <c r="S45" s="3" t="n"/>
      <c r="T45" s="3" t="n"/>
      <c r="U45" s="3" t="n"/>
      <c r="V45" s="3" t="n"/>
      <c r="W45" s="3" t="n"/>
      <c r="X45" s="3" t="n"/>
      <c r="Y45" s="3" t="n"/>
      <c r="Z45" s="3" t="n"/>
    </row>
    <row r="46">
      <c r="A46" s="36" t="inlineStr">
        <is>
          <t xml:space="preserve">  Operating margin [C]</t>
        </is>
      </c>
      <c r="B46" s="20">
        <f>B45/B35</f>
        <v/>
      </c>
      <c r="C46" s="20">
        <f>C45/C35</f>
        <v/>
      </c>
      <c r="D46" s="20">
        <f>D45/D35</f>
        <v/>
      </c>
      <c r="E46" s="20">
        <f>E45/E35</f>
        <v/>
      </c>
      <c r="F46" s="20">
        <f>F45/F35</f>
        <v/>
      </c>
      <c r="G46" s="20">
        <f>G45/G35</f>
        <v/>
      </c>
      <c r="H46" s="20">
        <f>H45/H35</f>
        <v/>
      </c>
      <c r="I46" s="20">
        <f>I45/I35</f>
        <v/>
      </c>
      <c r="J46" s="20">
        <f>J45/J35</f>
        <v/>
      </c>
      <c r="K46" s="4" t="inlineStr">
        <is>
          <t>[C]</t>
        </is>
      </c>
      <c r="L46" s="3" t="n"/>
      <c r="M46" s="3" t="n"/>
      <c r="N46" s="3" t="n"/>
      <c r="O46" s="3" t="n"/>
      <c r="P46" s="3" t="n"/>
      <c r="Q46" s="3" t="n"/>
      <c r="R46" s="3" t="n"/>
      <c r="S46" s="3" t="n"/>
      <c r="T46" s="3" t="n"/>
      <c r="U46" s="3" t="n"/>
      <c r="V46" s="3" t="n"/>
      <c r="W46" s="3" t="n"/>
      <c r="X46" s="3" t="n"/>
      <c r="Y46" s="3" t="n"/>
      <c r="Z46" s="3" t="n"/>
    </row>
    <row r="47">
      <c r="A47" s="19" t="inlineStr">
        <is>
          <t xml:space="preserve">  + Amortization of acquired intangibles [D]</t>
        </is>
      </c>
      <c r="B47" s="30" t="n">
        <v>106</v>
      </c>
      <c r="C47" s="30" t="n">
        <v>107</v>
      </c>
      <c r="D47" s="30" t="n">
        <v>107</v>
      </c>
      <c r="E47" s="30" t="n">
        <v>27</v>
      </c>
      <c r="F47" s="30" t="n">
        <v>26</v>
      </c>
      <c r="G47" s="30" t="n">
        <v>53</v>
      </c>
      <c r="H47" s="30" t="n">
        <v>27</v>
      </c>
      <c r="I47" s="30" t="n">
        <v>26</v>
      </c>
      <c r="J47" s="30" t="n">
        <v>53</v>
      </c>
      <c r="K47" s="4" t="inlineStr">
        <is>
          <t>10Q_Q2-2026; Form10A_2026-05-27</t>
        </is>
      </c>
      <c r="L47" s="3" t="n"/>
      <c r="M47" s="3" t="n"/>
      <c r="N47" s="3" t="n"/>
      <c r="O47" s="3" t="n"/>
      <c r="P47" s="3" t="n"/>
      <c r="Q47" s="3" t="n"/>
      <c r="R47" s="3" t="n"/>
      <c r="S47" s="3" t="n"/>
      <c r="T47" s="3" t="n"/>
      <c r="U47" s="3" t="n"/>
      <c r="V47" s="3" t="n"/>
      <c r="W47" s="3" t="n"/>
      <c r="X47" s="3" t="n"/>
      <c r="Y47" s="3" t="n"/>
      <c r="Z47" s="3" t="n"/>
    </row>
    <row r="48">
      <c r="A48" s="19" t="inlineStr">
        <is>
          <t xml:space="preserve">  + Depreciation [D]</t>
        </is>
      </c>
      <c r="B48" s="30" t="n">
        <v>4</v>
      </c>
      <c r="C48" s="30" t="n">
        <v>4</v>
      </c>
      <c r="D48" s="30" t="n">
        <v>5</v>
      </c>
      <c r="E48" s="30" t="n">
        <v>1</v>
      </c>
      <c r="F48" s="30" t="n">
        <v>1</v>
      </c>
      <c r="G48" s="30" t="n">
        <v>2</v>
      </c>
      <c r="H48" s="3" t="n"/>
      <c r="I48" s="30" t="n">
        <v>1</v>
      </c>
      <c r="J48" s="30" t="n">
        <v>2</v>
      </c>
      <c r="K48" s="4" t="inlineStr">
        <is>
          <t>10Q_Q2-2026; Form10A_2026-05-27</t>
        </is>
      </c>
      <c r="L48" s="3" t="n"/>
      <c r="M48" s="3" t="n"/>
      <c r="N48" s="3" t="n"/>
      <c r="O48" s="3" t="n"/>
      <c r="P48" s="3" t="n"/>
      <c r="Q48" s="3" t="n"/>
      <c r="R48" s="3" t="n"/>
      <c r="S48" s="3" t="n"/>
      <c r="T48" s="3" t="n"/>
      <c r="U48" s="3" t="n"/>
      <c r="V48" s="3" t="n"/>
      <c r="W48" s="3" t="n"/>
      <c r="X48" s="3" t="n"/>
      <c r="Y48" s="3" t="n"/>
      <c r="Z48" s="3" t="n"/>
    </row>
    <row r="49">
      <c r="A49" s="19" t="inlineStr">
        <is>
          <t xml:space="preserve">  + Stock-based compensation [D]</t>
        </is>
      </c>
      <c r="B49" s="30" t="n">
        <v>6</v>
      </c>
      <c r="C49" s="30" t="n">
        <v>10</v>
      </c>
      <c r="D49" s="30" t="n">
        <v>9</v>
      </c>
      <c r="E49" s="30" t="n">
        <v>2</v>
      </c>
      <c r="F49" s="30" t="n">
        <v>2</v>
      </c>
      <c r="G49" s="30" t="n">
        <v>4</v>
      </c>
      <c r="H49" s="30" t="n">
        <v>3</v>
      </c>
      <c r="I49" s="30" t="n">
        <v>3</v>
      </c>
      <c r="J49" s="30" t="n">
        <v>6</v>
      </c>
      <c r="K49" s="4" t="inlineStr">
        <is>
          <t>10Q_Q2-2026; Form10A_2026-05-27; Form10_2026-05-07</t>
        </is>
      </c>
      <c r="L49" s="3" t="n"/>
      <c r="M49" s="3" t="n"/>
      <c r="N49" s="3" t="n"/>
      <c r="O49" s="3" t="n"/>
      <c r="P49" s="3" t="n"/>
      <c r="Q49" s="3" t="n"/>
      <c r="R49" s="3" t="n"/>
      <c r="S49" s="3" t="n"/>
      <c r="T49" s="3" t="n"/>
      <c r="U49" s="3" t="n"/>
      <c r="V49" s="3" t="n"/>
      <c r="W49" s="3" t="n"/>
      <c r="X49" s="3" t="n"/>
      <c r="Y49" s="3" t="n"/>
      <c r="Z49" s="3" t="n"/>
    </row>
    <row r="50">
      <c r="A50" s="19" t="inlineStr">
        <is>
          <t xml:space="preserve">  + Transaction (separation) costs [D]</t>
        </is>
      </c>
      <c r="B50" s="3" t="n"/>
      <c r="C50" s="3" t="n"/>
      <c r="D50" s="30" t="n">
        <v>9</v>
      </c>
      <c r="E50" s="3" t="n"/>
      <c r="F50" s="30" t="n">
        <v>0</v>
      </c>
      <c r="G50" s="30" t="n">
        <v>0</v>
      </c>
      <c r="H50" s="30" t="n">
        <v>13</v>
      </c>
      <c r="I50" s="30" t="n">
        <v>20</v>
      </c>
      <c r="J50" s="30" t="n">
        <v>33</v>
      </c>
      <c r="K50" s="4" t="inlineStr">
        <is>
          <t>10Q_Q2-2026; Form10A_2026-05-27</t>
        </is>
      </c>
      <c r="L50" s="3" t="n"/>
      <c r="M50" s="3" t="n"/>
      <c r="N50" s="3" t="n"/>
      <c r="O50" s="3" t="n"/>
      <c r="P50" s="3" t="n"/>
      <c r="Q50" s="3" t="n"/>
      <c r="R50" s="3" t="n"/>
      <c r="S50" s="3" t="n"/>
      <c r="T50" s="3" t="n"/>
      <c r="U50" s="3" t="n"/>
      <c r="V50" s="3" t="n"/>
      <c r="W50" s="3" t="n"/>
      <c r="X50" s="3" t="n"/>
      <c r="Y50" s="3" t="n"/>
      <c r="Z50" s="3" t="n"/>
    </row>
    <row r="51">
      <c r="A51" s="19" t="inlineStr">
        <is>
          <t xml:space="preserve">  + Employee severance &amp; other [D]</t>
        </is>
      </c>
      <c r="B51" s="30" t="n">
        <v>9</v>
      </c>
      <c r="C51" s="30" t="n">
        <v>7</v>
      </c>
      <c r="D51" s="30" t="n">
        <v>13</v>
      </c>
      <c r="E51" s="3" t="n"/>
      <c r="F51" s="30" t="n">
        <v>4</v>
      </c>
      <c r="G51" s="30" t="n">
        <v>4</v>
      </c>
      <c r="H51" s="3" t="n"/>
      <c r="I51" s="30" t="n">
        <v>0</v>
      </c>
      <c r="J51" s="30" t="n">
        <v>0</v>
      </c>
      <c r="K51" s="4" t="inlineStr">
        <is>
          <t>10Q_Q2-2026; Form10A_2026-05-27</t>
        </is>
      </c>
      <c r="L51" s="3" t="n"/>
      <c r="M51" s="3" t="n"/>
      <c r="N51" s="3" t="n"/>
      <c r="O51" s="3" t="n"/>
      <c r="P51" s="3" t="n"/>
      <c r="Q51" s="3" t="n"/>
      <c r="R51" s="3" t="n"/>
      <c r="S51" s="3" t="n"/>
      <c r="T51" s="3" t="n"/>
      <c r="U51" s="3" t="n"/>
      <c r="V51" s="3" t="n"/>
      <c r="W51" s="3" t="n"/>
      <c r="X51" s="3" t="n"/>
      <c r="Y51" s="3" t="n"/>
      <c r="Z51" s="3" t="n"/>
    </row>
    <row r="52">
      <c r="A52" s="19" t="inlineStr">
        <is>
          <t xml:space="preserve">  + Acquisition / integration / legal recovery / ELT [D]</t>
        </is>
      </c>
      <c r="B52" s="30" t="n">
        <v>5</v>
      </c>
      <c r="C52" s="30" t="n">
        <v>6</v>
      </c>
      <c r="D52" s="30" t="n">
        <v>-8</v>
      </c>
      <c r="E52" s="3" t="n"/>
      <c r="F52" s="3" t="n"/>
      <c r="G52" s="3" t="n"/>
      <c r="H52" s="3" t="n"/>
      <c r="I52" s="3" t="n"/>
      <c r="J52" s="3" t="n"/>
      <c r="K52" s="4" t="inlineStr">
        <is>
          <t>Form10A_2026-05-27</t>
        </is>
      </c>
      <c r="L52" s="3" t="n"/>
      <c r="M52" s="3" t="n"/>
      <c r="N52" s="3" t="n"/>
      <c r="O52" s="3" t="n"/>
      <c r="P52" s="3" t="n"/>
      <c r="Q52" s="3" t="n"/>
      <c r="R52" s="3" t="n"/>
      <c r="S52" s="3" t="n"/>
      <c r="T52" s="3" t="n"/>
      <c r="U52" s="3" t="n"/>
      <c r="V52" s="3" t="n"/>
      <c r="W52" s="3" t="n"/>
      <c r="X52" s="3" t="n"/>
      <c r="Y52" s="3" t="n"/>
      <c r="Z52" s="3" t="n"/>
    </row>
    <row r="53">
      <c r="A53" s="31" t="inlineStr">
        <is>
          <t>Adjusted EBITDA — uniform build [C]</t>
        </is>
      </c>
      <c r="B53" s="24">
        <f>B45+B47+B48+B49+B50+B51+B52</f>
        <v/>
      </c>
      <c r="C53" s="24">
        <f>C45+C47+C48+C49+C50+C51+C52</f>
        <v/>
      </c>
      <c r="D53" s="24">
        <f>D45+D47+D48+D49+D50+D51+D52</f>
        <v/>
      </c>
      <c r="E53" s="24">
        <f>E45+E47+E48+E49+E50+E51+E52</f>
        <v/>
      </c>
      <c r="F53" s="24">
        <f>F45+F47+F48+F49+F50+F51+F52</f>
        <v/>
      </c>
      <c r="G53" s="24">
        <f>G45+G47+G48+G49+G50+G51+G52</f>
        <v/>
      </c>
      <c r="H53" s="24">
        <f>H45+H47+H48+H49+H50+H51+H52</f>
        <v/>
      </c>
      <c r="I53" s="24">
        <f>I45+I47+I48+I49+I50+I51+I52</f>
        <v/>
      </c>
      <c r="J53" s="24">
        <f>J45+J47+J48+J49+J50+J51+J52</f>
        <v/>
      </c>
      <c r="K53" s="4" t="inlineStr">
        <is>
          <t>Operating profit + all printed add-backs</t>
        </is>
      </c>
      <c r="L53" s="3" t="n"/>
      <c r="M53" s="3" t="n"/>
      <c r="N53" s="3" t="n"/>
      <c r="O53" s="3" t="n"/>
      <c r="P53" s="3" t="n"/>
      <c r="Q53" s="3" t="n"/>
      <c r="R53" s="3" t="n"/>
      <c r="S53" s="3" t="n"/>
      <c r="T53" s="3" t="n"/>
      <c r="U53" s="3" t="n"/>
      <c r="V53" s="3" t="n"/>
      <c r="W53" s="3" t="n"/>
      <c r="X53" s="3" t="n"/>
      <c r="Y53" s="3" t="n"/>
      <c r="Z53" s="3" t="n"/>
    </row>
    <row r="54">
      <c r="A54" s="19" t="inlineStr">
        <is>
          <t>Adjusted EBITDA — as reported by the company [D]</t>
        </is>
      </c>
      <c r="B54" s="30" t="n">
        <v>191</v>
      </c>
      <c r="C54" s="30" t="n">
        <v>203</v>
      </c>
      <c r="D54" s="30" t="n">
        <v>197</v>
      </c>
      <c r="E54" s="30" t="n">
        <v>44</v>
      </c>
      <c r="F54" s="30" t="n">
        <v>49</v>
      </c>
      <c r="G54" s="30" t="n">
        <v>93</v>
      </c>
      <c r="H54" s="30" t="n">
        <v>49</v>
      </c>
      <c r="I54" s="30" t="n">
        <v>53</v>
      </c>
      <c r="J54" s="30" t="n">
        <v>102</v>
      </c>
      <c r="K54" s="4" t="inlineStr">
        <is>
          <t>FY/Q1: Form 10/A "Segment Adjusted EBITDA" (10-exclusion def.); Q2/6M: 10-Q (6-exclusion def.). 10Q_Q2-2026; Form10A_2026-05-27; Form10_2026-05-07</t>
        </is>
      </c>
      <c r="L54" s="3" t="n"/>
      <c r="M54" s="3" t="n"/>
      <c r="N54" s="3" t="n"/>
      <c r="O54" s="3" t="n"/>
      <c r="P54" s="3" t="n"/>
      <c r="Q54" s="3" t="n"/>
      <c r="R54" s="3" t="n"/>
      <c r="S54" s="3" t="n"/>
      <c r="T54" s="3" t="n"/>
      <c r="U54" s="3" t="n"/>
      <c r="V54" s="3" t="n"/>
      <c r="W54" s="3" t="n"/>
      <c r="X54" s="3" t="n"/>
      <c r="Y54" s="3" t="n"/>
      <c r="Z54" s="3" t="n"/>
    </row>
    <row r="55">
      <c r="A55" s="25" t="inlineStr">
        <is>
          <t>CHECK uniform build − reported</t>
        </is>
      </c>
      <c r="B55" s="27">
        <f>B53-B54</f>
        <v/>
      </c>
      <c r="C55" s="27">
        <f>C53-C54</f>
        <v/>
      </c>
      <c r="D55" s="27">
        <f>D53-D54</f>
        <v/>
      </c>
      <c r="E55" s="27">
        <f>E53-E54</f>
        <v/>
      </c>
      <c r="F55" s="27">
        <f>F53-F54</f>
        <v/>
      </c>
      <c r="G55" s="27">
        <f>G53-G54</f>
        <v/>
      </c>
      <c r="H55" s="25" t="inlineStr">
        <is>
          <t>n/a</t>
        </is>
      </c>
      <c r="I55" s="27">
        <f>I53-I54</f>
        <v/>
      </c>
      <c r="J55" s="27">
        <f>J53-J54</f>
        <v/>
      </c>
      <c r="K55" s="4" t="inlineStr">
        <is>
          <t>n/a: B2B Q1-2026 depreciation illegible in Form 10 and 10/A</t>
        </is>
      </c>
      <c r="L55" s="3" t="n"/>
      <c r="M55" s="3" t="n"/>
      <c r="N55" s="3" t="n"/>
      <c r="O55" s="3" t="n"/>
      <c r="P55" s="3" t="n"/>
      <c r="Q55" s="3" t="n"/>
      <c r="R55" s="3" t="n"/>
      <c r="S55" s="3" t="n"/>
      <c r="T55" s="3" t="n"/>
      <c r="U55" s="3" t="n"/>
      <c r="V55" s="3" t="n"/>
      <c r="W55" s="3" t="n"/>
      <c r="X55" s="3" t="n"/>
      <c r="Y55" s="3" t="n"/>
      <c r="Z55" s="3" t="inlineStr">
        <is>
          <t>CHECK</t>
        </is>
      </c>
    </row>
    <row r="56">
      <c r="A56" s="31" t="inlineStr">
        <is>
          <t xml:space="preserve">  Adjusted EBITDA margin [C]</t>
        </is>
      </c>
      <c r="B56" s="37">
        <f>B54/B35</f>
        <v/>
      </c>
      <c r="C56" s="37">
        <f>C54/C35</f>
        <v/>
      </c>
      <c r="D56" s="37">
        <f>D54/D35</f>
        <v/>
      </c>
      <c r="E56" s="37">
        <f>E54/E35</f>
        <v/>
      </c>
      <c r="F56" s="37">
        <f>F54/F35</f>
        <v/>
      </c>
      <c r="G56" s="37">
        <f>G54/G35</f>
        <v/>
      </c>
      <c r="H56" s="37">
        <f>H54/H35</f>
        <v/>
      </c>
      <c r="I56" s="37">
        <f>I54/I35</f>
        <v/>
      </c>
      <c r="J56" s="37">
        <f>J54/J35</f>
        <v/>
      </c>
      <c r="K56" s="4" t="inlineStr">
        <is>
          <t>[C]</t>
        </is>
      </c>
      <c r="L56" s="3" t="n"/>
      <c r="M56" s="3" t="n"/>
      <c r="N56" s="3" t="n"/>
      <c r="O56" s="3" t="n"/>
      <c r="P56" s="3" t="n"/>
      <c r="Q56" s="3" t="n"/>
      <c r="R56" s="3" t="n"/>
      <c r="S56" s="3" t="n"/>
      <c r="T56" s="3" t="n"/>
      <c r="U56" s="3" t="n"/>
      <c r="V56" s="3" t="n"/>
      <c r="W56" s="3" t="n"/>
      <c r="X56" s="3" t="n"/>
      <c r="Y56" s="3" t="n"/>
      <c r="Z56" s="3" t="n"/>
    </row>
    <row r="57">
      <c r="A57" s="36" t="inlineStr">
        <is>
          <t xml:space="preserve">  Adjusted EBITDA growth y/y [C]</t>
        </is>
      </c>
      <c r="B57" s="3" t="n"/>
      <c r="C57" s="20">
        <f>C54/B54-1</f>
        <v/>
      </c>
      <c r="D57" s="20">
        <f>D54/C54-1</f>
        <v/>
      </c>
      <c r="E57" s="3" t="n"/>
      <c r="F57" s="3" t="n"/>
      <c r="G57" s="3" t="n"/>
      <c r="H57" s="20">
        <f>H54/E54-1</f>
        <v/>
      </c>
      <c r="I57" s="20">
        <f>I54/F54-1</f>
        <v/>
      </c>
      <c r="J57" s="20">
        <f>J54/G54-1</f>
        <v/>
      </c>
      <c r="K57" s="4" t="inlineStr">
        <is>
          <t>[C]</t>
        </is>
      </c>
      <c r="L57" s="3" t="n"/>
      <c r="M57" s="3" t="n"/>
      <c r="N57" s="3" t="n"/>
      <c r="O57" s="3" t="n"/>
      <c r="P57" s="3" t="n"/>
      <c r="Q57" s="3" t="n"/>
      <c r="R57" s="3" t="n"/>
      <c r="S57" s="3" t="n"/>
      <c r="T57" s="3" t="n"/>
      <c r="U57" s="3" t="n"/>
      <c r="V57" s="3" t="n"/>
      <c r="W57" s="3" t="n"/>
      <c r="X57" s="3" t="n"/>
      <c r="Y57" s="3" t="n"/>
      <c r="Z57" s="3" t="n"/>
    </row>
    <row r="58">
      <c r="A58" s="36" t="inlineStr">
        <is>
          <t xml:space="preserve">  Incremental Adj. EBITDA margin (Δ EBITDA / Δ revenue) [C]</t>
        </is>
      </c>
      <c r="B58" s="3" t="n"/>
      <c r="C58" s="20">
        <f>(C54-B54)/(C35-B35)</f>
        <v/>
      </c>
      <c r="D58" s="20">
        <f>(D54-C54)/(D35-C35)</f>
        <v/>
      </c>
      <c r="E58" s="3" t="n"/>
      <c r="F58" s="3" t="n"/>
      <c r="G58" s="3" t="n"/>
      <c r="H58" s="20">
        <f>(H54-E54)/(H35-E35)</f>
        <v/>
      </c>
      <c r="I58" s="20">
        <f>(I54-F54)/(I35-F35)</f>
        <v/>
      </c>
      <c r="J58" s="20">
        <f>(J54-G54)/(J35-G35)</f>
        <v/>
      </c>
      <c r="K58" s="4" t="inlineStr">
        <is>
          <t>[C]</t>
        </is>
      </c>
      <c r="L58" s="3" t="n"/>
      <c r="M58" s="3" t="n"/>
      <c r="N58" s="3" t="n"/>
      <c r="O58" s="3" t="n"/>
      <c r="P58" s="3" t="n"/>
      <c r="Q58" s="3" t="n"/>
      <c r="R58" s="3" t="n"/>
      <c r="S58" s="3" t="n"/>
      <c r="T58" s="3" t="n"/>
      <c r="U58" s="3" t="n"/>
      <c r="V58" s="3" t="n"/>
      <c r="W58" s="3" t="n"/>
      <c r="X58" s="3" t="n"/>
      <c r="Y58" s="3" t="n"/>
      <c r="Z58" s="3" t="n"/>
    </row>
    <row r="59">
      <c r="A59" s="36" t="inlineStr">
        <is>
          <t xml:space="preserve">  Cash operating costs = revenue − Adj. EBITDA [C]</t>
        </is>
      </c>
      <c r="B59" s="23">
        <f>B35-B54</f>
        <v/>
      </c>
      <c r="C59" s="23">
        <f>C35-C54</f>
        <v/>
      </c>
      <c r="D59" s="23">
        <f>D35-D54</f>
        <v/>
      </c>
      <c r="E59" s="23">
        <f>E35-E54</f>
        <v/>
      </c>
      <c r="F59" s="23">
        <f>F35-F54</f>
        <v/>
      </c>
      <c r="G59" s="23">
        <f>G35-G54</f>
        <v/>
      </c>
      <c r="H59" s="23">
        <f>H35-H54</f>
        <v/>
      </c>
      <c r="I59" s="23">
        <f>I35-I54</f>
        <v/>
      </c>
      <c r="J59" s="23">
        <f>J35-J54</f>
        <v/>
      </c>
      <c r="K59" s="4" t="inlineStr">
        <is>
          <t>[C]</t>
        </is>
      </c>
      <c r="L59" s="3" t="n"/>
      <c r="M59" s="3" t="n"/>
      <c r="N59" s="3" t="n"/>
      <c r="O59" s="3" t="n"/>
      <c r="P59" s="3" t="n"/>
      <c r="Q59" s="3" t="n"/>
      <c r="R59" s="3" t="n"/>
      <c r="S59" s="3" t="n"/>
      <c r="T59" s="3" t="n"/>
      <c r="U59" s="3" t="n"/>
      <c r="V59" s="3" t="n"/>
      <c r="W59" s="3" t="n"/>
      <c r="X59" s="3" t="n"/>
      <c r="Y59" s="3" t="n"/>
      <c r="Z59" s="3" t="n"/>
    </row>
    <row r="60">
      <c r="A60" s="36" t="inlineStr">
        <is>
          <t xml:space="preserve">  D&amp;A % revenue [C]</t>
        </is>
      </c>
      <c r="B60" s="20">
        <f>(B47+B48)/B35</f>
        <v/>
      </c>
      <c r="C60" s="20">
        <f>(C47+C48)/C35</f>
        <v/>
      </c>
      <c r="D60" s="20">
        <f>(D47+D48)/D35</f>
        <v/>
      </c>
      <c r="E60" s="20">
        <f>(E47+E48)/E35</f>
        <v/>
      </c>
      <c r="F60" s="20">
        <f>(F47+F48)/F35</f>
        <v/>
      </c>
      <c r="G60" s="20">
        <f>(G47+G48)/G35</f>
        <v/>
      </c>
      <c r="H60" s="20">
        <f>(H47+H48)/H35</f>
        <v/>
      </c>
      <c r="I60" s="20">
        <f>(I47+I48)/I35</f>
        <v/>
      </c>
      <c r="J60" s="20">
        <f>(J47+J48)/J35</f>
        <v/>
      </c>
      <c r="K60" s="4" t="inlineStr">
        <is>
          <t>[C]</t>
        </is>
      </c>
      <c r="L60" s="3" t="n"/>
      <c r="M60" s="3" t="n"/>
      <c r="N60" s="3" t="n"/>
      <c r="O60" s="3" t="n"/>
      <c r="P60" s="3" t="n"/>
      <c r="Q60" s="3" t="n"/>
      <c r="R60" s="3" t="n"/>
      <c r="S60" s="3" t="n"/>
      <c r="T60" s="3" t="n"/>
      <c r="U60" s="3" t="n"/>
      <c r="V60" s="3" t="n"/>
      <c r="W60" s="3" t="n"/>
      <c r="X60" s="3" t="n"/>
      <c r="Y60" s="3" t="n"/>
      <c r="Z60" s="3" t="n"/>
    </row>
    <row r="61">
      <c r="A61" s="36" t="inlineStr">
        <is>
          <t xml:space="preserve">  SBC % revenue [C]</t>
        </is>
      </c>
      <c r="B61" s="20">
        <f>B49/B35</f>
        <v/>
      </c>
      <c r="C61" s="20">
        <f>C49/C35</f>
        <v/>
      </c>
      <c r="D61" s="20">
        <f>D49/D35</f>
        <v/>
      </c>
      <c r="E61" s="20">
        <f>E49/E35</f>
        <v/>
      </c>
      <c r="F61" s="20">
        <f>F49/F35</f>
        <v/>
      </c>
      <c r="G61" s="20">
        <f>G49/G35</f>
        <v/>
      </c>
      <c r="H61" s="20">
        <f>H49/H35</f>
        <v/>
      </c>
      <c r="I61" s="20">
        <f>I49/I35</f>
        <v/>
      </c>
      <c r="J61" s="20">
        <f>J49/J35</f>
        <v/>
      </c>
      <c r="K61" s="4" t="inlineStr">
        <is>
          <t>[C]</t>
        </is>
      </c>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14" t="inlineStr">
        <is>
          <t>Corporate (unallocated)</t>
        </is>
      </c>
      <c r="B63" s="15" t="n"/>
      <c r="C63" s="15" t="n"/>
      <c r="D63" s="15" t="n"/>
      <c r="E63" s="15" t="n"/>
      <c r="F63" s="15" t="n"/>
      <c r="G63" s="15" t="n"/>
      <c r="H63" s="15" t="n"/>
      <c r="I63" s="15" t="n"/>
      <c r="J63" s="15" t="n"/>
      <c r="K63" s="15" t="n"/>
      <c r="L63" s="3" t="n"/>
      <c r="M63" s="3" t="n"/>
      <c r="N63" s="3" t="n"/>
      <c r="O63" s="3" t="n"/>
      <c r="P63" s="3" t="n"/>
      <c r="Q63" s="3" t="n"/>
      <c r="R63" s="3" t="n"/>
      <c r="S63" s="3" t="n"/>
      <c r="T63" s="3" t="n"/>
      <c r="U63" s="3" t="n"/>
      <c r="V63" s="3" t="n"/>
      <c r="W63" s="3" t="n"/>
      <c r="X63" s="3" t="n"/>
      <c r="Y63" s="3" t="n"/>
      <c r="Z63" s="3" t="n"/>
    </row>
    <row r="64">
      <c r="A64" s="19" t="inlineStr">
        <is>
          <t>Memo: selling &amp; general expenses (FY &amp; Q1 only) [D]</t>
        </is>
      </c>
      <c r="B64" s="30" t="n">
        <v>32</v>
      </c>
      <c r="C64" s="30" t="n">
        <v>30</v>
      </c>
      <c r="D64" s="30" t="n">
        <v>45</v>
      </c>
      <c r="E64" s="30" t="n">
        <v>7</v>
      </c>
      <c r="F64" s="3" t="n"/>
      <c r="G64" s="3" t="n"/>
      <c r="H64" s="30" t="n">
        <v>13</v>
      </c>
      <c r="I64" s="3" t="n"/>
      <c r="J64" s="3" t="n"/>
      <c r="K64" s="4" t="inlineStr">
        <is>
          <t>Form10A_2026-05-27</t>
        </is>
      </c>
      <c r="L64" s="3" t="n"/>
      <c r="M64" s="3" t="n"/>
      <c r="N64" s="3" t="n"/>
      <c r="O64" s="3" t="n"/>
      <c r="P64" s="3" t="n"/>
      <c r="Q64" s="3" t="n"/>
      <c r="R64" s="3" t="n"/>
      <c r="S64" s="3" t="n"/>
      <c r="T64" s="3" t="n"/>
      <c r="U64" s="3" t="n"/>
      <c r="V64" s="3" t="n"/>
      <c r="W64" s="3" t="n"/>
      <c r="X64" s="3" t="n"/>
      <c r="Y64" s="3" t="n"/>
      <c r="Z64" s="3" t="n"/>
    </row>
    <row r="65">
      <c r="A65" s="16" t="inlineStr">
        <is>
          <t>Segment operating profit (GAAP) [D]</t>
        </is>
      </c>
      <c r="B65" s="18" t="n">
        <v>-32</v>
      </c>
      <c r="C65" s="18" t="n">
        <v>-30</v>
      </c>
      <c r="D65" s="18" t="n">
        <v>-45</v>
      </c>
      <c r="E65" s="18" t="n">
        <v>-7</v>
      </c>
      <c r="F65" s="18" t="n">
        <v>-9</v>
      </c>
      <c r="G65" s="18" t="n">
        <v>-16</v>
      </c>
      <c r="H65" s="18" t="n">
        <v>-13</v>
      </c>
      <c r="I65" s="18" t="n">
        <v>-22</v>
      </c>
      <c r="J65" s="18" t="n">
        <v>-35</v>
      </c>
      <c r="K65" s="4" t="inlineStr">
        <is>
          <t>10Q_Q2-2026; Form10A_2026-05-27</t>
        </is>
      </c>
      <c r="L65" s="3" t="n"/>
      <c r="M65" s="3" t="n"/>
      <c r="N65" s="3" t="n"/>
      <c r="O65" s="3" t="n"/>
      <c r="P65" s="3" t="n"/>
      <c r="Q65" s="3" t="n"/>
      <c r="R65" s="3" t="n"/>
      <c r="S65" s="3" t="n"/>
      <c r="T65" s="3" t="n"/>
      <c r="U65" s="3" t="n"/>
      <c r="V65" s="3" t="n"/>
      <c r="W65" s="3" t="n"/>
      <c r="X65" s="3" t="n"/>
      <c r="Y65" s="3" t="n"/>
      <c r="Z65" s="3" t="n"/>
    </row>
    <row r="66">
      <c r="A66" s="19" t="inlineStr">
        <is>
          <t xml:space="preserve">  + Amortization of acquired intangibles [D]</t>
        </is>
      </c>
      <c r="B66" s="3" t="n"/>
      <c r="C66" s="3" t="n"/>
      <c r="D66" s="3" t="n"/>
      <c r="E66" s="3" t="n"/>
      <c r="F66" s="30" t="n">
        <v>0</v>
      </c>
      <c r="G66" s="30" t="n">
        <v>0</v>
      </c>
      <c r="H66" s="3" t="n"/>
      <c r="I66" s="30" t="n">
        <v>0</v>
      </c>
      <c r="J66" s="30" t="n">
        <v>0</v>
      </c>
      <c r="K66" s="4" t="inlineStr">
        <is>
          <t>10Q_Q2-2026</t>
        </is>
      </c>
      <c r="L66" s="3" t="n"/>
      <c r="M66" s="3" t="n"/>
      <c r="N66" s="3" t="n"/>
      <c r="O66" s="3" t="n"/>
      <c r="P66" s="3" t="n"/>
      <c r="Q66" s="3" t="n"/>
      <c r="R66" s="3" t="n"/>
      <c r="S66" s="3" t="n"/>
      <c r="T66" s="3" t="n"/>
      <c r="U66" s="3" t="n"/>
      <c r="V66" s="3" t="n"/>
      <c r="W66" s="3" t="n"/>
      <c r="X66" s="3" t="n"/>
      <c r="Y66" s="3" t="n"/>
      <c r="Z66" s="3" t="n"/>
    </row>
    <row r="67">
      <c r="A67" s="19" t="inlineStr">
        <is>
          <t xml:space="preserve">  + Depreciation [D]</t>
        </is>
      </c>
      <c r="B67" s="3" t="n"/>
      <c r="C67" s="3" t="n"/>
      <c r="D67" s="3" t="n"/>
      <c r="E67" s="3" t="n"/>
      <c r="F67" s="30" t="n">
        <v>0</v>
      </c>
      <c r="G67" s="30" t="n">
        <v>0</v>
      </c>
      <c r="H67" s="3" t="n"/>
      <c r="I67" s="30" t="n">
        <v>0</v>
      </c>
      <c r="J67" s="30" t="n">
        <v>0</v>
      </c>
      <c r="K67" s="4" t="inlineStr">
        <is>
          <t>10Q_Q2-2026</t>
        </is>
      </c>
      <c r="L67" s="3" t="n"/>
      <c r="M67" s="3" t="n"/>
      <c r="N67" s="3" t="n"/>
      <c r="O67" s="3" t="n"/>
      <c r="P67" s="3" t="n"/>
      <c r="Q67" s="3" t="n"/>
      <c r="R67" s="3" t="n"/>
      <c r="S67" s="3" t="n"/>
      <c r="T67" s="3" t="n"/>
      <c r="U67" s="3" t="n"/>
      <c r="V67" s="3" t="n"/>
      <c r="W67" s="3" t="n"/>
      <c r="X67" s="3" t="n"/>
      <c r="Y67" s="3" t="n"/>
      <c r="Z67" s="3" t="n"/>
    </row>
    <row r="68">
      <c r="A68" s="19" t="inlineStr">
        <is>
          <t xml:space="preserve">  + Stock-based compensation [D]</t>
        </is>
      </c>
      <c r="B68" s="3" t="n"/>
      <c r="C68" s="3" t="n"/>
      <c r="D68" s="3" t="n"/>
      <c r="E68" s="3" t="n"/>
      <c r="F68" s="30" t="n">
        <v>0</v>
      </c>
      <c r="G68" s="30" t="n">
        <v>0</v>
      </c>
      <c r="H68" s="3" t="n"/>
      <c r="I68" s="30" t="n">
        <v>0</v>
      </c>
      <c r="J68" s="30" t="n">
        <v>0</v>
      </c>
      <c r="K68" s="4" t="inlineStr">
        <is>
          <t>10Q_Q2-2026</t>
        </is>
      </c>
      <c r="L68" s="3" t="n"/>
      <c r="M68" s="3" t="n"/>
      <c r="N68" s="3" t="n"/>
      <c r="O68" s="3" t="n"/>
      <c r="P68" s="3" t="n"/>
      <c r="Q68" s="3" t="n"/>
      <c r="R68" s="3" t="n"/>
      <c r="S68" s="3" t="n"/>
      <c r="T68" s="3" t="n"/>
      <c r="U68" s="3" t="n"/>
      <c r="V68" s="3" t="n"/>
      <c r="W68" s="3" t="n"/>
      <c r="X68" s="3" t="n"/>
      <c r="Y68" s="3" t="n"/>
      <c r="Z68" s="3" t="n"/>
    </row>
    <row r="69">
      <c r="A69" s="19" t="inlineStr">
        <is>
          <t xml:space="preserve">  + Transaction (separation) costs [D]</t>
        </is>
      </c>
      <c r="B69" s="3" t="n"/>
      <c r="C69" s="3" t="n"/>
      <c r="D69" s="30" t="n">
        <v>12</v>
      </c>
      <c r="E69" s="3" t="n"/>
      <c r="F69" s="30" t="n">
        <v>2</v>
      </c>
      <c r="G69" s="30" t="n">
        <v>2</v>
      </c>
      <c r="H69" s="30" t="n">
        <v>8</v>
      </c>
      <c r="I69" s="30" t="n">
        <v>16</v>
      </c>
      <c r="J69" s="30" t="n">
        <v>24</v>
      </c>
      <c r="K69" s="4" t="inlineStr">
        <is>
          <t>10Q_Q2-2026; Form10A_2026-05-27</t>
        </is>
      </c>
      <c r="L69" s="3" t="n"/>
      <c r="M69" s="3" t="n"/>
      <c r="N69" s="3" t="n"/>
      <c r="O69" s="3" t="n"/>
      <c r="P69" s="3" t="n"/>
      <c r="Q69" s="3" t="n"/>
      <c r="R69" s="3" t="n"/>
      <c r="S69" s="3" t="n"/>
      <c r="T69" s="3" t="n"/>
      <c r="U69" s="3" t="n"/>
      <c r="V69" s="3" t="n"/>
      <c r="W69" s="3" t="n"/>
      <c r="X69" s="3" t="n"/>
      <c r="Y69" s="3" t="n"/>
      <c r="Z69" s="3" t="n"/>
    </row>
    <row r="70">
      <c r="A70" s="19" t="inlineStr">
        <is>
          <t xml:space="preserve">  + Employee severance &amp; other [D]</t>
        </is>
      </c>
      <c r="B70" s="3" t="n"/>
      <c r="C70" s="30" t="n">
        <v>3</v>
      </c>
      <c r="D70" s="30" t="n">
        <v>5</v>
      </c>
      <c r="E70" s="30" t="n">
        <v>2</v>
      </c>
      <c r="F70" s="30" t="n">
        <v>4</v>
      </c>
      <c r="G70" s="30" t="n">
        <v>6</v>
      </c>
      <c r="H70" s="3" t="n"/>
      <c r="I70" s="30" t="n">
        <v>2</v>
      </c>
      <c r="J70" s="30" t="n">
        <v>2</v>
      </c>
      <c r="K70" s="4" t="inlineStr">
        <is>
          <t>10Q_Q2-2026; Form10A_2026-05-27</t>
        </is>
      </c>
      <c r="L70" s="3" t="n"/>
      <c r="M70" s="3" t="n"/>
      <c r="N70" s="3" t="n"/>
      <c r="O70" s="3" t="n"/>
      <c r="P70" s="3" t="n"/>
      <c r="Q70" s="3" t="n"/>
      <c r="R70" s="3" t="n"/>
      <c r="S70" s="3" t="n"/>
      <c r="T70" s="3" t="n"/>
      <c r="U70" s="3" t="n"/>
      <c r="V70" s="3" t="n"/>
      <c r="W70" s="3" t="n"/>
      <c r="X70" s="3" t="n"/>
      <c r="Y70" s="3" t="n"/>
      <c r="Z70" s="3" t="n"/>
    </row>
    <row r="71">
      <c r="A71" s="19" t="inlineStr">
        <is>
          <t xml:space="preserve">  + Acquisition / integration / legal recovery / ELT [D]</t>
        </is>
      </c>
      <c r="B71" s="30" t="n">
        <v>16</v>
      </c>
      <c r="C71" s="30" t="n">
        <v>7</v>
      </c>
      <c r="D71" s="30" t="n">
        <v>5</v>
      </c>
      <c r="E71" s="3" t="n"/>
      <c r="F71" s="3" t="n"/>
      <c r="G71" s="3" t="n"/>
      <c r="H71" s="3" t="n"/>
      <c r="I71" s="3" t="n"/>
      <c r="J71" s="3" t="n"/>
      <c r="K71" s="4" t="inlineStr">
        <is>
          <t>Form10A_2026-05-27</t>
        </is>
      </c>
      <c r="L71" s="3" t="n"/>
      <c r="M71" s="3" t="n"/>
      <c r="N71" s="3" t="n"/>
      <c r="O71" s="3" t="n"/>
      <c r="P71" s="3" t="n"/>
      <c r="Q71" s="3" t="n"/>
      <c r="R71" s="3" t="n"/>
      <c r="S71" s="3" t="n"/>
      <c r="T71" s="3" t="n"/>
      <c r="U71" s="3" t="n"/>
      <c r="V71" s="3" t="n"/>
      <c r="W71" s="3" t="n"/>
      <c r="X71" s="3" t="n"/>
      <c r="Y71" s="3" t="n"/>
      <c r="Z71" s="3" t="n"/>
    </row>
    <row r="72">
      <c r="A72" s="31" t="inlineStr">
        <is>
          <t>Adjusted EBITDA — uniform build [C]</t>
        </is>
      </c>
      <c r="B72" s="24">
        <f>B65+B66+B67+B68+B69+B70+B71</f>
        <v/>
      </c>
      <c r="C72" s="24">
        <f>C65+C66+C67+C68+C69+C70+C71</f>
        <v/>
      </c>
      <c r="D72" s="24">
        <f>D65+D66+D67+D68+D69+D70+D71</f>
        <v/>
      </c>
      <c r="E72" s="24">
        <f>E65+E66+E67+E68+E69+E70+E71</f>
        <v/>
      </c>
      <c r="F72" s="24">
        <f>F65+F66+F67+F68+F69+F70+F71</f>
        <v/>
      </c>
      <c r="G72" s="24">
        <f>G65+G66+G67+G68+G69+G70+G71</f>
        <v/>
      </c>
      <c r="H72" s="24">
        <f>H65+H66+H67+H68+H69+H70+H71</f>
        <v/>
      </c>
      <c r="I72" s="24">
        <f>I65+I66+I67+I68+I69+I70+I71</f>
        <v/>
      </c>
      <c r="J72" s="24">
        <f>J65+J66+J67+J68+J69+J70+J71</f>
        <v/>
      </c>
      <c r="K72" s="4" t="inlineStr">
        <is>
          <t>Operating profit + all printed add-backs</t>
        </is>
      </c>
      <c r="L72" s="3" t="n"/>
      <c r="M72" s="3" t="n"/>
      <c r="N72" s="3" t="n"/>
      <c r="O72" s="3" t="n"/>
      <c r="P72" s="3" t="n"/>
      <c r="Q72" s="3" t="n"/>
      <c r="R72" s="3" t="n"/>
      <c r="S72" s="3" t="n"/>
      <c r="T72" s="3" t="n"/>
      <c r="U72" s="3" t="n"/>
      <c r="V72" s="3" t="n"/>
      <c r="W72" s="3" t="n"/>
      <c r="X72" s="3" t="n"/>
      <c r="Y72" s="3" t="n"/>
      <c r="Z72" s="3" t="n"/>
    </row>
    <row r="73">
      <c r="A73" s="19" t="inlineStr">
        <is>
          <t>Adjusted EBITDA — as reported by the company [D]</t>
        </is>
      </c>
      <c r="B73" s="30" t="n">
        <v>-16</v>
      </c>
      <c r="C73" s="30" t="n">
        <v>-20</v>
      </c>
      <c r="D73" s="30" t="n">
        <v>-22</v>
      </c>
      <c r="E73" s="30" t="n">
        <v>-5</v>
      </c>
      <c r="F73" s="30" t="n">
        <v>-3</v>
      </c>
      <c r="G73" s="30" t="n">
        <v>-8</v>
      </c>
      <c r="H73" s="30" t="n">
        <v>-5</v>
      </c>
      <c r="I73" s="30" t="n">
        <v>-4</v>
      </c>
      <c r="J73" s="30" t="n">
        <v>-9</v>
      </c>
      <c r="K73" s="4" t="inlineStr">
        <is>
          <t>FY/Q1: Form 10/A "Segment Adjusted EBITDA" (10-exclusion def.); Q2/6M: 10-Q (6-exclusion def.). 10Q_Q2-2026; Form10A_2026-05-27</t>
        </is>
      </c>
      <c r="L73" s="3" t="n"/>
      <c r="M73" s="3" t="n"/>
      <c r="N73" s="3" t="n"/>
      <c r="O73" s="3" t="n"/>
      <c r="P73" s="3" t="n"/>
      <c r="Q73" s="3" t="n"/>
      <c r="R73" s="3" t="n"/>
      <c r="S73" s="3" t="n"/>
      <c r="T73" s="3" t="n"/>
      <c r="U73" s="3" t="n"/>
      <c r="V73" s="3" t="n"/>
      <c r="W73" s="3" t="n"/>
      <c r="X73" s="3" t="n"/>
      <c r="Y73" s="3" t="n"/>
      <c r="Z73" s="3" t="n"/>
    </row>
    <row r="74">
      <c r="A74" s="25" t="inlineStr">
        <is>
          <t>CHECK uniform build − reported</t>
        </is>
      </c>
      <c r="B74" s="27">
        <f>B72-B73</f>
        <v/>
      </c>
      <c r="C74" s="27">
        <f>C72-C73</f>
        <v/>
      </c>
      <c r="D74" s="25" t="inlineStr">
        <is>
          <t>n/a</t>
        </is>
      </c>
      <c r="E74" s="27">
        <f>E72-E73</f>
        <v/>
      </c>
      <c r="F74" s="27">
        <f>F72-F73</f>
        <v/>
      </c>
      <c r="G74" s="27">
        <f>G72-G73</f>
        <v/>
      </c>
      <c r="H74" s="27">
        <f>H72-H73</f>
        <v/>
      </c>
      <c r="I74" s="27">
        <f>I72-I73</f>
        <v/>
      </c>
      <c r="J74" s="27">
        <f>J72-J73</f>
        <v/>
      </c>
      <c r="K74" s="4" t="inlineStr">
        <is>
          <t>n/a: segment split of FY2025 "Other" ($2m total) not legible</t>
        </is>
      </c>
      <c r="L74" s="3" t="n"/>
      <c r="M74" s="3" t="n"/>
      <c r="N74" s="3" t="n"/>
      <c r="O74" s="3" t="n"/>
      <c r="P74" s="3" t="n"/>
      <c r="Q74" s="3" t="n"/>
      <c r="R74" s="3" t="n"/>
      <c r="S74" s="3" t="n"/>
      <c r="T74" s="3" t="n"/>
      <c r="U74" s="3" t="n"/>
      <c r="V74" s="3" t="n"/>
      <c r="W74" s="3" t="n"/>
      <c r="X74" s="3" t="n"/>
      <c r="Y74" s="3" t="n"/>
      <c r="Z74" s="3" t="inlineStr">
        <is>
          <t>CHECK</t>
        </is>
      </c>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14" t="inlineStr">
        <is>
          <t>Total company = CARFAX + B2B + Corporate (formulas)</t>
        </is>
      </c>
      <c r="B76" s="15" t="n"/>
      <c r="C76" s="15" t="n"/>
      <c r="D76" s="15" t="n"/>
      <c r="E76" s="15" t="n"/>
      <c r="F76" s="15" t="n"/>
      <c r="G76" s="15" t="n"/>
      <c r="H76" s="15" t="n"/>
      <c r="I76" s="15" t="n"/>
      <c r="J76" s="15" t="n"/>
      <c r="K76" s="15" t="n"/>
      <c r="L76" s="3" t="n"/>
      <c r="M76" s="3" t="n"/>
      <c r="N76" s="3" t="n"/>
      <c r="O76" s="3" t="n"/>
      <c r="P76" s="3" t="n"/>
      <c r="Q76" s="3" t="n"/>
      <c r="R76" s="3" t="n"/>
      <c r="S76" s="3" t="n"/>
      <c r="T76" s="3" t="n"/>
      <c r="U76" s="3" t="n"/>
      <c r="V76" s="3" t="n"/>
      <c r="W76" s="3" t="n"/>
      <c r="X76" s="3" t="n"/>
      <c r="Y76" s="3" t="n"/>
      <c r="Z76" s="3" t="n"/>
    </row>
    <row r="77">
      <c r="A77" s="31" t="inlineStr">
        <is>
          <t>Revenue [C]</t>
        </is>
      </c>
      <c r="B77" s="24">
        <f>B6+B35</f>
        <v/>
      </c>
      <c r="C77" s="24">
        <f>C6+C35</f>
        <v/>
      </c>
      <c r="D77" s="24">
        <f>D6+D35</f>
        <v/>
      </c>
      <c r="E77" s="24">
        <f>E6+E35</f>
        <v/>
      </c>
      <c r="F77" s="24">
        <f>F6+F35</f>
        <v/>
      </c>
      <c r="G77" s="24">
        <f>G6+G35</f>
        <v/>
      </c>
      <c r="H77" s="24">
        <f>H6+H35</f>
        <v/>
      </c>
      <c r="I77" s="24">
        <f>I6+I35</f>
        <v/>
      </c>
      <c r="J77" s="24">
        <f>J6+J35</f>
        <v/>
      </c>
      <c r="K77" s="4" t="inlineStr">
        <is>
          <t>[C]</t>
        </is>
      </c>
      <c r="L77" s="3" t="n"/>
      <c r="M77" s="3" t="n"/>
      <c r="N77" s="3" t="n"/>
      <c r="O77" s="3" t="n"/>
      <c r="P77" s="3" t="n"/>
      <c r="Q77" s="3" t="n"/>
      <c r="R77" s="3" t="n"/>
      <c r="S77" s="3" t="n"/>
      <c r="T77" s="3" t="n"/>
      <c r="U77" s="3" t="n"/>
      <c r="V77" s="3" t="n"/>
      <c r="W77" s="3" t="n"/>
      <c r="X77" s="3" t="n"/>
      <c r="Y77" s="3" t="n"/>
      <c r="Z77" s="3" t="n"/>
    </row>
    <row r="78">
      <c r="A78" s="36" t="inlineStr">
        <is>
          <t xml:space="preserve">  Revenue growth y/y [C]</t>
        </is>
      </c>
      <c r="B78" s="3" t="n"/>
      <c r="C78" s="20">
        <f>C77/B77-1</f>
        <v/>
      </c>
      <c r="D78" s="20">
        <f>D77/C77-1</f>
        <v/>
      </c>
      <c r="E78" s="3" t="n"/>
      <c r="F78" s="3" t="n"/>
      <c r="G78" s="3" t="n"/>
      <c r="H78" s="20">
        <f>H77/E77-1</f>
        <v/>
      </c>
      <c r="I78" s="20">
        <f>I77/F77-1</f>
        <v/>
      </c>
      <c r="J78" s="20">
        <f>J77/G77-1</f>
        <v/>
      </c>
      <c r="K78" s="4" t="inlineStr">
        <is>
          <t>[C]</t>
        </is>
      </c>
      <c r="L78" s="3" t="n"/>
      <c r="M78" s="3" t="n"/>
      <c r="N78" s="3" t="n"/>
      <c r="O78" s="3" t="n"/>
      <c r="P78" s="3" t="n"/>
      <c r="Q78" s="3" t="n"/>
      <c r="R78" s="3" t="n"/>
      <c r="S78" s="3" t="n"/>
      <c r="T78" s="3" t="n"/>
      <c r="U78" s="3" t="n"/>
      <c r="V78" s="3" t="n"/>
      <c r="W78" s="3" t="n"/>
      <c r="X78" s="3" t="n"/>
      <c r="Y78" s="3" t="n"/>
      <c r="Z78" s="3" t="n"/>
    </row>
    <row r="79">
      <c r="A79" s="36" t="inlineStr">
        <is>
          <t xml:space="preserve">  Subscription [C]</t>
        </is>
      </c>
      <c r="B79" s="23">
        <f>B8+B37</f>
        <v/>
      </c>
      <c r="C79" s="23">
        <f>C8+C37</f>
        <v/>
      </c>
      <c r="D79" s="23">
        <f>D8+D37</f>
        <v/>
      </c>
      <c r="E79" s="23">
        <f>E8+E37</f>
        <v/>
      </c>
      <c r="F79" s="23">
        <f>F8+F37</f>
        <v/>
      </c>
      <c r="G79" s="23">
        <f>G8+G37</f>
        <v/>
      </c>
      <c r="H79" s="23">
        <f>H8+H37</f>
        <v/>
      </c>
      <c r="I79" s="23">
        <f>I8+I37</f>
        <v/>
      </c>
      <c r="J79" s="23">
        <f>J8+J37</f>
        <v/>
      </c>
      <c r="K79" s="4" t="inlineStr">
        <is>
          <t>[C]</t>
        </is>
      </c>
      <c r="L79" s="3" t="n"/>
      <c r="M79" s="3" t="n"/>
      <c r="N79" s="3" t="n"/>
      <c r="O79" s="3" t="n"/>
      <c r="P79" s="3" t="n"/>
      <c r="Q79" s="3" t="n"/>
      <c r="R79" s="3" t="n"/>
      <c r="S79" s="3" t="n"/>
      <c r="T79" s="3" t="n"/>
      <c r="U79" s="3" t="n"/>
      <c r="V79" s="3" t="n"/>
      <c r="W79" s="3" t="n"/>
      <c r="X79" s="3" t="n"/>
      <c r="Y79" s="3" t="n"/>
      <c r="Z79" s="3" t="n"/>
    </row>
    <row r="80">
      <c r="A80" s="36" t="inlineStr">
        <is>
          <t xml:space="preserve">  Non-subscription [C]</t>
        </is>
      </c>
      <c r="B80" s="23">
        <f>B9+B38</f>
        <v/>
      </c>
      <c r="C80" s="23">
        <f>C9+C38</f>
        <v/>
      </c>
      <c r="D80" s="23">
        <f>D9+D38</f>
        <v/>
      </c>
      <c r="E80" s="23">
        <f>E9+E38</f>
        <v/>
      </c>
      <c r="F80" s="23">
        <f>F9+F38</f>
        <v/>
      </c>
      <c r="G80" s="23">
        <f>G9+G38</f>
        <v/>
      </c>
      <c r="H80" s="23">
        <f>H9+H38</f>
        <v/>
      </c>
      <c r="I80" s="23">
        <f>I9+I38</f>
        <v/>
      </c>
      <c r="J80" s="23">
        <f>J9+J38</f>
        <v/>
      </c>
      <c r="K80" s="4" t="inlineStr">
        <is>
          <t>[C]</t>
        </is>
      </c>
      <c r="L80" s="3" t="n"/>
      <c r="M80" s="3" t="n"/>
      <c r="N80" s="3" t="n"/>
      <c r="O80" s="3" t="n"/>
      <c r="P80" s="3" t="n"/>
      <c r="Q80" s="3" t="n"/>
      <c r="R80" s="3" t="n"/>
      <c r="S80" s="3" t="n"/>
      <c r="T80" s="3" t="n"/>
      <c r="U80" s="3" t="n"/>
      <c r="V80" s="3" t="n"/>
      <c r="W80" s="3" t="n"/>
      <c r="X80" s="3" t="n"/>
      <c r="Y80" s="3" t="n"/>
      <c r="Z80" s="3" t="n"/>
    </row>
    <row r="81">
      <c r="A81" s="36" t="inlineStr">
        <is>
          <t xml:space="preserve">  U.S. [C]</t>
        </is>
      </c>
      <c r="B81" s="23">
        <f>B11+B40</f>
        <v/>
      </c>
      <c r="C81" s="23">
        <f>C11+C40</f>
        <v/>
      </c>
      <c r="D81" s="23">
        <f>D11+D40</f>
        <v/>
      </c>
      <c r="E81" s="23">
        <f>E11+E40</f>
        <v/>
      </c>
      <c r="F81" s="23">
        <f>F11+F40</f>
        <v/>
      </c>
      <c r="G81" s="23">
        <f>G11+G40</f>
        <v/>
      </c>
      <c r="H81" s="23">
        <f>H11+H40</f>
        <v/>
      </c>
      <c r="I81" s="23">
        <f>I11+I40</f>
        <v/>
      </c>
      <c r="J81" s="23">
        <f>J11+J40</f>
        <v/>
      </c>
      <c r="K81" s="4" t="inlineStr">
        <is>
          <t>[C]</t>
        </is>
      </c>
      <c r="L81" s="3" t="n"/>
      <c r="M81" s="3" t="n"/>
      <c r="N81" s="3" t="n"/>
      <c r="O81" s="3" t="n"/>
      <c r="P81" s="3" t="n"/>
      <c r="Q81" s="3" t="n"/>
      <c r="R81" s="3" t="n"/>
      <c r="S81" s="3" t="n"/>
      <c r="T81" s="3" t="n"/>
      <c r="U81" s="3" t="n"/>
      <c r="V81" s="3" t="n"/>
      <c r="W81" s="3" t="n"/>
      <c r="X81" s="3" t="n"/>
      <c r="Y81" s="3" t="n"/>
      <c r="Z81" s="3" t="n"/>
    </row>
    <row r="82">
      <c r="A82" s="36" t="inlineStr">
        <is>
          <t xml:space="preserve">  International [C]</t>
        </is>
      </c>
      <c r="B82" s="23">
        <f>B12+B41</f>
        <v/>
      </c>
      <c r="C82" s="23">
        <f>C12+C41</f>
        <v/>
      </c>
      <c r="D82" s="23">
        <f>D12+D41</f>
        <v/>
      </c>
      <c r="E82" s="23">
        <f>E12+E41</f>
        <v/>
      </c>
      <c r="F82" s="23">
        <f>F12+F41</f>
        <v/>
      </c>
      <c r="G82" s="23">
        <f>G12+G41</f>
        <v/>
      </c>
      <c r="H82" s="23">
        <f>H12+H41</f>
        <v/>
      </c>
      <c r="I82" s="23">
        <f>I12+I41</f>
        <v/>
      </c>
      <c r="J82" s="23">
        <f>J12+J41</f>
        <v/>
      </c>
      <c r="K82" s="4" t="inlineStr">
        <is>
          <t>[C]</t>
        </is>
      </c>
      <c r="L82" s="3" t="n"/>
      <c r="M82" s="3" t="n"/>
      <c r="N82" s="3" t="n"/>
      <c r="O82" s="3" t="n"/>
      <c r="P82" s="3" t="n"/>
      <c r="Q82" s="3" t="n"/>
      <c r="R82" s="3" t="n"/>
      <c r="S82" s="3" t="n"/>
      <c r="T82" s="3" t="n"/>
      <c r="U82" s="3" t="n"/>
      <c r="V82" s="3" t="n"/>
      <c r="W82" s="3" t="n"/>
      <c r="X82" s="3" t="n"/>
      <c r="Y82" s="3" t="n"/>
      <c r="Z82" s="3" t="n"/>
    </row>
    <row r="83">
      <c r="A83" s="31" t="inlineStr">
        <is>
          <t>Operating profit [C]</t>
        </is>
      </c>
      <c r="B83" s="24">
        <f>B16+B45+B65</f>
        <v/>
      </c>
      <c r="C83" s="24">
        <f>C16+C45+C65</f>
        <v/>
      </c>
      <c r="D83" s="24">
        <f>D16+D45+D65</f>
        <v/>
      </c>
      <c r="E83" s="24">
        <f>E16+E45+E65</f>
        <v/>
      </c>
      <c r="F83" s="24">
        <f>F16+F45+F65</f>
        <v/>
      </c>
      <c r="G83" s="24">
        <f>G16+G45+G65</f>
        <v/>
      </c>
      <c r="H83" s="24">
        <f>H16+H45+H65</f>
        <v/>
      </c>
      <c r="I83" s="24">
        <f>I16+I45+I65</f>
        <v/>
      </c>
      <c r="J83" s="24">
        <f>J16+J45+J65</f>
        <v/>
      </c>
      <c r="K83" s="4" t="inlineStr">
        <is>
          <t>[C]</t>
        </is>
      </c>
      <c r="L83" s="3" t="n"/>
      <c r="M83" s="3" t="n"/>
      <c r="N83" s="3" t="n"/>
      <c r="O83" s="3" t="n"/>
      <c r="P83" s="3" t="n"/>
      <c r="Q83" s="3" t="n"/>
      <c r="R83" s="3" t="n"/>
      <c r="S83" s="3" t="n"/>
      <c r="T83" s="3" t="n"/>
      <c r="U83" s="3" t="n"/>
      <c r="V83" s="3" t="n"/>
      <c r="W83" s="3" t="n"/>
      <c r="X83" s="3" t="n"/>
      <c r="Y83" s="3" t="n"/>
      <c r="Z83" s="3" t="n"/>
    </row>
    <row r="84">
      <c r="A84" s="36" t="inlineStr">
        <is>
          <t xml:space="preserve">  Operating margin [C]</t>
        </is>
      </c>
      <c r="B84" s="20">
        <f>B83/B77</f>
        <v/>
      </c>
      <c r="C84" s="20">
        <f>C83/C77</f>
        <v/>
      </c>
      <c r="D84" s="20">
        <f>D83/D77</f>
        <v/>
      </c>
      <c r="E84" s="20">
        <f>E83/E77</f>
        <v/>
      </c>
      <c r="F84" s="20">
        <f>F83/F77</f>
        <v/>
      </c>
      <c r="G84" s="20">
        <f>G83/G77</f>
        <v/>
      </c>
      <c r="H84" s="20">
        <f>H83/H77</f>
        <v/>
      </c>
      <c r="I84" s="20">
        <f>I83/I77</f>
        <v/>
      </c>
      <c r="J84" s="20">
        <f>J83/J77</f>
        <v/>
      </c>
      <c r="K84" s="4" t="inlineStr">
        <is>
          <t>[C]</t>
        </is>
      </c>
      <c r="L84" s="3" t="n"/>
      <c r="M84" s="3" t="n"/>
      <c r="N84" s="3" t="n"/>
      <c r="O84" s="3" t="n"/>
      <c r="P84" s="3" t="n"/>
      <c r="Q84" s="3" t="n"/>
      <c r="R84" s="3" t="n"/>
      <c r="S84" s="3" t="n"/>
      <c r="T84" s="3" t="n"/>
      <c r="U84" s="3" t="n"/>
      <c r="V84" s="3" t="n"/>
      <c r="W84" s="3" t="n"/>
      <c r="X84" s="3" t="n"/>
      <c r="Y84" s="3" t="n"/>
      <c r="Z84" s="3" t="n"/>
    </row>
    <row r="85">
      <c r="A85" s="36" t="inlineStr">
        <is>
          <t xml:space="preserve">  + Amortization of acquired intangibles [C]</t>
        </is>
      </c>
      <c r="B85" s="23">
        <f>B18+B47+B66</f>
        <v/>
      </c>
      <c r="C85" s="23">
        <f>C18+C47+C66</f>
        <v/>
      </c>
      <c r="D85" s="23">
        <f>D18+D47+D66</f>
        <v/>
      </c>
      <c r="E85" s="23">
        <f>E18+E47+E66</f>
        <v/>
      </c>
      <c r="F85" s="23">
        <f>F18+F47+F66</f>
        <v/>
      </c>
      <c r="G85" s="23">
        <f>G18+G47+G66</f>
        <v/>
      </c>
      <c r="H85" s="23">
        <f>H18+H47+H66</f>
        <v/>
      </c>
      <c r="I85" s="23">
        <f>I18+I47+I66</f>
        <v/>
      </c>
      <c r="J85" s="23">
        <f>J18+J47+J66</f>
        <v/>
      </c>
      <c r="K85" s="4" t="inlineStr">
        <is>
          <t>[C]</t>
        </is>
      </c>
      <c r="L85" s="3" t="n"/>
      <c r="M85" s="3" t="n"/>
      <c r="N85" s="3" t="n"/>
      <c r="O85" s="3" t="n"/>
      <c r="P85" s="3" t="n"/>
      <c r="Q85" s="3" t="n"/>
      <c r="R85" s="3" t="n"/>
      <c r="S85" s="3" t="n"/>
      <c r="T85" s="3" t="n"/>
      <c r="U85" s="3" t="n"/>
      <c r="V85" s="3" t="n"/>
      <c r="W85" s="3" t="n"/>
      <c r="X85" s="3" t="n"/>
      <c r="Y85" s="3" t="n"/>
      <c r="Z85" s="3" t="n"/>
    </row>
    <row r="86">
      <c r="A86" s="36" t="inlineStr">
        <is>
          <t xml:space="preserve">  + Depreciation [C]</t>
        </is>
      </c>
      <c r="B86" s="23">
        <f>B19+B48+B67</f>
        <v/>
      </c>
      <c r="C86" s="23">
        <f>C19+C48+C67</f>
        <v/>
      </c>
      <c r="D86" s="23">
        <f>D19+D48+D67</f>
        <v/>
      </c>
      <c r="E86" s="23">
        <f>E19+E48+E67</f>
        <v/>
      </c>
      <c r="F86" s="23">
        <f>F19+F48+F67</f>
        <v/>
      </c>
      <c r="G86" s="23">
        <f>G19+G48+G67</f>
        <v/>
      </c>
      <c r="H86" s="23">
        <f>H19+H48+H67</f>
        <v/>
      </c>
      <c r="I86" s="23">
        <f>I19+I48+I67</f>
        <v/>
      </c>
      <c r="J86" s="23">
        <f>J19+J48+J67</f>
        <v/>
      </c>
      <c r="K86" s="4" t="inlineStr">
        <is>
          <t>[C]</t>
        </is>
      </c>
      <c r="L86" s="3" t="n"/>
      <c r="M86" s="3" t="n"/>
      <c r="N86" s="3" t="n"/>
      <c r="O86" s="3" t="n"/>
      <c r="P86" s="3" t="n"/>
      <c r="Q86" s="3" t="n"/>
      <c r="R86" s="3" t="n"/>
      <c r="S86" s="3" t="n"/>
      <c r="T86" s="3" t="n"/>
      <c r="U86" s="3" t="n"/>
      <c r="V86" s="3" t="n"/>
      <c r="W86" s="3" t="n"/>
      <c r="X86" s="3" t="n"/>
      <c r="Y86" s="3" t="n"/>
      <c r="Z86" s="3" t="n"/>
    </row>
    <row r="87">
      <c r="A87" s="36" t="inlineStr">
        <is>
          <t xml:space="preserve">  + Stock-based compensation [C]</t>
        </is>
      </c>
      <c r="B87" s="23">
        <f>B20+B49+B68</f>
        <v/>
      </c>
      <c r="C87" s="23">
        <f>C20+C49+C68</f>
        <v/>
      </c>
      <c r="D87" s="23">
        <f>D20+D49+D68</f>
        <v/>
      </c>
      <c r="E87" s="23">
        <f>E20+E49+E68</f>
        <v/>
      </c>
      <c r="F87" s="23">
        <f>F20+F49+F68</f>
        <v/>
      </c>
      <c r="G87" s="23">
        <f>G20+G49+G68</f>
        <v/>
      </c>
      <c r="H87" s="23">
        <f>H20+H49+H68</f>
        <v/>
      </c>
      <c r="I87" s="23">
        <f>I20+I49+I68</f>
        <v/>
      </c>
      <c r="J87" s="23">
        <f>J20+J49+J68</f>
        <v/>
      </c>
      <c r="K87" s="4" t="inlineStr">
        <is>
          <t>[C]</t>
        </is>
      </c>
      <c r="L87" s="3" t="n"/>
      <c r="M87" s="3" t="n"/>
      <c r="N87" s="3" t="n"/>
      <c r="O87" s="3" t="n"/>
      <c r="P87" s="3" t="n"/>
      <c r="Q87" s="3" t="n"/>
      <c r="R87" s="3" t="n"/>
      <c r="S87" s="3" t="n"/>
      <c r="T87" s="3" t="n"/>
      <c r="U87" s="3" t="n"/>
      <c r="V87" s="3" t="n"/>
      <c r="W87" s="3" t="n"/>
      <c r="X87" s="3" t="n"/>
      <c r="Y87" s="3" t="n"/>
      <c r="Z87" s="3" t="n"/>
    </row>
    <row r="88">
      <c r="A88" s="36" t="inlineStr">
        <is>
          <t xml:space="preserve">  + Transaction (separation) costs [C]</t>
        </is>
      </c>
      <c r="B88" s="23">
        <f>B21+B50+B69</f>
        <v/>
      </c>
      <c r="C88" s="23">
        <f>C21+C50+C69</f>
        <v/>
      </c>
      <c r="D88" s="23">
        <f>D21+D50+D69</f>
        <v/>
      </c>
      <c r="E88" s="23">
        <f>E21+E50+E69</f>
        <v/>
      </c>
      <c r="F88" s="23">
        <f>F21+F50+F69</f>
        <v/>
      </c>
      <c r="G88" s="23">
        <f>G21+G50+G69</f>
        <v/>
      </c>
      <c r="H88" s="23">
        <f>H21+H50+H69</f>
        <v/>
      </c>
      <c r="I88" s="23">
        <f>I21+I50+I69</f>
        <v/>
      </c>
      <c r="J88" s="23">
        <f>J21+J50+J69</f>
        <v/>
      </c>
      <c r="K88" s="4" t="inlineStr">
        <is>
          <t>[C]</t>
        </is>
      </c>
      <c r="L88" s="3" t="n"/>
      <c r="M88" s="3" t="n"/>
      <c r="N88" s="3" t="n"/>
      <c r="O88" s="3" t="n"/>
      <c r="P88" s="3" t="n"/>
      <c r="Q88" s="3" t="n"/>
      <c r="R88" s="3" t="n"/>
      <c r="S88" s="3" t="n"/>
      <c r="T88" s="3" t="n"/>
      <c r="U88" s="3" t="n"/>
      <c r="V88" s="3" t="n"/>
      <c r="W88" s="3" t="n"/>
      <c r="X88" s="3" t="n"/>
      <c r="Y88" s="3" t="n"/>
      <c r="Z88" s="3" t="n"/>
    </row>
    <row r="89">
      <c r="A89" s="36" t="inlineStr">
        <is>
          <t xml:space="preserve">  + Employee severance &amp; other [C]</t>
        </is>
      </c>
      <c r="B89" s="23">
        <f>B22+B51+B70</f>
        <v/>
      </c>
      <c r="C89" s="23">
        <f>C22+C51+C70</f>
        <v/>
      </c>
      <c r="D89" s="23">
        <f>D22+D51+D70</f>
        <v/>
      </c>
      <c r="E89" s="23">
        <f>E22+E51+E70</f>
        <v/>
      </c>
      <c r="F89" s="23">
        <f>F22+F51+F70</f>
        <v/>
      </c>
      <c r="G89" s="23">
        <f>G22+G51+G70</f>
        <v/>
      </c>
      <c r="H89" s="23">
        <f>H22+H51+H70</f>
        <v/>
      </c>
      <c r="I89" s="23">
        <f>I22+I51+I70</f>
        <v/>
      </c>
      <c r="J89" s="23">
        <f>J22+J51+J70</f>
        <v/>
      </c>
      <c r="K89" s="4" t="inlineStr">
        <is>
          <t>[C]</t>
        </is>
      </c>
      <c r="L89" s="3" t="n"/>
      <c r="M89" s="3" t="n"/>
      <c r="N89" s="3" t="n"/>
      <c r="O89" s="3" t="n"/>
      <c r="P89" s="3" t="n"/>
      <c r="Q89" s="3" t="n"/>
      <c r="R89" s="3" t="n"/>
      <c r="S89" s="3" t="n"/>
      <c r="T89" s="3" t="n"/>
      <c r="U89" s="3" t="n"/>
      <c r="V89" s="3" t="n"/>
      <c r="W89" s="3" t="n"/>
      <c r="X89" s="3" t="n"/>
      <c r="Y89" s="3" t="n"/>
      <c r="Z89" s="3" t="n"/>
    </row>
    <row r="90">
      <c r="A90" s="36" t="inlineStr">
        <is>
          <t xml:space="preserve">  + Acquisition / integration / legal recovery / ELT [C]</t>
        </is>
      </c>
      <c r="B90" s="23">
        <f>B23+B52+B71</f>
        <v/>
      </c>
      <c r="C90" s="23">
        <f>C23+C52+C71</f>
        <v/>
      </c>
      <c r="D90" s="23">
        <f>D23+D52+D71</f>
        <v/>
      </c>
      <c r="E90" s="23">
        <f>E23+E52+E71</f>
        <v/>
      </c>
      <c r="F90" s="23">
        <f>F23+F52+F71</f>
        <v/>
      </c>
      <c r="G90" s="23">
        <f>G23+G52+G71</f>
        <v/>
      </c>
      <c r="H90" s="23">
        <f>H23+H52+H71</f>
        <v/>
      </c>
      <c r="I90" s="23">
        <f>I23+I52+I71</f>
        <v/>
      </c>
      <c r="J90" s="23">
        <f>J23+J52+J71</f>
        <v/>
      </c>
      <c r="K90" s="4" t="inlineStr">
        <is>
          <t>[C]</t>
        </is>
      </c>
      <c r="L90" s="3" t="n"/>
      <c r="M90" s="3" t="n"/>
      <c r="N90" s="3" t="n"/>
      <c r="O90" s="3" t="n"/>
      <c r="P90" s="3" t="n"/>
      <c r="Q90" s="3" t="n"/>
      <c r="R90" s="3" t="n"/>
      <c r="S90" s="3" t="n"/>
      <c r="T90" s="3" t="n"/>
      <c r="U90" s="3" t="n"/>
      <c r="V90" s="3" t="n"/>
      <c r="W90" s="3" t="n"/>
      <c r="X90" s="3" t="n"/>
      <c r="Y90" s="3" t="n"/>
      <c r="Z90" s="3" t="n"/>
    </row>
    <row r="91">
      <c r="A91" s="31" t="inlineStr">
        <is>
          <t>Adjusted EBITDA — uniform build [C]</t>
        </is>
      </c>
      <c r="B91" s="24">
        <f>B24+B53+B72</f>
        <v/>
      </c>
      <c r="C91" s="24">
        <f>C24+C53+C72</f>
        <v/>
      </c>
      <c r="D91" s="24">
        <f>D24+D53+D72</f>
        <v/>
      </c>
      <c r="E91" s="24">
        <f>E24+E53+E72</f>
        <v/>
      </c>
      <c r="F91" s="24">
        <f>F24+F53+F72</f>
        <v/>
      </c>
      <c r="G91" s="24">
        <f>G24+G53+G72</f>
        <v/>
      </c>
      <c r="H91" s="24">
        <f>H24+H53+H72</f>
        <v/>
      </c>
      <c r="I91" s="24">
        <f>I24+I53+I72</f>
        <v/>
      </c>
      <c r="J91" s="24">
        <f>J24+J53+J72</f>
        <v/>
      </c>
      <c r="K91" s="4" t="inlineStr">
        <is>
          <t>[C]</t>
        </is>
      </c>
      <c r="L91" s="3" t="n"/>
      <c r="M91" s="3" t="n"/>
      <c r="N91" s="3" t="n"/>
      <c r="O91" s="3" t="n"/>
      <c r="P91" s="3" t="n"/>
      <c r="Q91" s="3" t="n"/>
      <c r="R91" s="3" t="n"/>
      <c r="S91" s="3" t="n"/>
      <c r="T91" s="3" t="n"/>
      <c r="U91" s="3" t="n"/>
      <c r="V91" s="3" t="n"/>
      <c r="W91" s="3" t="n"/>
      <c r="X91" s="3" t="n"/>
      <c r="Y91" s="3" t="n"/>
      <c r="Z91" s="3" t="n"/>
    </row>
    <row r="92">
      <c r="A92" s="36" t="inlineStr">
        <is>
          <t>Adjusted EBITDA — sum of reported segments [C]</t>
        </is>
      </c>
      <c r="B92" s="23">
        <f>B25+B54+B73</f>
        <v/>
      </c>
      <c r="C92" s="23">
        <f>C25+C54+C73</f>
        <v/>
      </c>
      <c r="D92" s="23">
        <f>D25+D54+D73</f>
        <v/>
      </c>
      <c r="E92" s="23">
        <f>E25+E54+E73</f>
        <v/>
      </c>
      <c r="F92" s="23">
        <f>F25+F54+F73</f>
        <v/>
      </c>
      <c r="G92" s="23">
        <f>G25+G54+G73</f>
        <v/>
      </c>
      <c r="H92" s="23">
        <f>H25+H54+H73</f>
        <v/>
      </c>
      <c r="I92" s="23">
        <f>I25+I54+I73</f>
        <v/>
      </c>
      <c r="J92" s="23">
        <f>J25+J54+J73</f>
        <v/>
      </c>
      <c r="K92" s="4" t="inlineStr">
        <is>
          <t>[C]</t>
        </is>
      </c>
      <c r="L92" s="3" t="n"/>
      <c r="M92" s="3" t="n"/>
      <c r="N92" s="3" t="n"/>
      <c r="O92" s="3" t="n"/>
      <c r="P92" s="3" t="n"/>
      <c r="Q92" s="3" t="n"/>
      <c r="R92" s="3" t="n"/>
      <c r="S92" s="3" t="n"/>
      <c r="T92" s="3" t="n"/>
      <c r="U92" s="3" t="n"/>
      <c r="V92" s="3" t="n"/>
      <c r="W92" s="3" t="n"/>
      <c r="X92" s="3" t="n"/>
      <c r="Y92" s="3" t="n"/>
      <c r="Z92" s="3" t="n"/>
    </row>
    <row r="93">
      <c r="A93" s="31" t="inlineStr">
        <is>
          <t xml:space="preserve">  Adjusted EBITDA margin (reported segments) [C]</t>
        </is>
      </c>
      <c r="B93" s="37">
        <f>B92/B77</f>
        <v/>
      </c>
      <c r="C93" s="37">
        <f>C92/C77</f>
        <v/>
      </c>
      <c r="D93" s="37">
        <f>D92/D77</f>
        <v/>
      </c>
      <c r="E93" s="37">
        <f>E92/E77</f>
        <v/>
      </c>
      <c r="F93" s="37">
        <f>F92/F77</f>
        <v/>
      </c>
      <c r="G93" s="37">
        <f>G92/G77</f>
        <v/>
      </c>
      <c r="H93" s="37">
        <f>H92/H77</f>
        <v/>
      </c>
      <c r="I93" s="37">
        <f>I92/I77</f>
        <v/>
      </c>
      <c r="J93" s="37">
        <f>J92/J77</f>
        <v/>
      </c>
      <c r="K93" s="4" t="inlineStr">
        <is>
          <t>[C]</t>
        </is>
      </c>
      <c r="L93" s="3" t="n"/>
      <c r="M93" s="3" t="n"/>
      <c r="N93" s="3" t="n"/>
      <c r="O93" s="3" t="n"/>
      <c r="P93" s="3" t="n"/>
      <c r="Q93" s="3" t="n"/>
      <c r="R93" s="3" t="n"/>
      <c r="S93" s="3" t="n"/>
      <c r="T93" s="3" t="n"/>
      <c r="U93" s="3" t="n"/>
      <c r="V93" s="3" t="n"/>
      <c r="W93" s="3" t="n"/>
      <c r="X93" s="3" t="n"/>
      <c r="Y93" s="3" t="n"/>
      <c r="Z93" s="3" t="n"/>
    </row>
    <row r="94">
      <c r="A94" s="36" t="inlineStr">
        <is>
          <t xml:space="preserve">  Adjusted EBITDA growth y/y [C]</t>
        </is>
      </c>
      <c r="B94" s="3" t="n"/>
      <c r="C94" s="20">
        <f>C92/B92-1</f>
        <v/>
      </c>
      <c r="D94" s="20">
        <f>D92/C92-1</f>
        <v/>
      </c>
      <c r="E94" s="3" t="n"/>
      <c r="F94" s="3" t="n"/>
      <c r="G94" s="3" t="n"/>
      <c r="H94" s="20">
        <f>H92/E92-1</f>
        <v/>
      </c>
      <c r="I94" s="20">
        <f>I92/F92-1</f>
        <v/>
      </c>
      <c r="J94" s="20">
        <f>J92/G92-1</f>
        <v/>
      </c>
      <c r="K94" s="4" t="inlineStr">
        <is>
          <t>[C]</t>
        </is>
      </c>
      <c r="L94" s="3" t="n"/>
      <c r="M94" s="3" t="n"/>
      <c r="N94" s="3" t="n"/>
      <c r="O94" s="3" t="n"/>
      <c r="P94" s="3" t="n"/>
      <c r="Q94" s="3" t="n"/>
      <c r="R94" s="3" t="n"/>
      <c r="S94" s="3" t="n"/>
      <c r="T94" s="3" t="n"/>
      <c r="U94" s="3" t="n"/>
      <c r="V94" s="3" t="n"/>
      <c r="W94" s="3" t="n"/>
      <c r="X94" s="3" t="n"/>
      <c r="Y94" s="3" t="n"/>
      <c r="Z94" s="3" t="n"/>
    </row>
    <row r="95">
      <c r="A95" s="36" t="inlineStr">
        <is>
          <t xml:space="preserve">  Cash operating costs [C]</t>
        </is>
      </c>
      <c r="B95" s="23">
        <f>B77-B92</f>
        <v/>
      </c>
      <c r="C95" s="23">
        <f>C77-C92</f>
        <v/>
      </c>
      <c r="D95" s="23">
        <f>D77-D92</f>
        <v/>
      </c>
      <c r="E95" s="23">
        <f>E77-E92</f>
        <v/>
      </c>
      <c r="F95" s="23">
        <f>F77-F92</f>
        <v/>
      </c>
      <c r="G95" s="23">
        <f>G77-G92</f>
        <v/>
      </c>
      <c r="H95" s="23">
        <f>H77-H92</f>
        <v/>
      </c>
      <c r="I95" s="23">
        <f>I77-I92</f>
        <v/>
      </c>
      <c r="J95" s="23">
        <f>J77-J92</f>
        <v/>
      </c>
      <c r="K95" s="4" t="inlineStr">
        <is>
          <t>[C]</t>
        </is>
      </c>
      <c r="L95" s="3" t="n"/>
      <c r="M95" s="3" t="n"/>
      <c r="N95" s="3" t="n"/>
      <c r="O95" s="3" t="n"/>
      <c r="P95" s="3" t="n"/>
      <c r="Q95" s="3" t="n"/>
      <c r="R95" s="3" t="n"/>
      <c r="S95" s="3" t="n"/>
      <c r="T95" s="3" t="n"/>
      <c r="U95" s="3" t="n"/>
      <c r="V95" s="3" t="n"/>
      <c r="W95" s="3" t="n"/>
      <c r="X95" s="3" t="n"/>
      <c r="Y95" s="3" t="n"/>
      <c r="Z95" s="3" t="n"/>
    </row>
    <row r="96">
      <c r="A96" s="36" t="inlineStr">
        <is>
          <t xml:space="preserve">  CARFAX share of revenue [C]</t>
        </is>
      </c>
      <c r="B96" s="20">
        <f>B6/B77</f>
        <v/>
      </c>
      <c r="C96" s="20">
        <f>C6/C77</f>
        <v/>
      </c>
      <c r="D96" s="20">
        <f>D6/D77</f>
        <v/>
      </c>
      <c r="E96" s="20">
        <f>E6/E77</f>
        <v/>
      </c>
      <c r="F96" s="20">
        <f>F6/F77</f>
        <v/>
      </c>
      <c r="G96" s="20">
        <f>G6/G77</f>
        <v/>
      </c>
      <c r="H96" s="20">
        <f>H6/H77</f>
        <v/>
      </c>
      <c r="I96" s="20">
        <f>I6/I77</f>
        <v/>
      </c>
      <c r="J96" s="20">
        <f>J6/J77</f>
        <v/>
      </c>
      <c r="K96" s="4" t="inlineStr">
        <is>
          <t>[C]</t>
        </is>
      </c>
      <c r="L96" s="3" t="n"/>
      <c r="M96" s="3" t="n"/>
      <c r="N96" s="3" t="n"/>
      <c r="O96" s="3" t="n"/>
      <c r="P96" s="3" t="n"/>
      <c r="Q96" s="3" t="n"/>
      <c r="R96" s="3" t="n"/>
      <c r="S96" s="3" t="n"/>
      <c r="T96" s="3" t="n"/>
      <c r="U96" s="3" t="n"/>
      <c r="V96" s="3" t="n"/>
      <c r="W96" s="3" t="n"/>
      <c r="X96" s="3" t="n"/>
      <c r="Y96" s="3" t="n"/>
      <c r="Z96" s="3" t="n"/>
    </row>
    <row r="97">
      <c r="A97" s="36" t="inlineStr">
        <is>
          <t xml:space="preserve">  CARFAX share of segment Adj. EBITDA (before Corporate) [C]</t>
        </is>
      </c>
      <c r="B97" s="20">
        <f>B25/(B25+B54)</f>
        <v/>
      </c>
      <c r="C97" s="20">
        <f>C25/(C25+C54)</f>
        <v/>
      </c>
      <c r="D97" s="20">
        <f>D25/(D25+D54)</f>
        <v/>
      </c>
      <c r="E97" s="20">
        <f>E25/(E25+E54)</f>
        <v/>
      </c>
      <c r="F97" s="20">
        <f>F25/(F25+F54)</f>
        <v/>
      </c>
      <c r="G97" s="20">
        <f>G25/(G25+G54)</f>
        <v/>
      </c>
      <c r="H97" s="20">
        <f>H25/(H25+H54)</f>
        <v/>
      </c>
      <c r="I97" s="20">
        <f>I25/(I25+I54)</f>
        <v/>
      </c>
      <c r="J97" s="20">
        <f>J25/(J25+J54)</f>
        <v/>
      </c>
      <c r="K97" s="4" t="inlineStr">
        <is>
          <t>[C]</t>
        </is>
      </c>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14" t="inlineStr">
        <is>
          <t>Reconciliation to reported totals</t>
        </is>
      </c>
      <c r="B99" s="15" t="n"/>
      <c r="C99" s="15" t="n"/>
      <c r="D99" s="15" t="n"/>
      <c r="E99" s="15" t="n"/>
      <c r="F99" s="15" t="n"/>
      <c r="G99" s="15" t="n"/>
      <c r="H99" s="15" t="n"/>
      <c r="I99" s="15" t="n"/>
      <c r="J99" s="15" t="n"/>
      <c r="K99" s="15" t="n"/>
      <c r="L99" s="3" t="n"/>
      <c r="M99" s="3" t="n"/>
      <c r="N99" s="3" t="n"/>
      <c r="O99" s="3" t="n"/>
      <c r="P99" s="3" t="n"/>
      <c r="Q99" s="3" t="n"/>
      <c r="R99" s="3" t="n"/>
      <c r="S99" s="3" t="n"/>
      <c r="T99" s="3" t="n"/>
      <c r="U99" s="3" t="n"/>
      <c r="V99" s="3" t="n"/>
      <c r="W99" s="3" t="n"/>
      <c r="X99" s="3" t="n"/>
      <c r="Y99" s="3" t="n"/>
      <c r="Z99" s="3" t="n"/>
    </row>
    <row r="100">
      <c r="A100" s="19" t="inlineStr">
        <is>
          <t>Company-reported total Adjusted EBITDA [D]</t>
        </is>
      </c>
      <c r="B100" s="30" t="n">
        <v>598</v>
      </c>
      <c r="C100" s="30" t="n">
        <v>658</v>
      </c>
      <c r="D100" s="30" t="n">
        <v>711</v>
      </c>
      <c r="E100" s="30" t="n">
        <v>169</v>
      </c>
      <c r="F100" s="30" t="n">
        <v>188</v>
      </c>
      <c r="G100" s="30" t="n">
        <v>357</v>
      </c>
      <c r="H100" s="30" t="n">
        <v>184</v>
      </c>
      <c r="I100" s="30" t="n">
        <v>202</v>
      </c>
      <c r="J100" s="30" t="n">
        <v>386</v>
      </c>
      <c r="K100" s="4" t="inlineStr">
        <is>
          <t>10Q_Q2-2026; Form10A_2026-05-27</t>
        </is>
      </c>
      <c r="L100" s="3" t="n"/>
      <c r="M100" s="3" t="n"/>
      <c r="N100" s="3" t="n"/>
      <c r="O100" s="3" t="n"/>
      <c r="P100" s="3" t="n"/>
      <c r="Q100" s="3" t="n"/>
      <c r="R100" s="3" t="n"/>
      <c r="S100" s="3" t="n"/>
      <c r="T100" s="3" t="n"/>
      <c r="U100" s="3" t="n"/>
      <c r="V100" s="3" t="n"/>
      <c r="W100" s="3" t="n"/>
      <c r="X100" s="3" t="n"/>
      <c r="Y100" s="3" t="n"/>
      <c r="Z100" s="3" t="n"/>
    </row>
    <row r="101">
      <c r="A101" s="36" t="inlineStr">
        <is>
          <t>Sum of reported segments − company-reported total [C] (printed footing: FY23 597 vs 598; FY24 659 vs 658)</t>
        </is>
      </c>
      <c r="B101" s="23">
        <f>B92-B100</f>
        <v/>
      </c>
      <c r="C101" s="23">
        <f>C92-C100</f>
        <v/>
      </c>
      <c r="D101" s="23">
        <f>D92-D100</f>
        <v/>
      </c>
      <c r="E101" s="23">
        <f>E92-E100</f>
        <v/>
      </c>
      <c r="F101" s="23">
        <f>F92-F100</f>
        <v/>
      </c>
      <c r="G101" s="23">
        <f>G92-G100</f>
        <v/>
      </c>
      <c r="H101" s="23">
        <f>H92-H100</f>
        <v/>
      </c>
      <c r="I101" s="23">
        <f>I92-I100</f>
        <v/>
      </c>
      <c r="J101" s="23">
        <f>J92-J100</f>
        <v/>
      </c>
      <c r="K101" s="4" t="inlineStr">
        <is>
          <t>[C]</t>
        </is>
      </c>
      <c r="L101" s="3" t="n"/>
      <c r="M101" s="3" t="n"/>
      <c r="N101" s="3" t="n"/>
      <c r="O101" s="3" t="n"/>
      <c r="P101" s="3" t="n"/>
      <c r="Q101" s="3" t="n"/>
      <c r="R101" s="3" t="n"/>
      <c r="S101" s="3" t="n"/>
      <c r="T101" s="3" t="n"/>
      <c r="U101" s="3" t="n"/>
      <c r="V101" s="3" t="n"/>
      <c r="W101" s="3" t="n"/>
      <c r="X101" s="3" t="n"/>
      <c r="Y101" s="3" t="n"/>
      <c r="Z101" s="3" t="n"/>
    </row>
    <row r="102">
      <c r="A102" s="25" t="inlineStr">
        <is>
          <t>CHECK revenue = IS revenue</t>
        </is>
      </c>
      <c r="B102" s="34">
        <f>B77-'IS'!B6</f>
        <v/>
      </c>
      <c r="C102" s="34">
        <f>C77-'IS'!C6</f>
        <v/>
      </c>
      <c r="D102" s="34">
        <f>D77-'IS'!D6</f>
        <v/>
      </c>
      <c r="E102" s="34">
        <f>E77-'IS'!E6</f>
        <v/>
      </c>
      <c r="F102" s="34">
        <f>F77-'IS'!F6</f>
        <v/>
      </c>
      <c r="G102" s="34">
        <f>G77-'IS'!G6</f>
        <v/>
      </c>
      <c r="H102" s="34">
        <f>H77-'IS'!H6</f>
        <v/>
      </c>
      <c r="I102" s="34">
        <f>I77-'IS'!I6</f>
        <v/>
      </c>
      <c r="J102" s="34">
        <f>J77-'IS'!J6</f>
        <v/>
      </c>
      <c r="K102" s="4" t="inlineStr">
        <is>
          <t>[C]</t>
        </is>
      </c>
      <c r="L102" s="3" t="n"/>
      <c r="M102" s="3" t="n"/>
      <c r="N102" s="3" t="n"/>
      <c r="O102" s="3" t="n"/>
      <c r="P102" s="3" t="n"/>
      <c r="Q102" s="3" t="n"/>
      <c r="R102" s="3" t="n"/>
      <c r="S102" s="3" t="n"/>
      <c r="T102" s="3" t="n"/>
      <c r="U102" s="3" t="n"/>
      <c r="V102" s="3" t="n"/>
      <c r="W102" s="3" t="n"/>
      <c r="X102" s="3" t="n"/>
      <c r="Y102" s="3" t="n"/>
      <c r="Z102" s="3" t="inlineStr">
        <is>
          <t>CHECK</t>
        </is>
      </c>
    </row>
    <row r="103">
      <c r="A103" s="25" t="inlineStr">
        <is>
          <t>CHECK operating profit = IS operating profit</t>
        </is>
      </c>
      <c r="B103" s="34">
        <f>B83-'IS'!B12</f>
        <v/>
      </c>
      <c r="C103" s="34">
        <f>C83-'IS'!C12</f>
        <v/>
      </c>
      <c r="D103" s="34">
        <f>D83-'IS'!D12</f>
        <v/>
      </c>
      <c r="E103" s="34">
        <f>E83-'IS'!E12</f>
        <v/>
      </c>
      <c r="F103" s="34">
        <f>F83-'IS'!F12</f>
        <v/>
      </c>
      <c r="G103" s="34">
        <f>G83-'IS'!G12</f>
        <v/>
      </c>
      <c r="H103" s="34">
        <f>H83-'IS'!H12</f>
        <v/>
      </c>
      <c r="I103" s="34">
        <f>I83-'IS'!I12</f>
        <v/>
      </c>
      <c r="J103" s="34">
        <f>J83-'IS'!J12</f>
        <v/>
      </c>
      <c r="K103" s="4" t="inlineStr">
        <is>
          <t>[C]</t>
        </is>
      </c>
      <c r="L103" s="3" t="n"/>
      <c r="M103" s="3" t="n"/>
      <c r="N103" s="3" t="n"/>
      <c r="O103" s="3" t="n"/>
      <c r="P103" s="3" t="n"/>
      <c r="Q103" s="3" t="n"/>
      <c r="R103" s="3" t="n"/>
      <c r="S103" s="3" t="n"/>
      <c r="T103" s="3" t="n"/>
      <c r="U103" s="3" t="n"/>
      <c r="V103" s="3" t="n"/>
      <c r="W103" s="3" t="n"/>
      <c r="X103" s="3" t="n"/>
      <c r="Y103" s="3" t="n"/>
      <c r="Z103" s="3" t="inlineStr">
        <is>
          <t>CHECK</t>
        </is>
      </c>
    </row>
    <row r="104">
      <c r="A104" s="25" t="inlineStr">
        <is>
          <t>CHECK subscription + non-subscription = revenue (segments)</t>
        </is>
      </c>
      <c r="B104" s="27">
        <f>B79+B80-B77</f>
        <v/>
      </c>
      <c r="C104" s="27">
        <f>C79+C80-C77</f>
        <v/>
      </c>
      <c r="D104" s="27">
        <f>D79+D80-D77</f>
        <v/>
      </c>
      <c r="E104" s="27">
        <f>E79+E80-E77</f>
        <v/>
      </c>
      <c r="F104" s="27">
        <f>F79+F80-F77</f>
        <v/>
      </c>
      <c r="G104" s="27">
        <f>G79+G80-G77</f>
        <v/>
      </c>
      <c r="H104" s="27">
        <f>H79+H80-H77</f>
        <v/>
      </c>
      <c r="I104" s="27">
        <f>I79+I80-I77</f>
        <v/>
      </c>
      <c r="J104" s="27">
        <f>J79+J80-J77</f>
        <v/>
      </c>
      <c r="K104" s="4" t="inlineStr">
        <is>
          <t>[C]</t>
        </is>
      </c>
      <c r="L104" s="3" t="n"/>
      <c r="M104" s="3" t="n"/>
      <c r="N104" s="3" t="n"/>
      <c r="O104" s="3" t="n"/>
      <c r="P104" s="3" t="n"/>
      <c r="Q104" s="3" t="n"/>
      <c r="R104" s="3" t="n"/>
      <c r="S104" s="3" t="n"/>
      <c r="T104" s="3" t="n"/>
      <c r="U104" s="3" t="n"/>
      <c r="V104" s="3" t="n"/>
      <c r="W104" s="3" t="n"/>
      <c r="X104" s="3" t="n"/>
      <c r="Y104" s="3" t="n"/>
      <c r="Z104" s="3" t="inlineStr">
        <is>
          <t>CHECK</t>
        </is>
      </c>
    </row>
    <row r="105">
      <c r="A105" s="25" t="inlineStr">
        <is>
          <t>CHECK U.S. + International = revenue (segments)</t>
        </is>
      </c>
      <c r="B105" s="27">
        <f>B81+B82-B77</f>
        <v/>
      </c>
      <c r="C105" s="27">
        <f>C81+C82-C77</f>
        <v/>
      </c>
      <c r="D105" s="27">
        <f>D81+D82-D77</f>
        <v/>
      </c>
      <c r="E105" s="27">
        <f>E81+E82-E77</f>
        <v/>
      </c>
      <c r="F105" s="27">
        <f>F81+F82-F77</f>
        <v/>
      </c>
      <c r="G105" s="27">
        <f>G81+G82-G77</f>
        <v/>
      </c>
      <c r="H105" s="27">
        <f>H81+H82-H77</f>
        <v/>
      </c>
      <c r="I105" s="27">
        <f>I81+I82-I77</f>
        <v/>
      </c>
      <c r="J105" s="27">
        <f>J81+J82-J77</f>
        <v/>
      </c>
      <c r="K105" s="4" t="inlineStr">
        <is>
          <t>[C]</t>
        </is>
      </c>
      <c r="L105" s="3" t="n"/>
      <c r="M105" s="3" t="n"/>
      <c r="N105" s="3" t="n"/>
      <c r="O105" s="3" t="n"/>
      <c r="P105" s="3" t="n"/>
      <c r="Q105" s="3" t="n"/>
      <c r="R105" s="3" t="n"/>
      <c r="S105" s="3" t="n"/>
      <c r="T105" s="3" t="n"/>
      <c r="U105" s="3" t="n"/>
      <c r="V105" s="3" t="n"/>
      <c r="W105" s="3" t="n"/>
      <c r="X105" s="3" t="n"/>
      <c r="Y105" s="3" t="n"/>
      <c r="Z105" s="3" t="inlineStr">
        <is>
          <t>CHECK</t>
        </is>
      </c>
    </row>
    <row r="106">
      <c r="A106" s="25" t="inlineStr">
        <is>
          <t>CHECK CARFAX: 6M = Q1 + Q2 (operating profit and reported Adj. EBITDA, across the definition change)</t>
        </is>
      </c>
      <c r="B106" s="25" t="inlineStr">
        <is>
          <t>n/a</t>
        </is>
      </c>
      <c r="C106" s="25" t="inlineStr">
        <is>
          <t>n/a</t>
        </is>
      </c>
      <c r="D106" s="25" t="inlineStr">
        <is>
          <t>n/a</t>
        </is>
      </c>
      <c r="E106" s="25" t="inlineStr">
        <is>
          <t>n/a</t>
        </is>
      </c>
      <c r="F106" s="25" t="inlineStr">
        <is>
          <t>n/a</t>
        </is>
      </c>
      <c r="G106" s="27">
        <f>ABS(G16-E16-F16)+ABS(G25-E25-F25)</f>
        <v/>
      </c>
      <c r="H106" s="25" t="inlineStr">
        <is>
          <t>n/a</t>
        </is>
      </c>
      <c r="I106" s="25" t="inlineStr">
        <is>
          <t>n/a</t>
        </is>
      </c>
      <c r="J106" s="27">
        <f>ABS(J16-H16-I16)+ABS(J25-H25-I25)</f>
        <v/>
      </c>
      <c r="K106" s="4" t="inlineStr">
        <is>
          <t>[C]</t>
        </is>
      </c>
      <c r="L106" s="3" t="n"/>
      <c r="M106" s="3" t="n"/>
      <c r="N106" s="3" t="n"/>
      <c r="O106" s="3" t="n"/>
      <c r="P106" s="3" t="n"/>
      <c r="Q106" s="3" t="n"/>
      <c r="R106" s="3" t="n"/>
      <c r="S106" s="3" t="n"/>
      <c r="T106" s="3" t="n"/>
      <c r="U106" s="3" t="n"/>
      <c r="V106" s="3" t="n"/>
      <c r="W106" s="3" t="n"/>
      <c r="X106" s="3" t="n"/>
      <c r="Y106" s="3" t="n"/>
      <c r="Z106" s="3" t="inlineStr">
        <is>
          <t>CHECK</t>
        </is>
      </c>
    </row>
    <row r="107">
      <c r="A107" s="25" t="inlineStr">
        <is>
          <t>CHECK B2B: 6M = Q1 + Q2 (operating profit and reported Adj. EBITDA, across the definition change)</t>
        </is>
      </c>
      <c r="B107" s="25" t="inlineStr">
        <is>
          <t>n/a</t>
        </is>
      </c>
      <c r="C107" s="25" t="inlineStr">
        <is>
          <t>n/a</t>
        </is>
      </c>
      <c r="D107" s="25" t="inlineStr">
        <is>
          <t>n/a</t>
        </is>
      </c>
      <c r="E107" s="25" t="inlineStr">
        <is>
          <t>n/a</t>
        </is>
      </c>
      <c r="F107" s="25" t="inlineStr">
        <is>
          <t>n/a</t>
        </is>
      </c>
      <c r="G107" s="27">
        <f>ABS(G45-E45-F45)+ABS(G54-E54-F54)</f>
        <v/>
      </c>
      <c r="H107" s="25" t="inlineStr">
        <is>
          <t>n/a</t>
        </is>
      </c>
      <c r="I107" s="25" t="inlineStr">
        <is>
          <t>n/a</t>
        </is>
      </c>
      <c r="J107" s="27">
        <f>ABS(J45-H45-I45)+ABS(J54-H54-I54)</f>
        <v/>
      </c>
      <c r="K107" s="4" t="inlineStr">
        <is>
          <t>[C]</t>
        </is>
      </c>
      <c r="L107" s="3" t="n"/>
      <c r="M107" s="3" t="n"/>
      <c r="N107" s="3" t="n"/>
      <c r="O107" s="3" t="n"/>
      <c r="P107" s="3" t="n"/>
      <c r="Q107" s="3" t="n"/>
      <c r="R107" s="3" t="n"/>
      <c r="S107" s="3" t="n"/>
      <c r="T107" s="3" t="n"/>
      <c r="U107" s="3" t="n"/>
      <c r="V107" s="3" t="n"/>
      <c r="W107" s="3" t="n"/>
      <c r="X107" s="3" t="n"/>
      <c r="Y107" s="3" t="n"/>
      <c r="Z107" s="3" t="inlineStr">
        <is>
          <t>CHECK</t>
        </is>
      </c>
    </row>
    <row r="108">
      <c r="A108" s="25" t="inlineStr">
        <is>
          <t>CHECK Corporate: 6M = Q1 + Q2 (operating profit and reported Adj. EBITDA, across the definition change)</t>
        </is>
      </c>
      <c r="B108" s="25" t="inlineStr">
        <is>
          <t>n/a</t>
        </is>
      </c>
      <c r="C108" s="25" t="inlineStr">
        <is>
          <t>n/a</t>
        </is>
      </c>
      <c r="D108" s="25" t="inlineStr">
        <is>
          <t>n/a</t>
        </is>
      </c>
      <c r="E108" s="25" t="inlineStr">
        <is>
          <t>n/a</t>
        </is>
      </c>
      <c r="F108" s="25" t="inlineStr">
        <is>
          <t>n/a</t>
        </is>
      </c>
      <c r="G108" s="27">
        <f>ABS(G65-E65-F65)+ABS(G73-E73-F73)</f>
        <v/>
      </c>
      <c r="H108" s="25" t="inlineStr">
        <is>
          <t>n/a</t>
        </is>
      </c>
      <c r="I108" s="25" t="inlineStr">
        <is>
          <t>n/a</t>
        </is>
      </c>
      <c r="J108" s="27">
        <f>ABS(J65-H65-I65)+ABS(J73-H73-I73)</f>
        <v/>
      </c>
      <c r="K108" s="4" t="inlineStr">
        <is>
          <t>[C]</t>
        </is>
      </c>
      <c r="L108" s="3" t="n"/>
      <c r="M108" s="3" t="n"/>
      <c r="N108" s="3" t="n"/>
      <c r="O108" s="3" t="n"/>
      <c r="P108" s="3" t="n"/>
      <c r="Q108" s="3" t="n"/>
      <c r="R108" s="3" t="n"/>
      <c r="S108" s="3" t="n"/>
      <c r="T108" s="3" t="n"/>
      <c r="U108" s="3" t="n"/>
      <c r="V108" s="3" t="n"/>
      <c r="W108" s="3" t="n"/>
      <c r="X108" s="3" t="n"/>
      <c r="Y108" s="3" t="n"/>
      <c r="Z108" s="3" t="inlineStr">
        <is>
          <t>CHECK</t>
        </is>
      </c>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4" t="inlineStr">
        <is>
          <t>Uniform basis: every period is expressed as segment operating profit plus the same add-back categories, so the definition change in Q2-2026 (10 → 6 company exclusions) does not break the series — in these periods the excluded items are fully captured by the add-back rows.</t>
        </is>
      </c>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4" t="inlineStr">
        <is>
          <t>Special items are grouped: "transaction" = separation costs; "severance &amp; other" incl. the Q1-2025 "Other" and FY2025 total "Other (1)"; "acquisition / integration / legal recovery / ELT" = FY2023–25 Form 10/A items (legal recovery and ELT benefit are negative).</t>
        </is>
      </c>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4" t="inlineStr">
        <is>
          <t>Gaps (no derivation): FY2025 CARFAX/Corporate split of a $2m "Other" item; Q1-2026 B2B depreciation (≈$1m implied, not recorded). Corporate has no revenue, amortization, depreciation or SBC in any period.</t>
        </is>
      </c>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4" t="inlineStr">
        <is>
          <t>Q2 &amp; 6M segment operating-related / selling &amp; general split is not disclosed in the 10-Q (segment "expenses" there exclude D&amp;A, SBC and special items) — memo rows left blank.</t>
        </is>
      </c>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5" customWidth="1" min="11" max="11"/>
    <col hidden="1" width="13" customWidth="1" min="26" max="26"/>
  </cols>
  <sheetData>
    <row r="1" ht="20" customHeight="1">
      <c r="A1" s="1" t="inlineStr">
        <is>
          <t>Segments — as defined in each filing (never recast backwards)</t>
        </is>
      </c>
      <c r="B1" s="2" t="n"/>
      <c r="C1" s="2" t="n"/>
      <c r="D1" s="2" t="n"/>
      <c r="E1" s="2" t="n"/>
      <c r="F1" s="2" t="n"/>
      <c r="G1" s="2" t="n"/>
      <c r="H1" s="2" t="n"/>
      <c r="I1" s="2" t="n"/>
      <c r="J1" s="2" t="n"/>
      <c r="K1" s="2" t="n"/>
    </row>
    <row r="2">
      <c r="A2" s="4" t="inlineStr">
        <is>
          <t>Form 10/A: segment operating profit (ASU 2023-07 format). 10-Q/8-K: Adjusted EBITDA as segment measure from Q2-2026 (prior periods recast BY THE COMPANY). Bases not comparable — see Accounting Notes.</t>
        </is>
      </c>
      <c r="B2" s="3" t="n"/>
      <c r="C2" s="3" t="n"/>
      <c r="D2" s="3" t="n"/>
      <c r="E2" s="3" t="n"/>
      <c r="F2" s="3" t="n"/>
      <c r="G2" s="3" t="n"/>
      <c r="H2" s="3" t="n"/>
      <c r="I2" s="3" t="n"/>
      <c r="J2" s="3" t="n"/>
      <c r="K2" s="3" t="n"/>
    </row>
    <row r="3">
      <c r="A3" s="3" t="n"/>
      <c r="B3" s="3" t="n"/>
      <c r="C3" s="3" t="n"/>
      <c r="D3" s="3" t="n"/>
      <c r="E3" s="3" t="n"/>
      <c r="F3" s="3" t="n"/>
      <c r="G3" s="3" t="n"/>
      <c r="H3" s="3" t="n"/>
      <c r="I3" s="3" t="n"/>
      <c r="J3" s="3" t="n"/>
      <c r="K3" s="3" t="n"/>
    </row>
    <row r="4">
      <c r="A4" s="9" t="inlineStr">
        <is>
          <t>Line item (verbatim caption)</t>
        </is>
      </c>
      <c r="B4" s="29" t="inlineStr">
        <is>
          <t>FY2023</t>
        </is>
      </c>
      <c r="C4" s="29" t="inlineStr">
        <is>
          <t>FY2024</t>
        </is>
      </c>
      <c r="D4" s="29" t="inlineStr">
        <is>
          <t>FY2025</t>
        </is>
      </c>
      <c r="E4" s="29" t="inlineStr">
        <is>
          <t>Q1-2025</t>
        </is>
      </c>
      <c r="F4" s="29" t="inlineStr">
        <is>
          <t>Q2-2025</t>
        </is>
      </c>
      <c r="G4" s="29" t="inlineStr">
        <is>
          <t>6M-2025</t>
        </is>
      </c>
      <c r="H4" s="29" t="inlineStr">
        <is>
          <t>Q1-2026</t>
        </is>
      </c>
      <c r="I4" s="29" t="inlineStr">
        <is>
          <t>Q2-2026</t>
        </is>
      </c>
      <c r="J4" s="29" t="inlineStr">
        <is>
          <t>6M-2026</t>
        </is>
      </c>
      <c r="K4" s="29" t="inlineStr">
        <is>
          <t>Source (doc p.)</t>
        </is>
      </c>
    </row>
    <row r="5">
      <c r="A5" s="14" t="inlineStr">
        <is>
          <t>10Q_Q2-2026 · Note 7 Segment and Geographic Information - segment table</t>
        </is>
      </c>
      <c r="B5" s="15" t="n"/>
      <c r="C5" s="15" t="n"/>
      <c r="D5" s="15" t="n"/>
      <c r="E5" s="15" t="n"/>
      <c r="F5" s="15" t="n"/>
      <c r="G5" s="15" t="n"/>
      <c r="H5" s="15" t="n"/>
      <c r="I5" s="15" t="n"/>
      <c r="J5" s="15" t="n"/>
      <c r="K5" s="15" t="n"/>
    </row>
    <row r="6">
      <c r="A6" s="38" t="inlineStr">
        <is>
          <t>CARFAX: Revenue</t>
        </is>
      </c>
      <c r="B6" s="3" t="n"/>
      <c r="C6" s="3" t="n"/>
      <c r="D6" s="3" t="n"/>
      <c r="E6" s="3" t="n"/>
      <c r="F6" s="30" t="n">
        <v>289</v>
      </c>
      <c r="G6" s="30" t="n">
        <v>564</v>
      </c>
      <c r="H6" s="3" t="n"/>
      <c r="I6" s="30" t="n">
        <v>312</v>
      </c>
      <c r="J6" s="30" t="n">
        <v>610</v>
      </c>
      <c r="K6" s="4" t="inlineStr">
        <is>
          <t>10Q_Q2-2026 p14</t>
        </is>
      </c>
    </row>
    <row r="7">
      <c r="A7" s="38" t="inlineStr">
        <is>
          <t>B2B: Revenue</t>
        </is>
      </c>
      <c r="B7" s="3" t="n"/>
      <c r="C7" s="3" t="n"/>
      <c r="D7" s="3" t="n"/>
      <c r="E7" s="3" t="n"/>
      <c r="F7" s="30" t="n">
        <v>150</v>
      </c>
      <c r="G7" s="30" t="n">
        <v>295</v>
      </c>
      <c r="H7" s="3" t="n"/>
      <c r="I7" s="30" t="n">
        <v>156</v>
      </c>
      <c r="J7" s="30" t="n">
        <v>313</v>
      </c>
      <c r="K7" s="4" t="inlineStr">
        <is>
          <t>10Q_Q2-2026 p14</t>
        </is>
      </c>
    </row>
    <row r="8">
      <c r="A8" s="38" t="inlineStr">
        <is>
          <t>Corporate: Revenue</t>
        </is>
      </c>
      <c r="B8" s="3" t="n"/>
      <c r="C8" s="3" t="n"/>
      <c r="D8" s="3" t="n"/>
      <c r="E8" s="3" t="n"/>
      <c r="F8" s="30" t="n">
        <v>0</v>
      </c>
      <c r="G8" s="30" t="n">
        <v>0</v>
      </c>
      <c r="H8" s="3" t="n"/>
      <c r="I8" s="30" t="n">
        <v>0</v>
      </c>
      <c r="J8" s="30" t="n">
        <v>0</v>
      </c>
      <c r="K8" s="4" t="inlineStr">
        <is>
          <t>10Q_Q2-2026 p14</t>
        </is>
      </c>
    </row>
    <row r="9">
      <c r="A9" s="39" t="inlineStr">
        <is>
          <t>Total: Revenue</t>
        </is>
      </c>
      <c r="B9" s="3" t="n"/>
      <c r="C9" s="3" t="n"/>
      <c r="D9" s="3" t="n"/>
      <c r="E9" s="3" t="n"/>
      <c r="F9" s="18" t="n">
        <v>439</v>
      </c>
      <c r="G9" s="18" t="n">
        <v>859</v>
      </c>
      <c r="H9" s="3" t="n"/>
      <c r="I9" s="18" t="n">
        <v>468</v>
      </c>
      <c r="J9" s="18" t="n">
        <v>923</v>
      </c>
      <c r="K9" s="4" t="inlineStr">
        <is>
          <t>10Q_Q2-2026 p14</t>
        </is>
      </c>
    </row>
    <row r="10">
      <c r="A10" s="38" t="inlineStr">
        <is>
          <t>CARFAX: Less: segment expenses (1)</t>
        </is>
      </c>
      <c r="B10" s="3" t="n"/>
      <c r="C10" s="3" t="n"/>
      <c r="D10" s="3" t="n"/>
      <c r="E10" s="3" t="n"/>
      <c r="F10" s="30" t="n">
        <v>147</v>
      </c>
      <c r="G10" s="30" t="n">
        <v>292</v>
      </c>
      <c r="H10" s="3" t="n"/>
      <c r="I10" s="30" t="n">
        <v>159</v>
      </c>
      <c r="J10" s="30" t="n">
        <v>317</v>
      </c>
      <c r="K10" s="4" t="inlineStr">
        <is>
          <t>10Q_Q2-2026 p14</t>
        </is>
      </c>
    </row>
    <row r="11">
      <c r="A11" s="38" t="inlineStr">
        <is>
          <t>B2B: Less: segment expenses (1)</t>
        </is>
      </c>
      <c r="B11" s="3" t="n"/>
      <c r="C11" s="3" t="n"/>
      <c r="D11" s="3" t="n"/>
      <c r="E11" s="3" t="n"/>
      <c r="F11" s="30" t="n">
        <v>101</v>
      </c>
      <c r="G11" s="30" t="n">
        <v>202</v>
      </c>
      <c r="H11" s="3" t="n"/>
      <c r="I11" s="30" t="n">
        <v>103</v>
      </c>
      <c r="J11" s="30" t="n">
        <v>211</v>
      </c>
      <c r="K11" s="4" t="inlineStr">
        <is>
          <t>10Q_Q2-2026 p14</t>
        </is>
      </c>
    </row>
    <row r="12">
      <c r="A12" s="38" t="inlineStr">
        <is>
          <t>Corporate: Less: segment expenses (1)</t>
        </is>
      </c>
      <c r="B12" s="3" t="n"/>
      <c r="C12" s="3" t="n"/>
      <c r="D12" s="3" t="n"/>
      <c r="E12" s="3" t="n"/>
      <c r="F12" s="30" t="n">
        <v>3</v>
      </c>
      <c r="G12" s="30" t="n">
        <v>8</v>
      </c>
      <c r="H12" s="3" t="n"/>
      <c r="I12" s="30" t="n">
        <v>4</v>
      </c>
      <c r="J12" s="30" t="n">
        <v>9</v>
      </c>
      <c r="K12" s="4" t="inlineStr">
        <is>
          <t>10Q_Q2-2026 p14</t>
        </is>
      </c>
    </row>
    <row r="13">
      <c r="A13" s="39" t="inlineStr">
        <is>
          <t>Total: Less: segment expenses (1)</t>
        </is>
      </c>
      <c r="B13" s="3" t="n"/>
      <c r="C13" s="3" t="n"/>
      <c r="D13" s="3" t="n"/>
      <c r="E13" s="3" t="n"/>
      <c r="F13" s="18" t="n">
        <v>251</v>
      </c>
      <c r="G13" s="18" t="n">
        <v>502</v>
      </c>
      <c r="H13" s="3" t="n"/>
      <c r="I13" s="18" t="n">
        <v>266</v>
      </c>
      <c r="J13" s="18" t="n">
        <v>537</v>
      </c>
      <c r="K13" s="4" t="inlineStr">
        <is>
          <t>10Q_Q2-2026 p14</t>
        </is>
      </c>
    </row>
    <row r="14">
      <c r="A14" s="38" t="inlineStr">
        <is>
          <t>CARFAX: Adjusted EBITDA</t>
        </is>
      </c>
      <c r="B14" s="3" t="n"/>
      <c r="C14" s="3" t="n"/>
      <c r="D14" s="3" t="n"/>
      <c r="E14" s="3" t="n"/>
      <c r="F14" s="30" t="n">
        <v>142</v>
      </c>
      <c r="G14" s="30" t="n">
        <v>272</v>
      </c>
      <c r="H14" s="3" t="n"/>
      <c r="I14" s="30" t="n">
        <v>153</v>
      </c>
      <c r="J14" s="30" t="n">
        <v>293</v>
      </c>
      <c r="K14" s="4" t="inlineStr">
        <is>
          <t>10Q_Q2-2026 p14</t>
        </is>
      </c>
    </row>
    <row r="15">
      <c r="A15" s="38" t="inlineStr">
        <is>
          <t>B2B: Adjusted EBITDA</t>
        </is>
      </c>
      <c r="B15" s="3" t="n"/>
      <c r="C15" s="3" t="n"/>
      <c r="D15" s="3" t="n"/>
      <c r="E15" s="3" t="n"/>
      <c r="F15" s="30" t="n">
        <v>49</v>
      </c>
      <c r="G15" s="30" t="n">
        <v>93</v>
      </c>
      <c r="H15" s="3" t="n"/>
      <c r="I15" s="30" t="n">
        <v>53</v>
      </c>
      <c r="J15" s="30" t="n">
        <v>102</v>
      </c>
      <c r="K15" s="4" t="inlineStr">
        <is>
          <t>10Q_Q2-2026 p14</t>
        </is>
      </c>
    </row>
    <row r="16">
      <c r="A16" s="38" t="inlineStr">
        <is>
          <t>Corporate: Adjusted EBITDA</t>
        </is>
      </c>
      <c r="B16" s="3" t="n"/>
      <c r="C16" s="3" t="n"/>
      <c r="D16" s="3" t="n"/>
      <c r="E16" s="3" t="n"/>
      <c r="F16" s="30" t="n">
        <v>-3</v>
      </c>
      <c r="G16" s="30" t="n">
        <v>-8</v>
      </c>
      <c r="H16" s="3" t="n"/>
      <c r="I16" s="30" t="n">
        <v>-4</v>
      </c>
      <c r="J16" s="30" t="n">
        <v>-9</v>
      </c>
      <c r="K16" s="4" t="inlineStr">
        <is>
          <t>10Q_Q2-2026 p14</t>
        </is>
      </c>
    </row>
    <row r="17">
      <c r="A17" s="39" t="inlineStr">
        <is>
          <t>Total: Adjusted EBITDA</t>
        </is>
      </c>
      <c r="B17" s="3" t="n"/>
      <c r="C17" s="3" t="n"/>
      <c r="D17" s="3" t="n"/>
      <c r="E17" s="3" t="n"/>
      <c r="F17" s="18" t="n">
        <v>188</v>
      </c>
      <c r="G17" s="18" t="n">
        <v>357</v>
      </c>
      <c r="H17" s="3" t="n"/>
      <c r="I17" s="18" t="n">
        <v>202</v>
      </c>
      <c r="J17" s="18" t="n">
        <v>386</v>
      </c>
      <c r="K17" s="4" t="inlineStr">
        <is>
          <t>10Q_Q2-2026 p14</t>
        </is>
      </c>
    </row>
    <row r="18">
      <c r="A18" s="14" t="inlineStr">
        <is>
          <t>10Q_Q2-2026 · Note 7 Segment and Geographic Information</t>
        </is>
      </c>
      <c r="B18" s="15" t="n"/>
      <c r="C18" s="15" t="n"/>
      <c r="D18" s="15" t="n"/>
      <c r="E18" s="15" t="n"/>
      <c r="F18" s="15" t="n"/>
      <c r="G18" s="15" t="n"/>
      <c r="H18" s="15" t="n"/>
      <c r="I18" s="15" t="n"/>
      <c r="J18" s="15" t="n"/>
      <c r="K18" s="15" t="n"/>
    </row>
    <row r="19">
      <c r="A19" s="38" t="inlineStr">
        <is>
          <t>Reportable segments (count): CARFAX and B2B; Corporate category not allocated</t>
        </is>
      </c>
      <c r="B19" s="3" t="n"/>
      <c r="C19" s="3" t="n"/>
      <c r="D19" s="3" t="n"/>
      <c r="E19" s="3" t="n"/>
      <c r="F19" s="3" t="n"/>
      <c r="G19" s="3" t="n"/>
      <c r="H19" s="3" t="n"/>
      <c r="I19" s="40" t="n">
        <v>2</v>
      </c>
      <c r="J19" s="3" t="n"/>
      <c r="K19" s="4" t="inlineStr">
        <is>
          <t>10Q_Q2-2026 p14</t>
        </is>
      </c>
    </row>
    <row r="20">
      <c r="A20" s="14" t="inlineStr">
        <is>
          <t>10Q_Q2-2026 · MD&amp;A Segment Results - CARFAX</t>
        </is>
      </c>
      <c r="B20" s="15" t="n"/>
      <c r="C20" s="15" t="n"/>
      <c r="D20" s="15" t="n"/>
      <c r="E20" s="15" t="n"/>
      <c r="F20" s="15" t="n"/>
      <c r="G20" s="15" t="n"/>
      <c r="H20" s="15" t="n"/>
      <c r="I20" s="15" t="n"/>
      <c r="J20" s="15" t="n"/>
      <c r="K20" s="15" t="n"/>
    </row>
    <row r="21">
      <c r="A21" s="38" t="inlineStr">
        <is>
          <t>CARFAX: Revenue</t>
        </is>
      </c>
      <c r="B21" s="3" t="n"/>
      <c r="C21" s="3" t="n"/>
      <c r="D21" s="3" t="n"/>
      <c r="E21" s="3" t="n"/>
      <c r="F21" s="30" t="n">
        <v>289</v>
      </c>
      <c r="G21" s="30" t="n">
        <v>564</v>
      </c>
      <c r="H21" s="3" t="n"/>
      <c r="I21" s="30" t="n">
        <v>312</v>
      </c>
      <c r="J21" s="30" t="n">
        <v>610</v>
      </c>
      <c r="K21" s="4" t="inlineStr">
        <is>
          <t>10Q_Q2-2026 p28</t>
        </is>
      </c>
    </row>
    <row r="22">
      <c r="A22" s="38" t="inlineStr">
        <is>
          <t>CARFAX: Revenue - Change %</t>
        </is>
      </c>
      <c r="B22" s="3" t="n"/>
      <c r="C22" s="3" t="n"/>
      <c r="D22" s="3" t="n"/>
      <c r="E22" s="3" t="n"/>
      <c r="F22" s="3" t="n"/>
      <c r="G22" s="3" t="n"/>
      <c r="H22" s="3" t="n"/>
      <c r="I22" s="41" t="n">
        <v>8</v>
      </c>
      <c r="J22" s="41" t="n">
        <v>8</v>
      </c>
      <c r="K22" s="4" t="inlineStr">
        <is>
          <t>10Q_Q2-2026 p28</t>
        </is>
      </c>
    </row>
    <row r="23">
      <c r="A23" s="38" t="inlineStr">
        <is>
          <t>CARFAX: Subscription revenue</t>
        </is>
      </c>
      <c r="B23" s="3" t="n"/>
      <c r="C23" s="3" t="n"/>
      <c r="D23" s="3" t="n"/>
      <c r="E23" s="3" t="n"/>
      <c r="F23" s="30" t="n">
        <v>234</v>
      </c>
      <c r="G23" s="30" t="n">
        <v>459</v>
      </c>
      <c r="H23" s="3" t="n"/>
      <c r="I23" s="30" t="n">
        <v>252</v>
      </c>
      <c r="J23" s="30" t="n">
        <v>494</v>
      </c>
      <c r="K23" s="4" t="inlineStr">
        <is>
          <t>10Q_Q2-2026 p28</t>
        </is>
      </c>
    </row>
    <row r="24">
      <c r="A24" s="38" t="inlineStr">
        <is>
          <t>CARFAX: Subscription revenue - Change %</t>
        </is>
      </c>
      <c r="B24" s="3" t="n"/>
      <c r="C24" s="3" t="n"/>
      <c r="D24" s="3" t="n"/>
      <c r="E24" s="3" t="n"/>
      <c r="F24" s="3" t="n"/>
      <c r="G24" s="3" t="n"/>
      <c r="H24" s="3" t="n"/>
      <c r="I24" s="41" t="n">
        <v>8</v>
      </c>
      <c r="J24" s="41" t="n">
        <v>8</v>
      </c>
      <c r="K24" s="4" t="inlineStr">
        <is>
          <t>10Q_Q2-2026 p28</t>
        </is>
      </c>
    </row>
    <row r="25">
      <c r="A25" s="38" t="inlineStr">
        <is>
          <t>CARFAX: Non-subscription revenue</t>
        </is>
      </c>
      <c r="B25" s="3" t="n"/>
      <c r="C25" s="3" t="n"/>
      <c r="D25" s="3" t="n"/>
      <c r="E25" s="3" t="n"/>
      <c r="F25" s="30" t="n">
        <v>55</v>
      </c>
      <c r="G25" s="30" t="n">
        <v>105</v>
      </c>
      <c r="H25" s="3" t="n"/>
      <c r="I25" s="30" t="n">
        <v>60</v>
      </c>
      <c r="J25" s="30" t="n">
        <v>116</v>
      </c>
      <c r="K25" s="4" t="inlineStr">
        <is>
          <t>10Q_Q2-2026 p28</t>
        </is>
      </c>
    </row>
    <row r="26">
      <c r="A26" s="38" t="inlineStr">
        <is>
          <t>CARFAX: Non-subscription revenue - Change %</t>
        </is>
      </c>
      <c r="B26" s="3" t="n"/>
      <c r="C26" s="3" t="n"/>
      <c r="D26" s="3" t="n"/>
      <c r="E26" s="3" t="n"/>
      <c r="F26" s="3" t="n"/>
      <c r="G26" s="3" t="n"/>
      <c r="H26" s="3" t="n"/>
      <c r="I26" s="41" t="n">
        <v>9</v>
      </c>
      <c r="J26" s="41" t="n">
        <v>10</v>
      </c>
      <c r="K26" s="4" t="inlineStr">
        <is>
          <t>10Q_Q2-2026 p28</t>
        </is>
      </c>
    </row>
    <row r="27">
      <c r="A27" s="38" t="inlineStr">
        <is>
          <t>CARFAX: % of total revenue: Subscription revenue</t>
        </is>
      </c>
      <c r="B27" s="3" t="n"/>
      <c r="C27" s="3" t="n"/>
      <c r="D27" s="3" t="n"/>
      <c r="E27" s="3" t="n"/>
      <c r="F27" s="41" t="n">
        <v>81</v>
      </c>
      <c r="G27" s="41" t="n">
        <v>81</v>
      </c>
      <c r="H27" s="3" t="n"/>
      <c r="I27" s="41" t="n">
        <v>81</v>
      </c>
      <c r="J27" s="41" t="n">
        <v>81</v>
      </c>
      <c r="K27" s="4" t="inlineStr">
        <is>
          <t>10Q_Q2-2026 p28</t>
        </is>
      </c>
    </row>
    <row r="28">
      <c r="A28" s="38" t="inlineStr">
        <is>
          <t>CARFAX: % of total revenue: Non-subscription revenue</t>
        </is>
      </c>
      <c r="B28" s="3" t="n"/>
      <c r="C28" s="3" t="n"/>
      <c r="D28" s="3" t="n"/>
      <c r="E28" s="3" t="n"/>
      <c r="F28" s="41" t="n">
        <v>19</v>
      </c>
      <c r="G28" s="41" t="n">
        <v>19</v>
      </c>
      <c r="H28" s="3" t="n"/>
      <c r="I28" s="41" t="n">
        <v>19</v>
      </c>
      <c r="J28" s="41" t="n">
        <v>19</v>
      </c>
      <c r="K28" s="4" t="inlineStr">
        <is>
          <t>10Q_Q2-2026 p28</t>
        </is>
      </c>
    </row>
    <row r="29">
      <c r="A29" s="38" t="inlineStr">
        <is>
          <t>CARFAX: U.S. revenue</t>
        </is>
      </c>
      <c r="B29" s="3" t="n"/>
      <c r="C29" s="3" t="n"/>
      <c r="D29" s="3" t="n"/>
      <c r="E29" s="3" t="n"/>
      <c r="F29" s="30" t="n">
        <v>246</v>
      </c>
      <c r="G29" s="30" t="n">
        <v>482</v>
      </c>
      <c r="H29" s="3" t="n"/>
      <c r="I29" s="30" t="n">
        <v>265</v>
      </c>
      <c r="J29" s="30" t="n">
        <v>518</v>
      </c>
      <c r="K29" s="4" t="inlineStr">
        <is>
          <t>10Q_Q2-2026 p28</t>
        </is>
      </c>
    </row>
    <row r="30">
      <c r="A30" s="38" t="inlineStr">
        <is>
          <t>CARFAX: U.S. revenue - Change %</t>
        </is>
      </c>
      <c r="B30" s="3" t="n"/>
      <c r="C30" s="3" t="n"/>
      <c r="D30" s="3" t="n"/>
      <c r="E30" s="3" t="n"/>
      <c r="F30" s="3" t="n"/>
      <c r="G30" s="3" t="n"/>
      <c r="H30" s="3" t="n"/>
      <c r="I30" s="41" t="n">
        <v>8</v>
      </c>
      <c r="J30" s="41" t="n">
        <v>7</v>
      </c>
      <c r="K30" s="4" t="inlineStr">
        <is>
          <t>10Q_Q2-2026 p28</t>
        </is>
      </c>
    </row>
    <row r="31">
      <c r="A31" s="38" t="inlineStr">
        <is>
          <t>CARFAX: International revenue</t>
        </is>
      </c>
      <c r="B31" s="3" t="n"/>
      <c r="C31" s="3" t="n"/>
      <c r="D31" s="3" t="n"/>
      <c r="E31" s="3" t="n"/>
      <c r="F31" s="30" t="n">
        <v>43</v>
      </c>
      <c r="G31" s="30" t="n">
        <v>82</v>
      </c>
      <c r="H31" s="3" t="n"/>
      <c r="I31" s="30" t="n">
        <v>47</v>
      </c>
      <c r="J31" s="30" t="n">
        <v>92</v>
      </c>
      <c r="K31" s="4" t="inlineStr">
        <is>
          <t>10Q_Q2-2026 p28</t>
        </is>
      </c>
    </row>
    <row r="32">
      <c r="A32" s="38" t="inlineStr">
        <is>
          <t>CARFAX: International revenue - Change %</t>
        </is>
      </c>
      <c r="B32" s="3" t="n"/>
      <c r="C32" s="3" t="n"/>
      <c r="D32" s="3" t="n"/>
      <c r="E32" s="3" t="n"/>
      <c r="F32" s="3" t="n"/>
      <c r="G32" s="3" t="n"/>
      <c r="H32" s="3" t="n"/>
      <c r="I32" s="41" t="n">
        <v>9</v>
      </c>
      <c r="J32" s="41" t="n">
        <v>12</v>
      </c>
      <c r="K32" s="4" t="inlineStr">
        <is>
          <t>10Q_Q2-2026 p28</t>
        </is>
      </c>
    </row>
    <row r="33">
      <c r="A33" s="38" t="inlineStr">
        <is>
          <t>CARFAX: % of total revenue: U.S. revenue</t>
        </is>
      </c>
      <c r="B33" s="3" t="n"/>
      <c r="C33" s="3" t="n"/>
      <c r="D33" s="3" t="n"/>
      <c r="E33" s="3" t="n"/>
      <c r="F33" s="41" t="n">
        <v>85</v>
      </c>
      <c r="G33" s="41" t="n">
        <v>85</v>
      </c>
      <c r="H33" s="3" t="n"/>
      <c r="I33" s="41" t="n">
        <v>85</v>
      </c>
      <c r="J33" s="41" t="n">
        <v>85</v>
      </c>
      <c r="K33" s="4" t="inlineStr">
        <is>
          <t>10Q_Q2-2026 p28</t>
        </is>
      </c>
    </row>
    <row r="34">
      <c r="A34" s="38" t="inlineStr">
        <is>
          <t>CARFAX: % of total revenue: International revenue</t>
        </is>
      </c>
      <c r="B34" s="3" t="n"/>
      <c r="C34" s="3" t="n"/>
      <c r="D34" s="3" t="n"/>
      <c r="E34" s="3" t="n"/>
      <c r="F34" s="41" t="n">
        <v>15</v>
      </c>
      <c r="G34" s="41" t="n">
        <v>15</v>
      </c>
      <c r="H34" s="3" t="n"/>
      <c r="I34" s="41" t="n">
        <v>15</v>
      </c>
      <c r="J34" s="41" t="n">
        <v>15</v>
      </c>
      <c r="K34" s="4" t="inlineStr">
        <is>
          <t>10Q_Q2-2026 p28</t>
        </is>
      </c>
    </row>
    <row r="35">
      <c r="A35" s="38" t="inlineStr">
        <is>
          <t>CARFAX: Adjusted EBITDA</t>
        </is>
      </c>
      <c r="B35" s="3" t="n"/>
      <c r="C35" s="3" t="n"/>
      <c r="D35" s="3" t="n"/>
      <c r="E35" s="3" t="n"/>
      <c r="F35" s="30" t="n">
        <v>142</v>
      </c>
      <c r="G35" s="30" t="n">
        <v>272</v>
      </c>
      <c r="H35" s="3" t="n"/>
      <c r="I35" s="30" t="n">
        <v>153</v>
      </c>
      <c r="J35" s="30" t="n">
        <v>293</v>
      </c>
      <c r="K35" s="4" t="inlineStr">
        <is>
          <t>10Q_Q2-2026 p28</t>
        </is>
      </c>
    </row>
    <row r="36">
      <c r="A36" s="38" t="inlineStr">
        <is>
          <t>CARFAX: Adjusted EBITDA - Change %</t>
        </is>
      </c>
      <c r="B36" s="3" t="n"/>
      <c r="C36" s="3" t="n"/>
      <c r="D36" s="3" t="n"/>
      <c r="E36" s="3" t="n"/>
      <c r="F36" s="3" t="n"/>
      <c r="G36" s="3" t="n"/>
      <c r="H36" s="3" t="n"/>
      <c r="I36" s="41" t="n">
        <v>8</v>
      </c>
      <c r="J36" s="41" t="n">
        <v>8</v>
      </c>
      <c r="K36" s="4" t="inlineStr">
        <is>
          <t>10Q_Q2-2026 p28</t>
        </is>
      </c>
    </row>
    <row r="37">
      <c r="A37" s="38" t="inlineStr">
        <is>
          <t>CARFAX: %Adjusted EBITDA margin</t>
        </is>
      </c>
      <c r="B37" s="3" t="n"/>
      <c r="C37" s="3" t="n"/>
      <c r="D37" s="3" t="n"/>
      <c r="E37" s="3" t="n"/>
      <c r="F37" s="41" t="n">
        <v>49</v>
      </c>
      <c r="G37" s="41" t="n">
        <v>48</v>
      </c>
      <c r="H37" s="3" t="n"/>
      <c r="I37" s="41" t="n">
        <v>49</v>
      </c>
      <c r="J37" s="41" t="n">
        <v>48</v>
      </c>
      <c r="K37" s="4" t="inlineStr">
        <is>
          <t>10Q_Q2-2026 p28</t>
        </is>
      </c>
    </row>
    <row r="38">
      <c r="A38" s="14" t="inlineStr">
        <is>
          <t>10Q_Q2-2026 · MD&amp;A Segment Results - B2B</t>
        </is>
      </c>
      <c r="B38" s="15" t="n"/>
      <c r="C38" s="15" t="n"/>
      <c r="D38" s="15" t="n"/>
      <c r="E38" s="15" t="n"/>
      <c r="F38" s="15" t="n"/>
      <c r="G38" s="15" t="n"/>
      <c r="H38" s="15" t="n"/>
      <c r="I38" s="15" t="n"/>
      <c r="J38" s="15" t="n"/>
      <c r="K38" s="15" t="n"/>
    </row>
    <row r="39">
      <c r="A39" s="38" t="inlineStr">
        <is>
          <t>B2B: Revenue</t>
        </is>
      </c>
      <c r="B39" s="3" t="n"/>
      <c r="C39" s="3" t="n"/>
      <c r="D39" s="3" t="n"/>
      <c r="E39" s="3" t="n"/>
      <c r="F39" s="30" t="n">
        <v>150</v>
      </c>
      <c r="G39" s="30" t="n">
        <v>295</v>
      </c>
      <c r="H39" s="3" t="n"/>
      <c r="I39" s="30" t="n">
        <v>156</v>
      </c>
      <c r="J39" s="30" t="n">
        <v>313</v>
      </c>
      <c r="K39" s="4" t="inlineStr">
        <is>
          <t>10Q_Q2-2026 p29</t>
        </is>
      </c>
    </row>
    <row r="40">
      <c r="A40" s="38" t="inlineStr">
        <is>
          <t>B2B: Revenue - Change %</t>
        </is>
      </c>
      <c r="B40" s="3" t="n"/>
      <c r="C40" s="3" t="n"/>
      <c r="D40" s="3" t="n"/>
      <c r="E40" s="3" t="n"/>
      <c r="F40" s="3" t="n"/>
      <c r="G40" s="3" t="n"/>
      <c r="H40" s="3" t="n"/>
      <c r="I40" s="41" t="n">
        <v>4</v>
      </c>
      <c r="J40" s="41" t="n">
        <v>6</v>
      </c>
      <c r="K40" s="4" t="inlineStr">
        <is>
          <t>10Q_Q2-2026 p29</t>
        </is>
      </c>
    </row>
    <row r="41">
      <c r="A41" s="38" t="inlineStr">
        <is>
          <t>B2B: Subscription revenue</t>
        </is>
      </c>
      <c r="B41" s="3" t="n"/>
      <c r="C41" s="3" t="n"/>
      <c r="D41" s="3" t="n"/>
      <c r="E41" s="3" t="n"/>
      <c r="F41" s="30" t="n">
        <v>124</v>
      </c>
      <c r="G41" s="30" t="n">
        <v>242</v>
      </c>
      <c r="H41" s="3" t="n"/>
      <c r="I41" s="30" t="n">
        <v>131</v>
      </c>
      <c r="J41" s="30" t="n">
        <v>261</v>
      </c>
      <c r="K41" s="4" t="inlineStr">
        <is>
          <t>10Q_Q2-2026 p29</t>
        </is>
      </c>
    </row>
    <row r="42">
      <c r="A42" s="38" t="inlineStr">
        <is>
          <t>B2B: Subscription revenue - Change %</t>
        </is>
      </c>
      <c r="B42" s="3" t="n"/>
      <c r="C42" s="3" t="n"/>
      <c r="D42" s="3" t="n"/>
      <c r="E42" s="3" t="n"/>
      <c r="F42" s="3" t="n"/>
      <c r="G42" s="3" t="n"/>
      <c r="H42" s="3" t="n"/>
      <c r="I42" s="41" t="n">
        <v>6</v>
      </c>
      <c r="J42" s="41" t="n">
        <v>8</v>
      </c>
      <c r="K42" s="4" t="inlineStr">
        <is>
          <t>10Q_Q2-2026 p29</t>
        </is>
      </c>
    </row>
    <row r="43">
      <c r="A43" s="38" t="inlineStr">
        <is>
          <t>B2B: Non-subscription revenue</t>
        </is>
      </c>
      <c r="B43" s="3" t="n"/>
      <c r="C43" s="3" t="n"/>
      <c r="D43" s="3" t="n"/>
      <c r="E43" s="3" t="n"/>
      <c r="F43" s="30" t="n">
        <v>26</v>
      </c>
      <c r="G43" s="30" t="n">
        <v>53</v>
      </c>
      <c r="H43" s="3" t="n"/>
      <c r="I43" s="30" t="n">
        <v>25</v>
      </c>
      <c r="J43" s="30" t="n">
        <v>52</v>
      </c>
      <c r="K43" s="4" t="inlineStr">
        <is>
          <t>10Q_Q2-2026 p29</t>
        </is>
      </c>
    </row>
    <row r="44">
      <c r="A44" s="38" t="inlineStr">
        <is>
          <t>B2B: Non-subscription revenue - Change %</t>
        </is>
      </c>
      <c r="B44" s="3" t="n"/>
      <c r="C44" s="3" t="n"/>
      <c r="D44" s="3" t="n"/>
      <c r="E44" s="3" t="n"/>
      <c r="F44" s="3" t="n"/>
      <c r="G44" s="3" t="n"/>
      <c r="H44" s="3" t="n"/>
      <c r="I44" s="41" t="n">
        <v>-4</v>
      </c>
      <c r="J44" s="41" t="n">
        <v>-2</v>
      </c>
      <c r="K44" s="4" t="inlineStr">
        <is>
          <t>10Q_Q2-2026 p29</t>
        </is>
      </c>
    </row>
    <row r="45">
      <c r="A45" s="38" t="inlineStr">
        <is>
          <t>B2B: % of total revenue: Subscription revenue</t>
        </is>
      </c>
      <c r="B45" s="3" t="n"/>
      <c r="C45" s="3" t="n"/>
      <c r="D45" s="3" t="n"/>
      <c r="E45" s="3" t="n"/>
      <c r="F45" s="41" t="n">
        <v>83</v>
      </c>
      <c r="G45" s="41" t="n">
        <v>82</v>
      </c>
      <c r="H45" s="3" t="n"/>
      <c r="I45" s="41" t="n">
        <v>84</v>
      </c>
      <c r="J45" s="41" t="n">
        <v>83</v>
      </c>
      <c r="K45" s="4" t="inlineStr">
        <is>
          <t>10Q_Q2-2026 p29</t>
        </is>
      </c>
    </row>
    <row r="46">
      <c r="A46" s="38" t="inlineStr">
        <is>
          <t>B2B: % of total revenue: Non-subscription revenue</t>
        </is>
      </c>
      <c r="B46" s="3" t="n"/>
      <c r="C46" s="3" t="n"/>
      <c r="D46" s="3" t="n"/>
      <c r="E46" s="3" t="n"/>
      <c r="F46" s="41" t="n">
        <v>17</v>
      </c>
      <c r="G46" s="41" t="n">
        <v>18</v>
      </c>
      <c r="H46" s="3" t="n"/>
      <c r="I46" s="41" t="n">
        <v>16</v>
      </c>
      <c r="J46" s="41" t="n">
        <v>17</v>
      </c>
      <c r="K46" s="4" t="inlineStr">
        <is>
          <t>10Q_Q2-2026 p29</t>
        </is>
      </c>
    </row>
    <row r="47">
      <c r="A47" s="38" t="inlineStr">
        <is>
          <t>B2B: U.S. revenue</t>
        </is>
      </c>
      <c r="B47" s="3" t="n"/>
      <c r="C47" s="3" t="n"/>
      <c r="D47" s="3" t="n"/>
      <c r="E47" s="3" t="n"/>
      <c r="F47" s="30" t="n">
        <v>119</v>
      </c>
      <c r="G47" s="30" t="n">
        <v>233</v>
      </c>
      <c r="H47" s="3" t="n"/>
      <c r="I47" s="30" t="n">
        <v>124</v>
      </c>
      <c r="J47" s="30" t="n">
        <v>247</v>
      </c>
      <c r="K47" s="4" t="inlineStr">
        <is>
          <t>10Q_Q2-2026 p29</t>
        </is>
      </c>
    </row>
    <row r="48">
      <c r="A48" s="38" t="inlineStr">
        <is>
          <t>B2B: U.S. revenue - Change %</t>
        </is>
      </c>
      <c r="B48" s="3" t="n"/>
      <c r="C48" s="3" t="n"/>
      <c r="D48" s="3" t="n"/>
      <c r="E48" s="3" t="n"/>
      <c r="F48" s="3" t="n"/>
      <c r="G48" s="3" t="n"/>
      <c r="H48" s="3" t="n"/>
      <c r="I48" s="41" t="n">
        <v>4</v>
      </c>
      <c r="J48" s="41" t="n">
        <v>6</v>
      </c>
      <c r="K48" s="4" t="inlineStr">
        <is>
          <t>10Q_Q2-2026 p29</t>
        </is>
      </c>
    </row>
    <row r="49">
      <c r="A49" s="38" t="inlineStr">
        <is>
          <t>B2B: International revenue</t>
        </is>
      </c>
      <c r="B49" s="3" t="n"/>
      <c r="C49" s="3" t="n"/>
      <c r="D49" s="3" t="n"/>
      <c r="E49" s="3" t="n"/>
      <c r="F49" s="30" t="n">
        <v>31</v>
      </c>
      <c r="G49" s="30" t="n">
        <v>62</v>
      </c>
      <c r="H49" s="3" t="n"/>
      <c r="I49" s="30" t="n">
        <v>32</v>
      </c>
      <c r="J49" s="30" t="n">
        <v>66</v>
      </c>
      <c r="K49" s="4" t="inlineStr">
        <is>
          <t>10Q_Q2-2026 p29</t>
        </is>
      </c>
    </row>
    <row r="50">
      <c r="A50" s="38" t="inlineStr">
        <is>
          <t>B2B: International revenue - Change %</t>
        </is>
      </c>
      <c r="B50" s="3" t="n"/>
      <c r="C50" s="3" t="n"/>
      <c r="D50" s="3" t="n"/>
      <c r="E50" s="3" t="n"/>
      <c r="F50" s="3" t="n"/>
      <c r="G50" s="3" t="n"/>
      <c r="H50" s="3" t="n"/>
      <c r="I50" s="41" t="n">
        <v>3</v>
      </c>
      <c r="J50" s="41" t="n">
        <v>6</v>
      </c>
      <c r="K50" s="4" t="inlineStr">
        <is>
          <t>10Q_Q2-2026 p29</t>
        </is>
      </c>
    </row>
    <row r="51">
      <c r="A51" s="38" t="inlineStr">
        <is>
          <t>B2B: % of total revenue: U.S. revenue</t>
        </is>
      </c>
      <c r="B51" s="3" t="n"/>
      <c r="C51" s="3" t="n"/>
      <c r="D51" s="3" t="n"/>
      <c r="E51" s="3" t="n"/>
      <c r="F51" s="41" t="n">
        <v>79</v>
      </c>
      <c r="G51" s="41" t="n">
        <v>79</v>
      </c>
      <c r="H51" s="3" t="n"/>
      <c r="I51" s="41" t="n">
        <v>79</v>
      </c>
      <c r="J51" s="41" t="n">
        <v>79</v>
      </c>
      <c r="K51" s="4" t="inlineStr">
        <is>
          <t>10Q_Q2-2026 p29</t>
        </is>
      </c>
    </row>
    <row r="52">
      <c r="A52" s="38" t="inlineStr">
        <is>
          <t>B2B: % of total revenue: International revenue</t>
        </is>
      </c>
      <c r="B52" s="3" t="n"/>
      <c r="C52" s="3" t="n"/>
      <c r="D52" s="3" t="n"/>
      <c r="E52" s="3" t="n"/>
      <c r="F52" s="41" t="n">
        <v>21</v>
      </c>
      <c r="G52" s="41" t="n">
        <v>21</v>
      </c>
      <c r="H52" s="3" t="n"/>
      <c r="I52" s="41" t="n">
        <v>21</v>
      </c>
      <c r="J52" s="41" t="n">
        <v>21</v>
      </c>
      <c r="K52" s="4" t="inlineStr">
        <is>
          <t>10Q_Q2-2026 p29</t>
        </is>
      </c>
    </row>
    <row r="53">
      <c r="A53" s="38" t="inlineStr">
        <is>
          <t>B2B: Adjusted EBITDA</t>
        </is>
      </c>
      <c r="B53" s="3" t="n"/>
      <c r="C53" s="3" t="n"/>
      <c r="D53" s="3" t="n"/>
      <c r="E53" s="3" t="n"/>
      <c r="F53" s="30" t="n">
        <v>49</v>
      </c>
      <c r="G53" s="30" t="n">
        <v>93</v>
      </c>
      <c r="H53" s="3" t="n"/>
      <c r="I53" s="30" t="n">
        <v>53</v>
      </c>
      <c r="J53" s="30" t="n">
        <v>102</v>
      </c>
      <c r="K53" s="4" t="inlineStr">
        <is>
          <t>10Q_Q2-2026 p29</t>
        </is>
      </c>
    </row>
    <row r="54">
      <c r="A54" s="38" t="inlineStr">
        <is>
          <t>B2B: Adjusted EBITDA - Change %</t>
        </is>
      </c>
      <c r="B54" s="3" t="n"/>
      <c r="C54" s="3" t="n"/>
      <c r="D54" s="3" t="n"/>
      <c r="E54" s="3" t="n"/>
      <c r="F54" s="3" t="n"/>
      <c r="G54" s="3" t="n"/>
      <c r="H54" s="3" t="n"/>
      <c r="I54" s="41" t="n">
        <v>8</v>
      </c>
      <c r="J54" s="41" t="n">
        <v>10</v>
      </c>
      <c r="K54" s="4" t="inlineStr">
        <is>
          <t>10Q_Q2-2026 p29</t>
        </is>
      </c>
    </row>
    <row r="55">
      <c r="A55" s="38" t="inlineStr">
        <is>
          <t>B2B: %Adjusted EBITDA margin</t>
        </is>
      </c>
      <c r="B55" s="3" t="n"/>
      <c r="C55" s="3" t="n"/>
      <c r="D55" s="3" t="n"/>
      <c r="E55" s="3" t="n"/>
      <c r="F55" s="41" t="n">
        <v>33</v>
      </c>
      <c r="G55" s="41" t="n">
        <v>32</v>
      </c>
      <c r="H55" s="3" t="n"/>
      <c r="I55" s="41" t="n">
        <v>34</v>
      </c>
      <c r="J55" s="41" t="n">
        <v>33</v>
      </c>
      <c r="K55" s="4" t="inlineStr">
        <is>
          <t>10Q_Q2-2026 p29</t>
        </is>
      </c>
    </row>
    <row r="56">
      <c r="A56" s="14" t="inlineStr">
        <is>
          <t>8K_2026-08-07 · Exhibit 4 Operating Results by Segment (Q2-2026 block text-corrupted; values validated by footing - see NOTES)</t>
        </is>
      </c>
      <c r="B56" s="15" t="n"/>
      <c r="C56" s="15" t="n"/>
      <c r="D56" s="15" t="n"/>
      <c r="E56" s="15" t="n"/>
      <c r="F56" s="15" t="n"/>
      <c r="G56" s="15" t="n"/>
      <c r="H56" s="15" t="n"/>
      <c r="I56" s="15" t="n"/>
      <c r="J56" s="15" t="n"/>
      <c r="K56" s="15" t="n"/>
    </row>
    <row r="57">
      <c r="A57" s="38" t="inlineStr">
        <is>
          <t>CARFAX: Revenue</t>
        </is>
      </c>
      <c r="B57" s="3" t="n"/>
      <c r="C57" s="3" t="n"/>
      <c r="D57" s="3" t="n"/>
      <c r="E57" s="3" t="n"/>
      <c r="F57" s="3" t="n"/>
      <c r="G57" s="3" t="n"/>
      <c r="H57" s="3" t="n"/>
      <c r="I57" s="30" t="n">
        <v>312</v>
      </c>
      <c r="J57" s="3" t="n"/>
      <c r="K57" s="4" t="inlineStr">
        <is>
          <t>8K_2026-08-07 p8</t>
        </is>
      </c>
    </row>
    <row r="58">
      <c r="A58" s="38" t="inlineStr">
        <is>
          <t>CARFAX: Expenses: Operating - related expenses</t>
        </is>
      </c>
      <c r="B58" s="3" t="n"/>
      <c r="C58" s="3" t="n"/>
      <c r="D58" s="3" t="n"/>
      <c r="E58" s="3" t="n"/>
      <c r="F58" s="3" t="n"/>
      <c r="G58" s="3" t="n"/>
      <c r="H58" s="3" t="n"/>
      <c r="I58" s="30" t="n">
        <v>68</v>
      </c>
      <c r="J58" s="3" t="n"/>
      <c r="K58" s="4" t="inlineStr">
        <is>
          <t>8K_2026-08-07 p8</t>
        </is>
      </c>
    </row>
    <row r="59">
      <c r="A59" s="38" t="inlineStr">
        <is>
          <t>CARFAX: Expenses: Selling and general expenses</t>
        </is>
      </c>
      <c r="B59" s="3" t="n"/>
      <c r="C59" s="3" t="n"/>
      <c r="D59" s="3" t="n"/>
      <c r="E59" s="3" t="n"/>
      <c r="F59" s="3" t="n"/>
      <c r="G59" s="3" t="n"/>
      <c r="H59" s="3" t="n"/>
      <c r="I59" s="30" t="n">
        <v>93</v>
      </c>
      <c r="J59" s="3" t="n"/>
      <c r="K59" s="4" t="inlineStr">
        <is>
          <t>8K_2026-08-07 p8</t>
        </is>
      </c>
    </row>
    <row r="60">
      <c r="A60" s="38" t="inlineStr">
        <is>
          <t>CARFAX: Expenses: Depreciation and amortization</t>
        </is>
      </c>
      <c r="B60" s="3" t="n"/>
      <c r="C60" s="3" t="n"/>
      <c r="D60" s="3" t="n"/>
      <c r="E60" s="3" t="n"/>
      <c r="F60" s="3" t="n"/>
      <c r="G60" s="3" t="n"/>
      <c r="H60" s="3" t="n"/>
      <c r="I60" s="30" t="n">
        <v>50</v>
      </c>
      <c r="J60" s="3" t="n"/>
      <c r="K60" s="4" t="inlineStr">
        <is>
          <t>8K_2026-08-07 p8</t>
        </is>
      </c>
    </row>
    <row r="61">
      <c r="A61" s="38" t="inlineStr">
        <is>
          <t>CARFAX: Total expenses</t>
        </is>
      </c>
      <c r="B61" s="3" t="n"/>
      <c r="C61" s="3" t="n"/>
      <c r="D61" s="3" t="n"/>
      <c r="E61" s="3" t="n"/>
      <c r="F61" s="3" t="n"/>
      <c r="G61" s="3" t="n"/>
      <c r="H61" s="3" t="n"/>
      <c r="I61" s="30" t="n">
        <v>211</v>
      </c>
      <c r="J61" s="3" t="n"/>
      <c r="K61" s="4" t="inlineStr">
        <is>
          <t>8K_2026-08-07 p8</t>
        </is>
      </c>
    </row>
    <row r="62">
      <c r="A62" s="38" t="inlineStr">
        <is>
          <t>CARFAX: Operating profit</t>
        </is>
      </c>
      <c r="B62" s="3" t="n"/>
      <c r="C62" s="3" t="n"/>
      <c r="D62" s="3" t="n"/>
      <c r="E62" s="3" t="n"/>
      <c r="F62" s="3" t="n"/>
      <c r="G62" s="3" t="n"/>
      <c r="H62" s="3" t="n"/>
      <c r="I62" s="30" t="n">
        <v>101</v>
      </c>
      <c r="J62" s="3" t="n"/>
      <c r="K62" s="4" t="inlineStr">
        <is>
          <t>8K_2026-08-07 p8</t>
        </is>
      </c>
    </row>
    <row r="63">
      <c r="A63" s="38" t="inlineStr">
        <is>
          <t>CARFAX: Adjusted EBITDA</t>
        </is>
      </c>
      <c r="B63" s="3" t="n"/>
      <c r="C63" s="3" t="n"/>
      <c r="D63" s="3" t="n"/>
      <c r="E63" s="3" t="n"/>
      <c r="F63" s="3" t="n"/>
      <c r="G63" s="3" t="n"/>
      <c r="H63" s="3" t="n"/>
      <c r="I63" s="30" t="n">
        <v>153</v>
      </c>
      <c r="J63" s="3" t="n"/>
      <c r="K63" s="4" t="inlineStr">
        <is>
          <t>8K_2026-08-07 p8</t>
        </is>
      </c>
    </row>
    <row r="64">
      <c r="A64" s="38" t="inlineStr">
        <is>
          <t>B2B: Revenue</t>
        </is>
      </c>
      <c r="B64" s="3" t="n"/>
      <c r="C64" s="3" t="n"/>
      <c r="D64" s="3" t="n"/>
      <c r="E64" s="3" t="n"/>
      <c r="F64" s="3" t="n"/>
      <c r="G64" s="3" t="n"/>
      <c r="H64" s="3" t="n"/>
      <c r="I64" s="30" t="n">
        <v>156</v>
      </c>
      <c r="J64" s="3" t="n"/>
      <c r="K64" s="4" t="inlineStr">
        <is>
          <t>8K_2026-08-07 p8</t>
        </is>
      </c>
    </row>
    <row r="65">
      <c r="A65" s="38" t="inlineStr">
        <is>
          <t>B2B: Expenses: Operating - related expenses</t>
        </is>
      </c>
      <c r="B65" s="3" t="n"/>
      <c r="C65" s="3" t="n"/>
      <c r="D65" s="3" t="n"/>
      <c r="E65" s="3" t="n"/>
      <c r="F65" s="3" t="n"/>
      <c r="G65" s="3" t="n"/>
      <c r="H65" s="3" t="n"/>
      <c r="I65" s="30" t="n">
        <v>66</v>
      </c>
      <c r="J65" s="3" t="n"/>
      <c r="K65" s="4" t="inlineStr">
        <is>
          <t>8K_2026-08-07 p8</t>
        </is>
      </c>
    </row>
    <row r="66">
      <c r="A66" s="38" t="inlineStr">
        <is>
          <t>B2B: Expenses: Selling and general expenses</t>
        </is>
      </c>
      <c r="B66" s="3" t="n"/>
      <c r="C66" s="3" t="n"/>
      <c r="D66" s="3" t="n"/>
      <c r="E66" s="3" t="n"/>
      <c r="F66" s="3" t="n"/>
      <c r="G66" s="3" t="n"/>
      <c r="H66" s="3" t="n"/>
      <c r="I66" s="30" t="n">
        <v>60</v>
      </c>
      <c r="J66" s="3" t="n"/>
      <c r="K66" s="4" t="inlineStr">
        <is>
          <t>8K_2026-08-07 p8</t>
        </is>
      </c>
    </row>
    <row r="67">
      <c r="A67" s="38" t="inlineStr">
        <is>
          <t>B2B: Expenses: Depreciation and amortization</t>
        </is>
      </c>
      <c r="B67" s="3" t="n"/>
      <c r="C67" s="3" t="n"/>
      <c r="D67" s="3" t="n"/>
      <c r="E67" s="3" t="n"/>
      <c r="F67" s="3" t="n"/>
      <c r="G67" s="3" t="n"/>
      <c r="H67" s="3" t="n"/>
      <c r="I67" s="30" t="n">
        <v>27</v>
      </c>
      <c r="J67" s="3" t="n"/>
      <c r="K67" s="4" t="inlineStr">
        <is>
          <t>8K_2026-08-07 p8</t>
        </is>
      </c>
    </row>
    <row r="68">
      <c r="A68" s="38" t="inlineStr">
        <is>
          <t>B2B: Total expenses</t>
        </is>
      </c>
      <c r="B68" s="3" t="n"/>
      <c r="C68" s="3" t="n"/>
      <c r="D68" s="3" t="n"/>
      <c r="E68" s="3" t="n"/>
      <c r="F68" s="3" t="n"/>
      <c r="G68" s="3" t="n"/>
      <c r="H68" s="3" t="n"/>
      <c r="I68" s="30" t="n">
        <v>153</v>
      </c>
      <c r="J68" s="3" t="n"/>
      <c r="K68" s="4" t="inlineStr">
        <is>
          <t>8K_2026-08-07 p8</t>
        </is>
      </c>
    </row>
    <row r="69">
      <c r="A69" s="38" t="inlineStr">
        <is>
          <t>B2B: Operating profit</t>
        </is>
      </c>
      <c r="B69" s="3" t="n"/>
      <c r="C69" s="3" t="n"/>
      <c r="D69" s="3" t="n"/>
      <c r="E69" s="3" t="n"/>
      <c r="F69" s="3" t="n"/>
      <c r="G69" s="3" t="n"/>
      <c r="H69" s="3" t="n"/>
      <c r="I69" s="30" t="n">
        <v>3</v>
      </c>
      <c r="J69" s="3" t="n"/>
      <c r="K69" s="4" t="inlineStr">
        <is>
          <t>8K_2026-08-07 p8</t>
        </is>
      </c>
    </row>
    <row r="70">
      <c r="A70" s="38" t="inlineStr">
        <is>
          <t>B2B: Adjusted EBITDA</t>
        </is>
      </c>
      <c r="B70" s="3" t="n"/>
      <c r="C70" s="3" t="n"/>
      <c r="D70" s="3" t="n"/>
      <c r="E70" s="3" t="n"/>
      <c r="F70" s="3" t="n"/>
      <c r="G70" s="3" t="n"/>
      <c r="H70" s="3" t="n"/>
      <c r="I70" s="30" t="n">
        <v>53</v>
      </c>
      <c r="J70" s="3" t="n"/>
      <c r="K70" s="4" t="inlineStr">
        <is>
          <t>8K_2026-08-07 p8</t>
        </is>
      </c>
    </row>
    <row r="71">
      <c r="A71" s="38" t="inlineStr">
        <is>
          <t>Corporate: Expenses: Selling and general expenses</t>
        </is>
      </c>
      <c r="B71" s="3" t="n"/>
      <c r="C71" s="3" t="n"/>
      <c r="D71" s="3" t="n"/>
      <c r="E71" s="3" t="n"/>
      <c r="F71" s="3" t="n"/>
      <c r="G71" s="3" t="n"/>
      <c r="H71" s="3" t="n"/>
      <c r="I71" s="30" t="n">
        <v>22</v>
      </c>
      <c r="J71" s="3" t="n"/>
      <c r="K71" s="4" t="inlineStr">
        <is>
          <t>8K_2026-08-07 p8</t>
        </is>
      </c>
    </row>
    <row r="72">
      <c r="A72" s="38" t="inlineStr">
        <is>
          <t>Corporate: Total expenses</t>
        </is>
      </c>
      <c r="B72" s="3" t="n"/>
      <c r="C72" s="3" t="n"/>
      <c r="D72" s="3" t="n"/>
      <c r="E72" s="3" t="n"/>
      <c r="F72" s="3" t="n"/>
      <c r="G72" s="3" t="n"/>
      <c r="H72" s="3" t="n"/>
      <c r="I72" s="30" t="n">
        <v>22</v>
      </c>
      <c r="J72" s="3" t="n"/>
      <c r="K72" s="4" t="inlineStr">
        <is>
          <t>8K_2026-08-07 p8</t>
        </is>
      </c>
    </row>
    <row r="73">
      <c r="A73" s="38" t="inlineStr">
        <is>
          <t>Corporate: Operating profit</t>
        </is>
      </c>
      <c r="B73" s="3" t="n"/>
      <c r="C73" s="3" t="n"/>
      <c r="D73" s="3" t="n"/>
      <c r="E73" s="3" t="n"/>
      <c r="F73" s="3" t="n"/>
      <c r="G73" s="3" t="n"/>
      <c r="H73" s="3" t="n"/>
      <c r="I73" s="30" t="n">
        <v>-22</v>
      </c>
      <c r="J73" s="3" t="n"/>
      <c r="K73" s="4" t="inlineStr">
        <is>
          <t>8K_2026-08-07 p8</t>
        </is>
      </c>
    </row>
    <row r="74">
      <c r="A74" s="38" t="inlineStr">
        <is>
          <t>Corporate: Adjusted EBITDA</t>
        </is>
      </c>
      <c r="B74" s="3" t="n"/>
      <c r="C74" s="3" t="n"/>
      <c r="D74" s="3" t="n"/>
      <c r="E74" s="3" t="n"/>
      <c r="F74" s="3" t="n"/>
      <c r="G74" s="3" t="n"/>
      <c r="H74" s="3" t="n"/>
      <c r="I74" s="30" t="n">
        <v>-4</v>
      </c>
      <c r="J74" s="3" t="n"/>
      <c r="K74" s="4" t="inlineStr">
        <is>
          <t>8K_2026-08-07 p8</t>
        </is>
      </c>
    </row>
    <row r="75">
      <c r="A75" s="39" t="inlineStr">
        <is>
          <t>Total: Revenue</t>
        </is>
      </c>
      <c r="B75" s="3" t="n"/>
      <c r="C75" s="3" t="n"/>
      <c r="D75" s="3" t="n"/>
      <c r="E75" s="3" t="n"/>
      <c r="F75" s="3" t="n"/>
      <c r="G75" s="3" t="n"/>
      <c r="H75" s="3" t="n"/>
      <c r="I75" s="18" t="n">
        <v>468</v>
      </c>
      <c r="J75" s="3" t="n"/>
      <c r="K75" s="4" t="inlineStr">
        <is>
          <t>8K_2026-08-07 p8</t>
        </is>
      </c>
    </row>
    <row r="76">
      <c r="A76" s="38" t="inlineStr">
        <is>
          <t>Total: Expenses: Operating - related expenses</t>
        </is>
      </c>
      <c r="B76" s="3" t="n"/>
      <c r="C76" s="3" t="n"/>
      <c r="D76" s="3" t="n"/>
      <c r="E76" s="3" t="n"/>
      <c r="F76" s="3" t="n"/>
      <c r="G76" s="3" t="n"/>
      <c r="H76" s="3" t="n"/>
      <c r="I76" s="30" t="n">
        <v>134</v>
      </c>
      <c r="J76" s="3" t="n"/>
      <c r="K76" s="4" t="inlineStr">
        <is>
          <t>8K_2026-08-07 p8</t>
        </is>
      </c>
    </row>
    <row r="77">
      <c r="A77" s="38" t="inlineStr">
        <is>
          <t>Total: Expenses: Selling and general expenses</t>
        </is>
      </c>
      <c r="B77" s="3" t="n"/>
      <c r="C77" s="3" t="n"/>
      <c r="D77" s="3" t="n"/>
      <c r="E77" s="3" t="n"/>
      <c r="F77" s="3" t="n"/>
      <c r="G77" s="3" t="n"/>
      <c r="H77" s="3" t="n"/>
      <c r="I77" s="30" t="n">
        <v>175</v>
      </c>
      <c r="J77" s="3" t="n"/>
      <c r="K77" s="4" t="inlineStr">
        <is>
          <t>8K_2026-08-07 p8</t>
        </is>
      </c>
    </row>
    <row r="78">
      <c r="A78" s="38" t="inlineStr">
        <is>
          <t>Total: Expenses: Depreciation and amortization</t>
        </is>
      </c>
      <c r="B78" s="3" t="n"/>
      <c r="C78" s="3" t="n"/>
      <c r="D78" s="3" t="n"/>
      <c r="E78" s="3" t="n"/>
      <c r="F78" s="3" t="n"/>
      <c r="G78" s="3" t="n"/>
      <c r="H78" s="3" t="n"/>
      <c r="I78" s="30" t="n">
        <v>77</v>
      </c>
      <c r="J78" s="3" t="n"/>
      <c r="K78" s="4" t="inlineStr">
        <is>
          <t>8K_2026-08-07 p8</t>
        </is>
      </c>
    </row>
    <row r="79">
      <c r="A79" s="39" t="inlineStr">
        <is>
          <t>Total: Total expenses</t>
        </is>
      </c>
      <c r="B79" s="3" t="n"/>
      <c r="C79" s="3" t="n"/>
      <c r="D79" s="3" t="n"/>
      <c r="E79" s="3" t="n"/>
      <c r="F79" s="3" t="n"/>
      <c r="G79" s="3" t="n"/>
      <c r="H79" s="3" t="n"/>
      <c r="I79" s="18" t="n">
        <v>386</v>
      </c>
      <c r="J79" s="3" t="n"/>
      <c r="K79" s="4" t="inlineStr">
        <is>
          <t>8K_2026-08-07 p8</t>
        </is>
      </c>
    </row>
    <row r="80">
      <c r="A80" s="38" t="inlineStr">
        <is>
          <t>Total: Operating profit</t>
        </is>
      </c>
      <c r="B80" s="3" t="n"/>
      <c r="C80" s="3" t="n"/>
      <c r="D80" s="3" t="n"/>
      <c r="E80" s="3" t="n"/>
      <c r="F80" s="3" t="n"/>
      <c r="G80" s="3" t="n"/>
      <c r="H80" s="3" t="n"/>
      <c r="I80" s="30" t="n">
        <v>82</v>
      </c>
      <c r="J80" s="3" t="n"/>
      <c r="K80" s="4" t="inlineStr">
        <is>
          <t>8K_2026-08-07 p8</t>
        </is>
      </c>
    </row>
    <row r="81">
      <c r="A81" s="38" t="inlineStr">
        <is>
          <t>Total: Adjusted EBITDA</t>
        </is>
      </c>
      <c r="B81" s="3" t="n"/>
      <c r="C81" s="3" t="n"/>
      <c r="D81" s="3" t="n"/>
      <c r="E81" s="3" t="n"/>
      <c r="F81" s="3" t="n"/>
      <c r="G81" s="3" t="n"/>
      <c r="H81" s="3" t="n"/>
      <c r="I81" s="30" t="n">
        <v>202</v>
      </c>
      <c r="J81" s="3" t="n"/>
      <c r="K81" s="4" t="inlineStr">
        <is>
          <t>8K_2026-08-07 p8</t>
        </is>
      </c>
    </row>
    <row r="82">
      <c r="A82" s="14" t="inlineStr">
        <is>
          <t>8K_2026-08-07 · Exhibit 4 Operating Results by Segment</t>
        </is>
      </c>
      <c r="B82" s="15" t="n"/>
      <c r="C82" s="15" t="n"/>
      <c r="D82" s="15" t="n"/>
      <c r="E82" s="15" t="n"/>
      <c r="F82" s="15" t="n"/>
      <c r="G82" s="15" t="n"/>
      <c r="H82" s="15" t="n"/>
      <c r="I82" s="15" t="n"/>
      <c r="J82" s="15" t="n"/>
      <c r="K82" s="15" t="n"/>
    </row>
    <row r="83">
      <c r="A83" s="38" t="inlineStr">
        <is>
          <t>CARFAX: Revenue</t>
        </is>
      </c>
      <c r="B83" s="3" t="n"/>
      <c r="C83" s="3" t="n"/>
      <c r="D83" s="3" t="n"/>
      <c r="E83" s="3" t="n"/>
      <c r="F83" s="30" t="n">
        <v>289</v>
      </c>
      <c r="G83" s="30" t="n">
        <v>564</v>
      </c>
      <c r="H83" s="3" t="n"/>
      <c r="I83" s="3" t="n"/>
      <c r="J83" s="30" t="n">
        <v>610</v>
      </c>
      <c r="K83" s="4" t="inlineStr">
        <is>
          <t>8K_2026-08-07 p8</t>
        </is>
      </c>
    </row>
    <row r="84">
      <c r="A84" s="38" t="inlineStr">
        <is>
          <t>CARFAX: Expenses: Operating - related expenses</t>
        </is>
      </c>
      <c r="B84" s="3" t="n"/>
      <c r="C84" s="3" t="n"/>
      <c r="D84" s="3" t="n"/>
      <c r="E84" s="3" t="n"/>
      <c r="F84" s="30" t="n">
        <v>67</v>
      </c>
      <c r="G84" s="30" t="n">
        <v>130</v>
      </c>
      <c r="H84" s="3" t="n"/>
      <c r="I84" s="3" t="n"/>
      <c r="J84" s="30" t="n">
        <v>136</v>
      </c>
      <c r="K84" s="4" t="inlineStr">
        <is>
          <t>8K_2026-08-07 p8</t>
        </is>
      </c>
    </row>
    <row r="85">
      <c r="A85" s="38" t="inlineStr">
        <is>
          <t>CARFAX: Expenses: Selling and general expenses</t>
        </is>
      </c>
      <c r="B85" s="3" t="n"/>
      <c r="C85" s="3" t="n"/>
      <c r="D85" s="3" t="n"/>
      <c r="E85" s="3" t="n"/>
      <c r="F85" s="30" t="n">
        <v>84</v>
      </c>
      <c r="G85" s="30" t="n">
        <v>169</v>
      </c>
      <c r="H85" s="3" t="n"/>
      <c r="I85" s="3" t="n"/>
      <c r="J85" s="30" t="n">
        <v>184</v>
      </c>
      <c r="K85" s="4" t="inlineStr">
        <is>
          <t>8K_2026-08-07 p8</t>
        </is>
      </c>
    </row>
    <row r="86">
      <c r="A86" s="38" t="inlineStr">
        <is>
          <t>CARFAX: Expenses: Depreciation and amortization</t>
        </is>
      </c>
      <c r="B86" s="3" t="n"/>
      <c r="C86" s="3" t="n"/>
      <c r="D86" s="3" t="n"/>
      <c r="E86" s="3" t="n"/>
      <c r="F86" s="30" t="n">
        <v>49</v>
      </c>
      <c r="G86" s="30" t="n">
        <v>99</v>
      </c>
      <c r="H86" s="3" t="n"/>
      <c r="I86" s="3" t="n"/>
      <c r="J86" s="30" t="n">
        <v>100</v>
      </c>
      <c r="K86" s="4" t="inlineStr">
        <is>
          <t>8K_2026-08-07 p8</t>
        </is>
      </c>
    </row>
    <row r="87">
      <c r="A87" s="38" t="inlineStr">
        <is>
          <t>CARFAX: Total expenses</t>
        </is>
      </c>
      <c r="B87" s="3" t="n"/>
      <c r="C87" s="3" t="n"/>
      <c r="D87" s="3" t="n"/>
      <c r="E87" s="3" t="n"/>
      <c r="F87" s="30" t="n">
        <v>200</v>
      </c>
      <c r="G87" s="30" t="n">
        <v>398</v>
      </c>
      <c r="H87" s="3" t="n"/>
      <c r="I87" s="3" t="n"/>
      <c r="J87" s="30" t="n">
        <v>420</v>
      </c>
      <c r="K87" s="4" t="inlineStr">
        <is>
          <t>8K_2026-08-07 p8</t>
        </is>
      </c>
    </row>
    <row r="88">
      <c r="A88" s="38" t="inlineStr">
        <is>
          <t>CARFAX: Operating profit</t>
        </is>
      </c>
      <c r="B88" s="3" t="n"/>
      <c r="C88" s="3" t="n"/>
      <c r="D88" s="3" t="n"/>
      <c r="E88" s="3" t="n"/>
      <c r="F88" s="30" t="n">
        <v>89</v>
      </c>
      <c r="G88" s="30" t="n">
        <v>166</v>
      </c>
      <c r="H88" s="3" t="n"/>
      <c r="I88" s="3" t="n"/>
      <c r="J88" s="30" t="n">
        <v>190</v>
      </c>
      <c r="K88" s="4" t="inlineStr">
        <is>
          <t>8K_2026-08-07 p8</t>
        </is>
      </c>
    </row>
    <row r="89">
      <c r="A89" s="38" t="inlineStr">
        <is>
          <t>CARFAX: Adjusted EBITDA</t>
        </is>
      </c>
      <c r="B89" s="3" t="n"/>
      <c r="C89" s="3" t="n"/>
      <c r="D89" s="3" t="n"/>
      <c r="E89" s="3" t="n"/>
      <c r="F89" s="30" t="n">
        <v>142</v>
      </c>
      <c r="G89" s="30" t="n">
        <v>272</v>
      </c>
      <c r="H89" s="3" t="n"/>
      <c r="I89" s="3" t="n"/>
      <c r="J89" s="30" t="n">
        <v>293</v>
      </c>
      <c r="K89" s="4" t="inlineStr">
        <is>
          <t>8K_2026-08-07 p8</t>
        </is>
      </c>
    </row>
    <row r="90">
      <c r="A90" s="38" t="inlineStr">
        <is>
          <t>B2B: Revenue</t>
        </is>
      </c>
      <c r="B90" s="3" t="n"/>
      <c r="C90" s="3" t="n"/>
      <c r="D90" s="3" t="n"/>
      <c r="E90" s="3" t="n"/>
      <c r="F90" s="30" t="n">
        <v>150</v>
      </c>
      <c r="G90" s="30" t="n">
        <v>295</v>
      </c>
      <c r="H90" s="3" t="n"/>
      <c r="I90" s="3" t="n"/>
      <c r="J90" s="30" t="n">
        <v>313</v>
      </c>
      <c r="K90" s="4" t="inlineStr">
        <is>
          <t>8K_2026-08-07 p8</t>
        </is>
      </c>
    </row>
    <row r="91">
      <c r="A91" s="38" t="inlineStr">
        <is>
          <t>B2B: Expenses: Operating - related expenses</t>
        </is>
      </c>
      <c r="B91" s="3" t="n"/>
      <c r="C91" s="3" t="n"/>
      <c r="D91" s="3" t="n"/>
      <c r="E91" s="3" t="n"/>
      <c r="F91" s="30" t="n">
        <v>65</v>
      </c>
      <c r="G91" s="30" t="n">
        <v>129</v>
      </c>
      <c r="H91" s="3" t="n"/>
      <c r="I91" s="3" t="n"/>
      <c r="J91" s="30" t="n">
        <v>134</v>
      </c>
      <c r="K91" s="4" t="inlineStr">
        <is>
          <t>8K_2026-08-07 p8</t>
        </is>
      </c>
    </row>
    <row r="92">
      <c r="A92" s="38" t="inlineStr">
        <is>
          <t>B2B: Expenses: Selling and general expenses</t>
        </is>
      </c>
      <c r="B92" s="3" t="n"/>
      <c r="C92" s="3" t="n"/>
      <c r="D92" s="3" t="n"/>
      <c r="E92" s="3" t="n"/>
      <c r="F92" s="30" t="n">
        <v>41</v>
      </c>
      <c r="G92" s="30" t="n">
        <v>80</v>
      </c>
      <c r="H92" s="3" t="n"/>
      <c r="I92" s="3" t="n"/>
      <c r="J92" s="30" t="n">
        <v>116</v>
      </c>
      <c r="K92" s="4" t="inlineStr">
        <is>
          <t>8K_2026-08-07 p8</t>
        </is>
      </c>
    </row>
    <row r="93">
      <c r="A93" s="38" t="inlineStr">
        <is>
          <t>B2B: Expenses: Depreciation and amortization</t>
        </is>
      </c>
      <c r="B93" s="3" t="n"/>
      <c r="C93" s="3" t="n"/>
      <c r="D93" s="3" t="n"/>
      <c r="E93" s="3" t="n"/>
      <c r="F93" s="30" t="n">
        <v>28</v>
      </c>
      <c r="G93" s="30" t="n">
        <v>56</v>
      </c>
      <c r="H93" s="3" t="n"/>
      <c r="I93" s="3" t="n"/>
      <c r="J93" s="30" t="n">
        <v>55</v>
      </c>
      <c r="K93" s="4" t="inlineStr">
        <is>
          <t>8K_2026-08-07 p8</t>
        </is>
      </c>
    </row>
    <row r="94">
      <c r="A94" s="38" t="inlineStr">
        <is>
          <t>B2B: Total expenses</t>
        </is>
      </c>
      <c r="B94" s="3" t="n"/>
      <c r="C94" s="3" t="n"/>
      <c r="D94" s="3" t="n"/>
      <c r="E94" s="3" t="n"/>
      <c r="F94" s="30" t="n">
        <v>134</v>
      </c>
      <c r="G94" s="30" t="n">
        <v>265</v>
      </c>
      <c r="H94" s="3" t="n"/>
      <c r="I94" s="3" t="n"/>
      <c r="J94" s="30" t="n">
        <v>305</v>
      </c>
      <c r="K94" s="4" t="inlineStr">
        <is>
          <t>8K_2026-08-07 p8</t>
        </is>
      </c>
    </row>
    <row r="95">
      <c r="A95" s="38" t="inlineStr">
        <is>
          <t>B2B: Operating profit</t>
        </is>
      </c>
      <c r="B95" s="3" t="n"/>
      <c r="C95" s="3" t="n"/>
      <c r="D95" s="3" t="n"/>
      <c r="E95" s="3" t="n"/>
      <c r="F95" s="30" t="n">
        <v>16</v>
      </c>
      <c r="G95" s="30" t="n">
        <v>30</v>
      </c>
      <c r="H95" s="3" t="n"/>
      <c r="I95" s="3" t="n"/>
      <c r="J95" s="30" t="n">
        <v>8</v>
      </c>
      <c r="K95" s="4" t="inlineStr">
        <is>
          <t>8K_2026-08-07 p8</t>
        </is>
      </c>
    </row>
    <row r="96">
      <c r="A96" s="38" t="inlineStr">
        <is>
          <t>B2B: Adjusted EBITDA</t>
        </is>
      </c>
      <c r="B96" s="3" t="n"/>
      <c r="C96" s="3" t="n"/>
      <c r="D96" s="3" t="n"/>
      <c r="E96" s="3" t="n"/>
      <c r="F96" s="30" t="n">
        <v>49</v>
      </c>
      <c r="G96" s="30" t="n">
        <v>93</v>
      </c>
      <c r="H96" s="3" t="n"/>
      <c r="I96" s="3" t="n"/>
      <c r="J96" s="30" t="n">
        <v>102</v>
      </c>
      <c r="K96" s="4" t="inlineStr">
        <is>
          <t>8K_2026-08-07 p8</t>
        </is>
      </c>
    </row>
    <row r="97">
      <c r="A97" s="38" t="inlineStr">
        <is>
          <t>Corporate: Expenses: Selling and general expenses</t>
        </is>
      </c>
      <c r="B97" s="3" t="n"/>
      <c r="C97" s="3" t="n"/>
      <c r="D97" s="3" t="n"/>
      <c r="E97" s="3" t="n"/>
      <c r="F97" s="30" t="n">
        <v>9</v>
      </c>
      <c r="G97" s="30" t="n">
        <v>16</v>
      </c>
      <c r="H97" s="3" t="n"/>
      <c r="I97" s="3" t="n"/>
      <c r="J97" s="30" t="n">
        <v>35</v>
      </c>
      <c r="K97" s="4" t="inlineStr">
        <is>
          <t>8K_2026-08-07 p8</t>
        </is>
      </c>
    </row>
    <row r="98">
      <c r="A98" s="38" t="inlineStr">
        <is>
          <t>Corporate: Total expenses</t>
        </is>
      </c>
      <c r="B98" s="3" t="n"/>
      <c r="C98" s="3" t="n"/>
      <c r="D98" s="3" t="n"/>
      <c r="E98" s="3" t="n"/>
      <c r="F98" s="30" t="n">
        <v>9</v>
      </c>
      <c r="G98" s="30" t="n">
        <v>16</v>
      </c>
      <c r="H98" s="3" t="n"/>
      <c r="I98" s="3" t="n"/>
      <c r="J98" s="30" t="n">
        <v>35</v>
      </c>
      <c r="K98" s="4" t="inlineStr">
        <is>
          <t>8K_2026-08-07 p8</t>
        </is>
      </c>
    </row>
    <row r="99">
      <c r="A99" s="38" t="inlineStr">
        <is>
          <t>Corporate: Operating profit</t>
        </is>
      </c>
      <c r="B99" s="3" t="n"/>
      <c r="C99" s="3" t="n"/>
      <c r="D99" s="3" t="n"/>
      <c r="E99" s="3" t="n"/>
      <c r="F99" s="30" t="n">
        <v>-9</v>
      </c>
      <c r="G99" s="30" t="n">
        <v>-16</v>
      </c>
      <c r="H99" s="3" t="n"/>
      <c r="I99" s="3" t="n"/>
      <c r="J99" s="30" t="n">
        <v>-35</v>
      </c>
      <c r="K99" s="4" t="inlineStr">
        <is>
          <t>8K_2026-08-07 p8</t>
        </is>
      </c>
    </row>
    <row r="100">
      <c r="A100" s="38" t="inlineStr">
        <is>
          <t>Corporate: Adjusted EBITDA</t>
        </is>
      </c>
      <c r="B100" s="3" t="n"/>
      <c r="C100" s="3" t="n"/>
      <c r="D100" s="3" t="n"/>
      <c r="E100" s="3" t="n"/>
      <c r="F100" s="30" t="n">
        <v>-3</v>
      </c>
      <c r="G100" s="30" t="n">
        <v>-8</v>
      </c>
      <c r="H100" s="3" t="n"/>
      <c r="I100" s="3" t="n"/>
      <c r="J100" s="30" t="n">
        <v>-9</v>
      </c>
      <c r="K100" s="4" t="inlineStr">
        <is>
          <t>8K_2026-08-07 p8</t>
        </is>
      </c>
    </row>
    <row r="101">
      <c r="A101" s="39" t="inlineStr">
        <is>
          <t>Total: Revenue</t>
        </is>
      </c>
      <c r="B101" s="3" t="n"/>
      <c r="C101" s="3" t="n"/>
      <c r="D101" s="3" t="n"/>
      <c r="E101" s="3" t="n"/>
      <c r="F101" s="18" t="n">
        <v>439</v>
      </c>
      <c r="G101" s="18" t="n">
        <v>859</v>
      </c>
      <c r="H101" s="3" t="n"/>
      <c r="I101" s="3" t="n"/>
      <c r="J101" s="18" t="n">
        <v>923</v>
      </c>
      <c r="K101" s="4" t="inlineStr">
        <is>
          <t>8K_2026-08-07 p8</t>
        </is>
      </c>
    </row>
    <row r="102">
      <c r="A102" s="38" t="inlineStr">
        <is>
          <t>Total: Expenses: Operating - related expenses</t>
        </is>
      </c>
      <c r="B102" s="3" t="n"/>
      <c r="C102" s="3" t="n"/>
      <c r="D102" s="3" t="n"/>
      <c r="E102" s="3" t="n"/>
      <c r="F102" s="30" t="n">
        <v>132</v>
      </c>
      <c r="G102" s="30" t="n">
        <v>259</v>
      </c>
      <c r="H102" s="3" t="n"/>
      <c r="I102" s="3" t="n"/>
      <c r="J102" s="30" t="n">
        <v>270</v>
      </c>
      <c r="K102" s="4" t="inlineStr">
        <is>
          <t>8K_2026-08-07 p8</t>
        </is>
      </c>
    </row>
    <row r="103">
      <c r="A103" s="38" t="inlineStr">
        <is>
          <t>Total: Expenses: Selling and general expenses</t>
        </is>
      </c>
      <c r="B103" s="3" t="n"/>
      <c r="C103" s="3" t="n"/>
      <c r="D103" s="3" t="n"/>
      <c r="E103" s="3" t="n"/>
      <c r="F103" s="30" t="n">
        <v>134</v>
      </c>
      <c r="G103" s="30" t="n">
        <v>265</v>
      </c>
      <c r="H103" s="3" t="n"/>
      <c r="I103" s="3" t="n"/>
      <c r="J103" s="30" t="n">
        <v>335</v>
      </c>
      <c r="K103" s="4" t="inlineStr">
        <is>
          <t>8K_2026-08-07 p8</t>
        </is>
      </c>
    </row>
    <row r="104">
      <c r="A104" s="38" t="inlineStr">
        <is>
          <t>Total: Expenses: Depreciation and amortization</t>
        </is>
      </c>
      <c r="B104" s="3" t="n"/>
      <c r="C104" s="3" t="n"/>
      <c r="D104" s="3" t="n"/>
      <c r="E104" s="3" t="n"/>
      <c r="F104" s="30" t="n">
        <v>77</v>
      </c>
      <c r="G104" s="30" t="n">
        <v>155</v>
      </c>
      <c r="H104" s="3" t="n"/>
      <c r="I104" s="3" t="n"/>
      <c r="J104" s="30" t="n">
        <v>155</v>
      </c>
      <c r="K104" s="4" t="inlineStr">
        <is>
          <t>8K_2026-08-07 p8</t>
        </is>
      </c>
    </row>
    <row r="105">
      <c r="A105" s="39" t="inlineStr">
        <is>
          <t>Total: Total expenses</t>
        </is>
      </c>
      <c r="B105" s="3" t="n"/>
      <c r="C105" s="3" t="n"/>
      <c r="D105" s="3" t="n"/>
      <c r="E105" s="3" t="n"/>
      <c r="F105" s="18" t="n">
        <v>343</v>
      </c>
      <c r="G105" s="18" t="n">
        <v>679</v>
      </c>
      <c r="H105" s="3" t="n"/>
      <c r="I105" s="3" t="n"/>
      <c r="J105" s="18" t="n">
        <v>760</v>
      </c>
      <c r="K105" s="4" t="inlineStr">
        <is>
          <t>8K_2026-08-07 p8</t>
        </is>
      </c>
    </row>
    <row r="106">
      <c r="A106" s="38" t="inlineStr">
        <is>
          <t>Total: Operating profit</t>
        </is>
      </c>
      <c r="B106" s="3" t="n"/>
      <c r="C106" s="3" t="n"/>
      <c r="D106" s="3" t="n"/>
      <c r="E106" s="3" t="n"/>
      <c r="F106" s="30" t="n">
        <v>96</v>
      </c>
      <c r="G106" s="30" t="n">
        <v>180</v>
      </c>
      <c r="H106" s="3" t="n"/>
      <c r="I106" s="3" t="n"/>
      <c r="J106" s="30" t="n">
        <v>163</v>
      </c>
      <c r="K106" s="4" t="inlineStr">
        <is>
          <t>8K_2026-08-07 p8</t>
        </is>
      </c>
    </row>
    <row r="107">
      <c r="A107" s="38" t="inlineStr">
        <is>
          <t>Total: Adjusted EBITDA</t>
        </is>
      </c>
      <c r="B107" s="3" t="n"/>
      <c r="C107" s="3" t="n"/>
      <c r="D107" s="3" t="n"/>
      <c r="E107" s="3" t="n"/>
      <c r="F107" s="30" t="n">
        <v>188</v>
      </c>
      <c r="G107" s="30" t="n">
        <v>357</v>
      </c>
      <c r="H107" s="3" t="n"/>
      <c r="I107" s="3" t="n"/>
      <c r="J107" s="30" t="n">
        <v>386</v>
      </c>
      <c r="K107" s="4" t="inlineStr">
        <is>
          <t>8K_2026-08-07 p8</t>
        </is>
      </c>
    </row>
    <row r="108">
      <c r="A108" s="14" t="inlineStr">
        <is>
          <t>Slides_Q2-2026 · Second quarter and first half 2026 revenue</t>
        </is>
      </c>
      <c r="B108" s="15" t="n"/>
      <c r="C108" s="15" t="n"/>
      <c r="D108" s="15" t="n"/>
      <c r="E108" s="15" t="n"/>
      <c r="F108" s="15" t="n"/>
      <c r="G108" s="15" t="n"/>
      <c r="H108" s="15" t="n"/>
      <c r="I108" s="15" t="n"/>
      <c r="J108" s="15" t="n"/>
      <c r="K108" s="15" t="n"/>
    </row>
    <row r="109">
      <c r="A109" s="38" t="inlineStr">
        <is>
          <t>CARFAX</t>
        </is>
      </c>
      <c r="B109" s="3" t="n"/>
      <c r="C109" s="3" t="n"/>
      <c r="D109" s="3" t="n"/>
      <c r="E109" s="3" t="n"/>
      <c r="F109" s="30" t="n">
        <v>289</v>
      </c>
      <c r="G109" s="30" t="n">
        <v>564</v>
      </c>
      <c r="H109" s="3" t="n"/>
      <c r="I109" s="30" t="n">
        <v>312</v>
      </c>
      <c r="J109" s="30" t="n">
        <v>610</v>
      </c>
      <c r="K109" s="4" t="inlineStr">
        <is>
          <t>Slides_Q2-2026 p5</t>
        </is>
      </c>
    </row>
    <row r="110">
      <c r="A110" s="38" t="inlineStr">
        <is>
          <t>CARFAX growth</t>
        </is>
      </c>
      <c r="B110" s="3" t="n"/>
      <c r="C110" s="3" t="n"/>
      <c r="D110" s="3" t="n"/>
      <c r="E110" s="3" t="n"/>
      <c r="F110" s="3" t="n"/>
      <c r="G110" s="3" t="n"/>
      <c r="H110" s="3" t="n"/>
      <c r="I110" s="41" t="n">
        <v>8</v>
      </c>
      <c r="J110" s="41" t="n">
        <v>8</v>
      </c>
      <c r="K110" s="4" t="inlineStr">
        <is>
          <t>Slides_Q2-2026 p5</t>
        </is>
      </c>
    </row>
    <row r="111">
      <c r="A111" s="38" t="inlineStr">
        <is>
          <t>B2B</t>
        </is>
      </c>
      <c r="B111" s="3" t="n"/>
      <c r="C111" s="3" t="n"/>
      <c r="D111" s="3" t="n"/>
      <c r="E111" s="3" t="n"/>
      <c r="F111" s="30" t="n">
        <v>150</v>
      </c>
      <c r="G111" s="30" t="n">
        <v>295</v>
      </c>
      <c r="H111" s="3" t="n"/>
      <c r="I111" s="30" t="n">
        <v>156</v>
      </c>
      <c r="J111" s="30" t="n">
        <v>313</v>
      </c>
      <c r="K111" s="4" t="inlineStr">
        <is>
          <t>Slides_Q2-2026 p5</t>
        </is>
      </c>
    </row>
    <row r="112">
      <c r="A112" s="38" t="inlineStr">
        <is>
          <t>B2B growth</t>
        </is>
      </c>
      <c r="B112" s="3" t="n"/>
      <c r="C112" s="3" t="n"/>
      <c r="D112" s="3" t="n"/>
      <c r="E112" s="3" t="n"/>
      <c r="F112" s="3" t="n"/>
      <c r="G112" s="3" t="n"/>
      <c r="H112" s="3" t="n"/>
      <c r="I112" s="41" t="n">
        <v>4</v>
      </c>
      <c r="J112" s="41" t="n">
        <v>6</v>
      </c>
      <c r="K112" s="4" t="inlineStr">
        <is>
          <t>Slides_Q2-2026 p5</t>
        </is>
      </c>
    </row>
    <row r="113">
      <c r="A113" s="39" t="inlineStr">
        <is>
          <t>Total</t>
        </is>
      </c>
      <c r="B113" s="3" t="n"/>
      <c r="C113" s="3" t="n"/>
      <c r="D113" s="3" t="n"/>
      <c r="E113" s="3" t="n"/>
      <c r="F113" s="18" t="n">
        <v>439</v>
      </c>
      <c r="G113" s="18" t="n">
        <v>859</v>
      </c>
      <c r="H113" s="3" t="n"/>
      <c r="I113" s="18" t="n">
        <v>468</v>
      </c>
      <c r="J113" s="18" t="n">
        <v>923</v>
      </c>
      <c r="K113" s="4" t="inlineStr">
        <is>
          <t>Slides_Q2-2026 p5</t>
        </is>
      </c>
    </row>
    <row r="114">
      <c r="A114" s="38" t="inlineStr">
        <is>
          <t>Total growth</t>
        </is>
      </c>
      <c r="B114" s="3" t="n"/>
      <c r="C114" s="3" t="n"/>
      <c r="D114" s="3" t="n"/>
      <c r="E114" s="3" t="n"/>
      <c r="F114" s="3" t="n"/>
      <c r="G114" s="3" t="n"/>
      <c r="H114" s="3" t="n"/>
      <c r="I114" s="41" t="n">
        <v>7</v>
      </c>
      <c r="J114" s="41" t="n">
        <v>7</v>
      </c>
      <c r="K114" s="4" t="inlineStr">
        <is>
          <t>Slides_Q2-2026 p5</t>
        </is>
      </c>
    </row>
    <row r="115">
      <c r="A115" s="14" t="inlineStr">
        <is>
          <t>Form10A_2026-05-27 · MD&amp;A analysis by segment of operating-related and selling and general expenses (three months ended March 31)</t>
        </is>
      </c>
      <c r="B115" s="15" t="n"/>
      <c r="C115" s="15" t="n"/>
      <c r="D115" s="15" t="n"/>
      <c r="E115" s="15" t="n"/>
      <c r="F115" s="15" t="n"/>
      <c r="G115" s="15" t="n"/>
      <c r="H115" s="15" t="n"/>
      <c r="I115" s="15" t="n"/>
      <c r="J115" s="15" t="n"/>
      <c r="K115" s="15" t="n"/>
    </row>
    <row r="116">
      <c r="A116" s="38" t="inlineStr">
        <is>
          <t>CARFAX: Operating-related expenses</t>
        </is>
      </c>
      <c r="B116" s="3" t="n"/>
      <c r="C116" s="3" t="n"/>
      <c r="D116" s="3" t="n"/>
      <c r="E116" s="30" t="n">
        <v>63</v>
      </c>
      <c r="F116" s="3" t="n"/>
      <c r="G116" s="3" t="n"/>
      <c r="H116" s="30" t="n">
        <v>68</v>
      </c>
      <c r="I116" s="3" t="n"/>
      <c r="J116" s="3" t="n"/>
      <c r="K116" s="4" t="inlineStr">
        <is>
          <t>Form10A_2026-05-27 p347</t>
        </is>
      </c>
    </row>
    <row r="117">
      <c r="A117" s="38" t="inlineStr">
        <is>
          <t>CARFAX: Selling and general expenses</t>
        </is>
      </c>
      <c r="B117" s="3" t="n"/>
      <c r="C117" s="3" t="n"/>
      <c r="D117" s="3" t="n"/>
      <c r="E117" s="30" t="n">
        <v>85</v>
      </c>
      <c r="F117" s="3" t="n"/>
      <c r="G117" s="3" t="n"/>
      <c r="H117" s="30" t="n">
        <v>91</v>
      </c>
      <c r="I117" s="3" t="n"/>
      <c r="J117" s="3" t="n"/>
      <c r="K117" s="4" t="inlineStr">
        <is>
          <t>Form10A_2026-05-27 p347</t>
        </is>
      </c>
    </row>
    <row r="118">
      <c r="A118" s="38" t="inlineStr">
        <is>
          <t>B2B (1): Operating-related expenses</t>
        </is>
      </c>
      <c r="B118" s="3" t="n"/>
      <c r="C118" s="3" t="n"/>
      <c r="D118" s="3" t="n"/>
      <c r="E118" s="30" t="n">
        <v>64</v>
      </c>
      <c r="F118" s="3" t="n"/>
      <c r="G118" s="3" t="n"/>
      <c r="H118" s="30" t="n">
        <v>68</v>
      </c>
      <c r="I118" s="3" t="n"/>
      <c r="J118" s="3" t="n"/>
      <c r="K118" s="4" t="inlineStr">
        <is>
          <t>Form10A_2026-05-27 p347</t>
        </is>
      </c>
    </row>
    <row r="119">
      <c r="A119" s="38" t="inlineStr">
        <is>
          <t>B2B (1): Selling and general expenses</t>
        </is>
      </c>
      <c r="B119" s="3" t="n"/>
      <c r="C119" s="3" t="n"/>
      <c r="D119" s="3" t="n"/>
      <c r="E119" s="30" t="n">
        <v>39</v>
      </c>
      <c r="F119" s="3" t="n"/>
      <c r="G119" s="3" t="n"/>
      <c r="H119" s="30" t="n">
        <v>56</v>
      </c>
      <c r="I119" s="3" t="n"/>
      <c r="J119" s="3" t="n"/>
      <c r="K119" s="4" t="inlineStr">
        <is>
          <t>Form10A_2026-05-27 p347</t>
        </is>
      </c>
    </row>
    <row r="120">
      <c r="A120" s="39" t="inlineStr">
        <is>
          <t>Total segment: Operating-related expenses</t>
        </is>
      </c>
      <c r="B120" s="3" t="n"/>
      <c r="C120" s="3" t="n"/>
      <c r="D120" s="3" t="n"/>
      <c r="E120" s="18" t="n">
        <v>127</v>
      </c>
      <c r="F120" s="3" t="n"/>
      <c r="G120" s="3" t="n"/>
      <c r="H120" s="18" t="n">
        <v>136</v>
      </c>
      <c r="I120" s="3" t="n"/>
      <c r="J120" s="3" t="n"/>
      <c r="K120" s="4" t="inlineStr">
        <is>
          <t>Form10A_2026-05-27 p347</t>
        </is>
      </c>
    </row>
    <row r="121">
      <c r="A121" s="39" t="inlineStr">
        <is>
          <t>Total segment: Selling and general expenses</t>
        </is>
      </c>
      <c r="B121" s="3" t="n"/>
      <c r="C121" s="3" t="n"/>
      <c r="D121" s="3" t="n"/>
      <c r="E121" s="18" t="n">
        <v>124</v>
      </c>
      <c r="F121" s="3" t="n"/>
      <c r="G121" s="3" t="n"/>
      <c r="H121" s="18" t="n">
        <v>147</v>
      </c>
      <c r="I121" s="3" t="n"/>
      <c r="J121" s="3" t="n"/>
      <c r="K121" s="4" t="inlineStr">
        <is>
          <t>Form10A_2026-05-27 p347</t>
        </is>
      </c>
    </row>
    <row r="122">
      <c r="A122" s="38" t="inlineStr">
        <is>
          <t>Corporate Unallocated expense (2): Selling and general expenses</t>
        </is>
      </c>
      <c r="B122" s="3" t="n"/>
      <c r="C122" s="3" t="n"/>
      <c r="D122" s="3" t="n"/>
      <c r="E122" s="30" t="n">
        <v>7</v>
      </c>
      <c r="F122" s="3" t="n"/>
      <c r="G122" s="3" t="n"/>
      <c r="H122" s="30" t="n">
        <v>13</v>
      </c>
      <c r="I122" s="3" t="n"/>
      <c r="J122" s="3" t="n"/>
      <c r="K122" s="4" t="inlineStr">
        <is>
          <t>Form10A_2026-05-27 p347</t>
        </is>
      </c>
    </row>
    <row r="123">
      <c r="A123" s="39" t="inlineStr">
        <is>
          <t>Total: Operating-related expenses</t>
        </is>
      </c>
      <c r="B123" s="3" t="n"/>
      <c r="C123" s="3" t="n"/>
      <c r="D123" s="3" t="n"/>
      <c r="E123" s="18" t="n">
        <v>127</v>
      </c>
      <c r="F123" s="3" t="n"/>
      <c r="G123" s="3" t="n"/>
      <c r="H123" s="18" t="n">
        <v>136</v>
      </c>
      <c r="I123" s="3" t="n"/>
      <c r="J123" s="3" t="n"/>
      <c r="K123" s="4" t="inlineStr">
        <is>
          <t>Form10A_2026-05-27 p347</t>
        </is>
      </c>
    </row>
    <row r="124">
      <c r="A124" s="39" t="inlineStr">
        <is>
          <t>Total: Selling and general expenses</t>
        </is>
      </c>
      <c r="B124" s="3" t="n"/>
      <c r="C124" s="3" t="n"/>
      <c r="D124" s="3" t="n"/>
      <c r="E124" s="18" t="n">
        <v>131</v>
      </c>
      <c r="F124" s="3" t="n"/>
      <c r="G124" s="3" t="n"/>
      <c r="H124" s="18" t="n">
        <v>160</v>
      </c>
      <c r="I124" s="3" t="n"/>
      <c r="J124" s="3" t="n"/>
      <c r="K124" s="4" t="inlineStr">
        <is>
          <t>Form10A_2026-05-27 p347</t>
        </is>
      </c>
    </row>
    <row r="125">
      <c r="A125" s="14" t="inlineStr">
        <is>
          <t>Form10A_2026-05-27 · MD&amp;A analysis by segment of expenses - footnotes (three months ended March 31)</t>
        </is>
      </c>
      <c r="B125" s="15" t="n"/>
      <c r="C125" s="15" t="n"/>
      <c r="D125" s="15" t="n"/>
      <c r="E125" s="15" t="n"/>
      <c r="F125" s="15" t="n"/>
      <c r="G125" s="15" t="n"/>
      <c r="H125" s="15" t="n"/>
      <c r="I125" s="15" t="n"/>
      <c r="J125" s="15" t="n"/>
      <c r="K125" s="15" t="n"/>
    </row>
    <row r="126">
      <c r="A126" s="38" t="inlineStr">
        <is>
          <t>B2B: transaction costs in selling and general expenses</t>
        </is>
      </c>
      <c r="B126" s="3" t="n"/>
      <c r="C126" s="3" t="n"/>
      <c r="D126" s="3" t="n"/>
      <c r="E126" s="3" t="n"/>
      <c r="F126" s="3" t="n"/>
      <c r="G126" s="3" t="n"/>
      <c r="H126" s="30" t="n">
        <v>13</v>
      </c>
      <c r="I126" s="3" t="n"/>
      <c r="J126" s="3" t="n"/>
      <c r="K126" s="4" t="inlineStr">
        <is>
          <t>Form10A_2026-05-27 p347</t>
        </is>
      </c>
    </row>
    <row r="127">
      <c r="A127" s="38" t="inlineStr">
        <is>
          <t>Corporate: transaction costs in selling and general expenses</t>
        </is>
      </c>
      <c r="B127" s="3" t="n"/>
      <c r="C127" s="3" t="n"/>
      <c r="D127" s="3" t="n"/>
      <c r="E127" s="3" t="n"/>
      <c r="F127" s="3" t="n"/>
      <c r="G127" s="3" t="n"/>
      <c r="H127" s="30" t="n">
        <v>8</v>
      </c>
      <c r="I127" s="3" t="n"/>
      <c r="J127" s="3" t="n"/>
      <c r="K127" s="4" t="inlineStr">
        <is>
          <t>Form10A_2026-05-27 p347</t>
        </is>
      </c>
    </row>
    <row r="128">
      <c r="A128" s="38" t="inlineStr">
        <is>
          <t>Corporate: employee severance charges</t>
        </is>
      </c>
      <c r="B128" s="3" t="n"/>
      <c r="C128" s="3" t="n"/>
      <c r="D128" s="3" t="n"/>
      <c r="E128" s="30" t="n">
        <v>1</v>
      </c>
      <c r="F128" s="3" t="n"/>
      <c r="G128" s="3" t="n"/>
      <c r="H128" s="3" t="n"/>
      <c r="I128" s="3" t="n"/>
      <c r="J128" s="3" t="n"/>
      <c r="K128" s="4" t="inlineStr">
        <is>
          <t>Form10A_2026-05-27 p347</t>
        </is>
      </c>
    </row>
    <row r="129">
      <c r="A129" s="38" t="inlineStr">
        <is>
          <t>Corporate: other employee-related costs</t>
        </is>
      </c>
      <c r="B129" s="3" t="n"/>
      <c r="C129" s="3" t="n"/>
      <c r="D129" s="3" t="n"/>
      <c r="E129" s="30" t="n">
        <v>1</v>
      </c>
      <c r="F129" s="3" t="n"/>
      <c r="G129" s="3" t="n"/>
      <c r="H129" s="3" t="n"/>
      <c r="I129" s="3" t="n"/>
      <c r="J129" s="3" t="n"/>
      <c r="K129" s="4" t="inlineStr">
        <is>
          <t>Form10A_2026-05-27 p347</t>
        </is>
      </c>
    </row>
    <row r="130">
      <c r="A130" s="14" t="inlineStr">
        <is>
          <t>Form10A_2026-05-27 · MD&amp;A segment operating profit reconciliation (three months ended March 31)</t>
        </is>
      </c>
      <c r="B130" s="15" t="n"/>
      <c r="C130" s="15" t="n"/>
      <c r="D130" s="15" t="n"/>
      <c r="E130" s="15" t="n"/>
      <c r="F130" s="15" t="n"/>
      <c r="G130" s="15" t="n"/>
      <c r="H130" s="15" t="n"/>
      <c r="I130" s="15" t="n"/>
      <c r="J130" s="15" t="n"/>
      <c r="K130" s="15" t="n"/>
    </row>
    <row r="131">
      <c r="A131" s="38" t="inlineStr">
        <is>
          <t>CARFAX (1)</t>
        </is>
      </c>
      <c r="B131" s="3" t="n"/>
      <c r="C131" s="3" t="n"/>
      <c r="D131" s="3" t="n"/>
      <c r="E131" s="30" t="n">
        <v>77</v>
      </c>
      <c r="F131" s="3" t="n"/>
      <c r="G131" s="3" t="n"/>
      <c r="H131" s="30" t="n">
        <v>89</v>
      </c>
      <c r="I131" s="3" t="n"/>
      <c r="J131" s="3" t="n"/>
      <c r="K131" s="4" t="inlineStr">
        <is>
          <t>Form10A_2026-05-27 p348</t>
        </is>
      </c>
    </row>
    <row r="132">
      <c r="A132" s="38" t="inlineStr">
        <is>
          <t>B2B (2)</t>
        </is>
      </c>
      <c r="B132" s="3" t="n"/>
      <c r="C132" s="3" t="n"/>
      <c r="D132" s="3" t="n"/>
      <c r="E132" s="30" t="n">
        <v>14</v>
      </c>
      <c r="F132" s="3" t="n"/>
      <c r="G132" s="3" t="n"/>
      <c r="H132" s="30" t="n">
        <v>5</v>
      </c>
      <c r="I132" s="3" t="n"/>
      <c r="J132" s="3" t="n"/>
      <c r="K132" s="4" t="inlineStr">
        <is>
          <t>Form10A_2026-05-27 p348</t>
        </is>
      </c>
    </row>
    <row r="133">
      <c r="A133" s="39" t="inlineStr">
        <is>
          <t>Total segment operating profit</t>
        </is>
      </c>
      <c r="B133" s="3" t="n"/>
      <c r="C133" s="3" t="n"/>
      <c r="D133" s="3" t="n"/>
      <c r="E133" s="18" t="n">
        <v>91</v>
      </c>
      <c r="F133" s="3" t="n"/>
      <c r="G133" s="3" t="n"/>
      <c r="H133" s="18" t="n">
        <v>94</v>
      </c>
      <c r="I133" s="3" t="n"/>
      <c r="J133" s="3" t="n"/>
      <c r="K133" s="4" t="inlineStr">
        <is>
          <t>Form10A_2026-05-27 p348</t>
        </is>
      </c>
    </row>
    <row r="134">
      <c r="A134" s="38" t="inlineStr">
        <is>
          <t>Corporate Unallocated expense (3)</t>
        </is>
      </c>
      <c r="B134" s="3" t="n"/>
      <c r="C134" s="3" t="n"/>
      <c r="D134" s="3" t="n"/>
      <c r="E134" s="30" t="n">
        <v>-7</v>
      </c>
      <c r="F134" s="3" t="n"/>
      <c r="G134" s="3" t="n"/>
      <c r="H134" s="30" t="n">
        <v>-13</v>
      </c>
      <c r="I134" s="3" t="n"/>
      <c r="J134" s="3" t="n"/>
      <c r="K134" s="4" t="inlineStr">
        <is>
          <t>Form10A_2026-05-27 p348</t>
        </is>
      </c>
    </row>
    <row r="135">
      <c r="A135" s="39" t="inlineStr">
        <is>
          <t>Total operating profit</t>
        </is>
      </c>
      <c r="B135" s="3" t="n"/>
      <c r="C135" s="3" t="n"/>
      <c r="D135" s="3" t="n"/>
      <c r="E135" s="18" t="n">
        <v>84</v>
      </c>
      <c r="F135" s="3" t="n"/>
      <c r="G135" s="3" t="n"/>
      <c r="H135" s="18" t="n">
        <v>81</v>
      </c>
      <c r="I135" s="3" t="n"/>
      <c r="J135" s="3" t="n"/>
      <c r="K135" s="4" t="inlineStr">
        <is>
          <t>Form10A_2026-05-27 p348</t>
        </is>
      </c>
    </row>
    <row r="136">
      <c r="A136" s="38" t="inlineStr">
        <is>
          <t>CARFAX % Change</t>
        </is>
      </c>
      <c r="B136" s="3" t="n"/>
      <c r="C136" s="3" t="n"/>
      <c r="D136" s="3" t="n"/>
      <c r="E136" s="3" t="n"/>
      <c r="F136" s="3" t="n"/>
      <c r="G136" s="3" t="n"/>
      <c r="H136" s="41" t="n">
        <v>15</v>
      </c>
      <c r="I136" s="3" t="n"/>
      <c r="J136" s="3" t="n"/>
      <c r="K136" s="4" t="inlineStr">
        <is>
          <t>Form10A_2026-05-27 p348</t>
        </is>
      </c>
    </row>
    <row r="137">
      <c r="A137" s="38" t="inlineStr">
        <is>
          <t>B2B % Change</t>
        </is>
      </c>
      <c r="B137" s="3" t="n"/>
      <c r="C137" s="3" t="n"/>
      <c r="D137" s="3" t="n"/>
      <c r="E137" s="3" t="n"/>
      <c r="F137" s="3" t="n"/>
      <c r="G137" s="3" t="n"/>
      <c r="H137" s="41" t="n">
        <v>-62</v>
      </c>
      <c r="I137" s="3" t="n"/>
      <c r="J137" s="3" t="n"/>
      <c r="K137" s="4" t="inlineStr">
        <is>
          <t>Form10A_2026-05-27 p348</t>
        </is>
      </c>
    </row>
    <row r="138">
      <c r="A138" s="38" t="inlineStr">
        <is>
          <t>Total segment operating profit % Change</t>
        </is>
      </c>
      <c r="B138" s="3" t="n"/>
      <c r="C138" s="3" t="n"/>
      <c r="D138" s="3" t="n"/>
      <c r="E138" s="3" t="n"/>
      <c r="F138" s="3" t="n"/>
      <c r="G138" s="3" t="n"/>
      <c r="H138" s="41" t="n">
        <v>3</v>
      </c>
      <c r="I138" s="3" t="n"/>
      <c r="J138" s="3" t="n"/>
      <c r="K138" s="4" t="inlineStr">
        <is>
          <t>Form10A_2026-05-27 p348</t>
        </is>
      </c>
    </row>
    <row r="139">
      <c r="A139" s="38" t="inlineStr">
        <is>
          <t>Corporate Unallocated expense % Change</t>
        </is>
      </c>
      <c r="B139" s="3" t="n"/>
      <c r="C139" s="3" t="n"/>
      <c r="D139" s="3" t="n"/>
      <c r="E139" s="3" t="n"/>
      <c r="F139" s="3" t="n"/>
      <c r="G139" s="3" t="n"/>
      <c r="H139" s="41" t="n">
        <v>90</v>
      </c>
      <c r="I139" s="3" t="n"/>
      <c r="J139" s="3" t="n"/>
      <c r="K139" s="4" t="inlineStr">
        <is>
          <t>Form10A_2026-05-27 p348</t>
        </is>
      </c>
    </row>
    <row r="140">
      <c r="A140" s="38" t="inlineStr">
        <is>
          <t>Total operating profit % Change</t>
        </is>
      </c>
      <c r="B140" s="3" t="n"/>
      <c r="C140" s="3" t="n"/>
      <c r="D140" s="3" t="n"/>
      <c r="E140" s="3" t="n"/>
      <c r="F140" s="3" t="n"/>
      <c r="G140" s="3" t="n"/>
      <c r="H140" s="41" t="n">
        <v>-4</v>
      </c>
      <c r="I140" s="3" t="n"/>
      <c r="J140" s="3" t="n"/>
      <c r="K140" s="4" t="inlineStr">
        <is>
          <t>Form10A_2026-05-27 p348</t>
        </is>
      </c>
    </row>
    <row r="141">
      <c r="A141" s="38" t="inlineStr">
        <is>
          <t>CARFAX amortization of intangibles from acquisitions (fn 1)</t>
        </is>
      </c>
      <c r="B141" s="3" t="n"/>
      <c r="C141" s="3" t="n"/>
      <c r="D141" s="3" t="n"/>
      <c r="E141" s="30" t="n">
        <v>47</v>
      </c>
      <c r="F141" s="3" t="n"/>
      <c r="G141" s="3" t="n"/>
      <c r="H141" s="30" t="n">
        <v>47</v>
      </c>
      <c r="I141" s="3" t="n"/>
      <c r="J141" s="3" t="n"/>
      <c r="K141" s="4" t="inlineStr">
        <is>
          <t>Form10A_2026-05-27 p348</t>
        </is>
      </c>
    </row>
    <row r="142">
      <c r="A142" s="38" t="inlineStr">
        <is>
          <t>B2B amortization of intangibles from acquisitions (fn 2)</t>
        </is>
      </c>
      <c r="B142" s="3" t="n"/>
      <c r="C142" s="3" t="n"/>
      <c r="D142" s="3" t="n"/>
      <c r="E142" s="30" t="n">
        <v>27</v>
      </c>
      <c r="F142" s="3" t="n"/>
      <c r="G142" s="3" t="n"/>
      <c r="H142" s="30" t="n">
        <v>27</v>
      </c>
      <c r="I142" s="3" t="n"/>
      <c r="J142" s="3" t="n"/>
      <c r="K142" s="4" t="inlineStr">
        <is>
          <t>Form10A_2026-05-27 p348</t>
        </is>
      </c>
    </row>
    <row r="143">
      <c r="A143" s="14" t="inlineStr">
        <is>
          <t>Form10A_2026-05-27 · MD&amp;A analysis by segment of operating-related and selling and general expenses (years ended December 31)</t>
        </is>
      </c>
      <c r="B143" s="15" t="n"/>
      <c r="C143" s="15" t="n"/>
      <c r="D143" s="15" t="n"/>
      <c r="E143" s="15" t="n"/>
      <c r="F143" s="15" t="n"/>
      <c r="G143" s="15" t="n"/>
      <c r="H143" s="15" t="n"/>
      <c r="I143" s="15" t="n"/>
      <c r="J143" s="15" t="n"/>
      <c r="K143" s="15" t="n"/>
    </row>
    <row r="144">
      <c r="A144" s="38" t="inlineStr">
        <is>
          <t>CARFAX (1): Operating-related expenses</t>
        </is>
      </c>
      <c r="B144" s="30" t="n">
        <v>221</v>
      </c>
      <c r="C144" s="30" t="n">
        <v>243</v>
      </c>
      <c r="D144" s="30" t="n">
        <v>258</v>
      </c>
      <c r="E144" s="3" t="n"/>
      <c r="F144" s="3" t="n"/>
      <c r="G144" s="3" t="n"/>
      <c r="H144" s="3" t="n"/>
      <c r="I144" s="3" t="n"/>
      <c r="J144" s="3" t="n"/>
      <c r="K144" s="4" t="inlineStr">
        <is>
          <t>Form10A_2026-05-27 p350; Form10A_2026-05-27 p351</t>
        </is>
      </c>
    </row>
    <row r="145">
      <c r="A145" s="38" t="inlineStr">
        <is>
          <t>CARFAX (1): Selling and general expenses</t>
        </is>
      </c>
      <c r="B145" s="30" t="n">
        <v>300</v>
      </c>
      <c r="C145" s="30" t="n">
        <v>339</v>
      </c>
      <c r="D145" s="30" t="n">
        <v>363</v>
      </c>
      <c r="E145" s="3" t="n"/>
      <c r="F145" s="3" t="n"/>
      <c r="G145" s="3" t="n"/>
      <c r="H145" s="3" t="n"/>
      <c r="I145" s="3" t="n"/>
      <c r="J145" s="3" t="n"/>
      <c r="K145" s="4" t="inlineStr">
        <is>
          <t>Form10A_2026-05-27 p350; Form10A_2026-05-27 p351</t>
        </is>
      </c>
    </row>
    <row r="146">
      <c r="A146" s="38" t="inlineStr">
        <is>
          <t>B2B (2): Operating-related expenses</t>
        </is>
      </c>
      <c r="B146" s="30" t="n">
        <v>227</v>
      </c>
      <c r="C146" s="30" t="n">
        <v>232</v>
      </c>
      <c r="D146" s="30" t="n">
        <v>258</v>
      </c>
      <c r="E146" s="3" t="n"/>
      <c r="F146" s="3" t="n"/>
      <c r="G146" s="3" t="n"/>
      <c r="H146" s="3" t="n"/>
      <c r="I146" s="3" t="n"/>
      <c r="J146" s="3" t="n"/>
      <c r="K146" s="4" t="inlineStr">
        <is>
          <t>Form10A_2026-05-27 p350; Form10A_2026-05-27 p351</t>
        </is>
      </c>
    </row>
    <row r="147">
      <c r="A147" s="38" t="inlineStr">
        <is>
          <t>B2B (2): Selling and general expenses</t>
        </is>
      </c>
      <c r="B147" s="30" t="n">
        <v>159</v>
      </c>
      <c r="C147" s="30" t="n">
        <v>162</v>
      </c>
      <c r="D147" s="30" t="n">
        <v>177</v>
      </c>
      <c r="E147" s="3" t="n"/>
      <c r="F147" s="3" t="n"/>
      <c r="G147" s="3" t="n"/>
      <c r="H147" s="3" t="n"/>
      <c r="I147" s="3" t="n"/>
      <c r="J147" s="3" t="n"/>
      <c r="K147" s="4" t="inlineStr">
        <is>
          <t>Form10A_2026-05-27 p350; Form10A_2026-05-27 p351</t>
        </is>
      </c>
    </row>
    <row r="148">
      <c r="A148" s="38" t="inlineStr">
        <is>
          <t>Total segment: Operating-related expenses</t>
        </is>
      </c>
      <c r="B148" s="30" t="n">
        <v>448</v>
      </c>
      <c r="C148" s="30" t="n">
        <v>475</v>
      </c>
      <c r="D148" s="30" t="n">
        <v>516</v>
      </c>
      <c r="E148" s="3" t="n"/>
      <c r="F148" s="3" t="n"/>
      <c r="G148" s="3" t="n"/>
      <c r="H148" s="3" t="n"/>
      <c r="I148" s="3" t="n"/>
      <c r="J148" s="3" t="n"/>
      <c r="K148" s="4" t="inlineStr">
        <is>
          <t>Form10A_2026-05-27 p350; Form10A_2026-05-27 p351</t>
        </is>
      </c>
    </row>
    <row r="149">
      <c r="A149" s="38" t="inlineStr">
        <is>
          <t>Total segment: Selling and general expenses</t>
        </is>
      </c>
      <c r="B149" s="30" t="n">
        <v>459</v>
      </c>
      <c r="C149" s="30" t="n">
        <v>501</v>
      </c>
      <c r="D149" s="30" t="n">
        <v>540</v>
      </c>
      <c r="E149" s="3" t="n"/>
      <c r="F149" s="3" t="n"/>
      <c r="G149" s="3" t="n"/>
      <c r="H149" s="3" t="n"/>
      <c r="I149" s="3" t="n"/>
      <c r="J149" s="3" t="n"/>
      <c r="K149" s="4" t="inlineStr">
        <is>
          <t>Form10A_2026-05-27 p350; Form10A_2026-05-27 p351</t>
        </is>
      </c>
    </row>
    <row r="150">
      <c r="A150" s="38" t="inlineStr">
        <is>
          <t>Corporate Unallocated expense (3): Selling and general expenses</t>
        </is>
      </c>
      <c r="B150" s="30" t="n">
        <v>32</v>
      </c>
      <c r="C150" s="30" t="n">
        <v>30</v>
      </c>
      <c r="D150" s="30" t="n">
        <v>45</v>
      </c>
      <c r="E150" s="3" t="n"/>
      <c r="F150" s="3" t="n"/>
      <c r="G150" s="3" t="n"/>
      <c r="H150" s="3" t="n"/>
      <c r="I150" s="3" t="n"/>
      <c r="J150" s="3" t="n"/>
      <c r="K150" s="4" t="inlineStr">
        <is>
          <t>Form10A_2026-05-27 p350; Form10A_2026-05-27 p351</t>
        </is>
      </c>
    </row>
    <row r="151">
      <c r="A151" s="39" t="inlineStr">
        <is>
          <t>Total: Operating-related expenses</t>
        </is>
      </c>
      <c r="B151" s="18" t="n">
        <v>448</v>
      </c>
      <c r="C151" s="18" t="n">
        <v>475</v>
      </c>
      <c r="D151" s="18" t="n">
        <v>516</v>
      </c>
      <c r="E151" s="3" t="n"/>
      <c r="F151" s="3" t="n"/>
      <c r="G151" s="3" t="n"/>
      <c r="H151" s="3" t="n"/>
      <c r="I151" s="3" t="n"/>
      <c r="J151" s="3" t="n"/>
      <c r="K151" s="4" t="inlineStr">
        <is>
          <t>Form10A_2026-05-27 p350; Form10A_2026-05-27 p351</t>
        </is>
      </c>
    </row>
    <row r="152">
      <c r="A152" s="39" t="inlineStr">
        <is>
          <t>Total: Selling and general expenses</t>
        </is>
      </c>
      <c r="B152" s="18" t="n">
        <v>491</v>
      </c>
      <c r="C152" s="18" t="n">
        <v>531</v>
      </c>
      <c r="D152" s="18" t="n">
        <v>585</v>
      </c>
      <c r="E152" s="3" t="n"/>
      <c r="F152" s="3" t="n"/>
      <c r="G152" s="3" t="n"/>
      <c r="H152" s="3" t="n"/>
      <c r="I152" s="3" t="n"/>
      <c r="J152" s="3" t="n"/>
      <c r="K152" s="4" t="inlineStr">
        <is>
          <t>Form10A_2026-05-27 p350; Form10A_2026-05-27 p351</t>
        </is>
      </c>
    </row>
    <row r="153">
      <c r="A153" s="14" t="inlineStr">
        <is>
          <t>Form10A_2026-05-27 · MD&amp;A segment operating profit reconciliation (years ended December 31)</t>
        </is>
      </c>
      <c r="B153" s="15" t="n"/>
      <c r="C153" s="15" t="n"/>
      <c r="D153" s="15" t="n"/>
      <c r="E153" s="15" t="n"/>
      <c r="F153" s="15" t="n"/>
      <c r="G153" s="15" t="n"/>
      <c r="H153" s="15" t="n"/>
      <c r="I153" s="15" t="n"/>
      <c r="J153" s="15" t="n"/>
      <c r="K153" s="15" t="n"/>
    </row>
    <row r="154">
      <c r="A154" s="38" t="inlineStr">
        <is>
          <t>CARFAX (1)</t>
        </is>
      </c>
      <c r="B154" s="30" t="n">
        <v>210</v>
      </c>
      <c r="C154" s="30" t="n">
        <v>259</v>
      </c>
      <c r="D154" s="30" t="n">
        <v>322</v>
      </c>
      <c r="E154" s="3" t="n"/>
      <c r="F154" s="3" t="n"/>
      <c r="G154" s="3" t="n"/>
      <c r="H154" s="3" t="n"/>
      <c r="I154" s="3" t="n"/>
      <c r="J154" s="3" t="n"/>
      <c r="K154" s="4" t="inlineStr">
        <is>
          <t>Form10A_2026-05-27 p352</t>
        </is>
      </c>
    </row>
    <row r="155">
      <c r="A155" s="38" t="inlineStr">
        <is>
          <t>B2B (2)</t>
        </is>
      </c>
      <c r="B155" s="30" t="n">
        <v>61</v>
      </c>
      <c r="C155" s="30" t="n">
        <v>69</v>
      </c>
      <c r="D155" s="30" t="n">
        <v>62</v>
      </c>
      <c r="E155" s="3" t="n"/>
      <c r="F155" s="3" t="n"/>
      <c r="G155" s="3" t="n"/>
      <c r="H155" s="3" t="n"/>
      <c r="I155" s="3" t="n"/>
      <c r="J155" s="3" t="n"/>
      <c r="K155" s="4" t="inlineStr">
        <is>
          <t>Form10A_2026-05-27 p352</t>
        </is>
      </c>
    </row>
    <row r="156">
      <c r="A156" s="39" t="inlineStr">
        <is>
          <t>Total segment operating profit</t>
        </is>
      </c>
      <c r="B156" s="18" t="n">
        <v>271</v>
      </c>
      <c r="C156" s="18" t="n">
        <v>328</v>
      </c>
      <c r="D156" s="18" t="n">
        <v>384</v>
      </c>
      <c r="E156" s="3" t="n"/>
      <c r="F156" s="3" t="n"/>
      <c r="G156" s="3" t="n"/>
      <c r="H156" s="3" t="n"/>
      <c r="I156" s="3" t="n"/>
      <c r="J156" s="3" t="n"/>
      <c r="K156" s="4" t="inlineStr">
        <is>
          <t>Form10A_2026-05-27 p352</t>
        </is>
      </c>
    </row>
    <row r="157">
      <c r="A157" s="38" t="inlineStr">
        <is>
          <t>Corporate Unallocated expense (3)</t>
        </is>
      </c>
      <c r="B157" s="30" t="n">
        <v>-32</v>
      </c>
      <c r="C157" s="30" t="n">
        <v>-30</v>
      </c>
      <c r="D157" s="30" t="n">
        <v>-45</v>
      </c>
      <c r="E157" s="3" t="n"/>
      <c r="F157" s="3" t="n"/>
      <c r="G157" s="3" t="n"/>
      <c r="H157" s="3" t="n"/>
      <c r="I157" s="3" t="n"/>
      <c r="J157" s="3" t="n"/>
      <c r="K157" s="4" t="inlineStr">
        <is>
          <t>Form10A_2026-05-27 p352</t>
        </is>
      </c>
    </row>
    <row r="158">
      <c r="A158" s="39" t="inlineStr">
        <is>
          <t>Total operating profit</t>
        </is>
      </c>
      <c r="B158" s="18" t="n">
        <v>239</v>
      </c>
      <c r="C158" s="18" t="n">
        <v>298</v>
      </c>
      <c r="D158" s="18" t="n">
        <v>339</v>
      </c>
      <c r="E158" s="3" t="n"/>
      <c r="F158" s="3" t="n"/>
      <c r="G158" s="3" t="n"/>
      <c r="H158" s="3" t="n"/>
      <c r="I158" s="3" t="n"/>
      <c r="J158" s="3" t="n"/>
      <c r="K158" s="4" t="inlineStr">
        <is>
          <t>Form10A_2026-05-27 p352</t>
        </is>
      </c>
    </row>
    <row r="159">
      <c r="A159" s="38" t="inlineStr">
        <is>
          <t>CARFAX amortization of intangibles from acquisitions (fn 1)</t>
        </is>
      </c>
      <c r="B159" s="30" t="n">
        <v>190</v>
      </c>
      <c r="C159" s="30" t="n">
        <v>190</v>
      </c>
      <c r="D159" s="30" t="n">
        <v>189</v>
      </c>
      <c r="E159" s="3" t="n"/>
      <c r="F159" s="3" t="n"/>
      <c r="G159" s="3" t="n"/>
      <c r="H159" s="3" t="n"/>
      <c r="I159" s="3" t="n"/>
      <c r="J159" s="3" t="n"/>
      <c r="K159" s="4" t="inlineStr">
        <is>
          <t>Form10A_2026-05-27 p352</t>
        </is>
      </c>
    </row>
    <row r="160">
      <c r="A160" s="38" t="inlineStr">
        <is>
          <t>B2B amortization of intangibles from acquisitions (fn 2)</t>
        </is>
      </c>
      <c r="B160" s="30" t="n">
        <v>106</v>
      </c>
      <c r="C160" s="30" t="n">
        <v>107</v>
      </c>
      <c r="D160" s="30" t="n">
        <v>107</v>
      </c>
      <c r="E160" s="3" t="n"/>
      <c r="F160" s="3" t="n"/>
      <c r="G160" s="3" t="n"/>
      <c r="H160" s="3" t="n"/>
      <c r="I160" s="3" t="n"/>
      <c r="J160" s="3" t="n"/>
      <c r="K160" s="4" t="inlineStr">
        <is>
          <t>Form10A_2026-05-27 p352</t>
        </is>
      </c>
    </row>
    <row r="161">
      <c r="A161" s="14" t="inlineStr">
        <is>
          <t>Form10A_2026-05-27 · MD&amp;A segment operating profit % change</t>
        </is>
      </c>
      <c r="B161" s="15" t="n"/>
      <c r="C161" s="15" t="n"/>
      <c r="D161" s="15" t="n"/>
      <c r="E161" s="15" t="n"/>
      <c r="F161" s="15" t="n"/>
      <c r="G161" s="15" t="n"/>
      <c r="H161" s="15" t="n"/>
      <c r="I161" s="15" t="n"/>
      <c r="J161" s="15" t="n"/>
      <c r="K161" s="15" t="n"/>
    </row>
    <row r="162">
      <c r="A162" s="38" t="inlineStr">
        <is>
          <t>CARFAX % Change</t>
        </is>
      </c>
      <c r="B162" s="3" t="n"/>
      <c r="C162" s="41" t="n">
        <v>23</v>
      </c>
      <c r="D162" s="41" t="n">
        <v>25</v>
      </c>
      <c r="E162" s="3" t="n"/>
      <c r="F162" s="3" t="n"/>
      <c r="G162" s="3" t="n"/>
      <c r="H162" s="3" t="n"/>
      <c r="I162" s="3" t="n"/>
      <c r="J162" s="3" t="n"/>
      <c r="K162" s="4" t="inlineStr">
        <is>
          <t>Form10A_2026-05-27 p352</t>
        </is>
      </c>
    </row>
    <row r="163">
      <c r="A163" s="38" t="inlineStr">
        <is>
          <t>B2B % Change</t>
        </is>
      </c>
      <c r="B163" s="3" t="n"/>
      <c r="C163" s="41" t="n">
        <v>15</v>
      </c>
      <c r="D163" s="41" t="n">
        <v>-12</v>
      </c>
      <c r="E163" s="3" t="n"/>
      <c r="F163" s="3" t="n"/>
      <c r="G163" s="3" t="n"/>
      <c r="H163" s="3" t="n"/>
      <c r="I163" s="3" t="n"/>
      <c r="J163" s="3" t="n"/>
      <c r="K163" s="4" t="inlineStr">
        <is>
          <t>Form10A_2026-05-27 p352</t>
        </is>
      </c>
    </row>
    <row r="164">
      <c r="A164" s="38" t="inlineStr">
        <is>
          <t>Total segment operating profit % Change</t>
        </is>
      </c>
      <c r="B164" s="3" t="n"/>
      <c r="C164" s="41" t="n">
        <v>21</v>
      </c>
      <c r="D164" s="41" t="n">
        <v>17</v>
      </c>
      <c r="E164" s="3" t="n"/>
      <c r="F164" s="3" t="n"/>
      <c r="G164" s="3" t="n"/>
      <c r="H164" s="3" t="n"/>
      <c r="I164" s="3" t="n"/>
      <c r="J164" s="3" t="n"/>
      <c r="K164" s="4" t="inlineStr">
        <is>
          <t>Form10A_2026-05-27 p352</t>
        </is>
      </c>
    </row>
    <row r="165">
      <c r="A165" s="38" t="inlineStr">
        <is>
          <t>Total operating profit % Change</t>
        </is>
      </c>
      <c r="B165" s="3" t="n"/>
      <c r="C165" s="41" t="n">
        <v>25</v>
      </c>
      <c r="D165" s="41" t="n">
        <v>14</v>
      </c>
      <c r="E165" s="3" t="n"/>
      <c r="F165" s="3" t="n"/>
      <c r="G165" s="3" t="n"/>
      <c r="H165" s="3" t="n"/>
      <c r="I165" s="3" t="n"/>
      <c r="J165" s="3" t="n"/>
      <c r="K165" s="4" t="inlineStr">
        <is>
          <t>Form10A_2026-05-27 p352</t>
        </is>
      </c>
    </row>
    <row r="166">
      <c r="A166" s="14" t="inlineStr">
        <is>
          <t>Form10A_2026-05-27 · MD&amp;A segment opex footnotes - special items (years ended December 31)</t>
        </is>
      </c>
      <c r="B166" s="15" t="n"/>
      <c r="C166" s="15" t="n"/>
      <c r="D166" s="15" t="n"/>
      <c r="E166" s="15" t="n"/>
      <c r="F166" s="15" t="n"/>
      <c r="G166" s="15" t="n"/>
      <c r="H166" s="15" t="n"/>
      <c r="I166" s="15" t="n"/>
      <c r="J166" s="15" t="n"/>
      <c r="K166" s="15" t="n"/>
    </row>
    <row r="167">
      <c r="A167" s="38" t="inlineStr">
        <is>
          <t>CARFAX: employee severance charges</t>
        </is>
      </c>
      <c r="B167" s="3" t="n"/>
      <c r="C167" s="3" t="n"/>
      <c r="D167" s="30" t="n">
        <v>2</v>
      </c>
      <c r="E167" s="3" t="n"/>
      <c r="F167" s="3" t="n"/>
      <c r="G167" s="3" t="n"/>
      <c r="H167" s="3" t="n"/>
      <c r="I167" s="3" t="n"/>
      <c r="J167" s="3" t="n"/>
      <c r="K167" s="4" t="inlineStr">
        <is>
          <t>Form10A_2026-05-27 p352</t>
        </is>
      </c>
    </row>
    <row r="168">
      <c r="A168" s="38" t="inlineStr">
        <is>
          <t>B2B: employee severance charges</t>
        </is>
      </c>
      <c r="B168" s="30" t="n">
        <v>9</v>
      </c>
      <c r="C168" s="30" t="n">
        <v>7</v>
      </c>
      <c r="D168" s="30" t="n">
        <v>13</v>
      </c>
      <c r="E168" s="3" t="n"/>
      <c r="F168" s="3" t="n"/>
      <c r="G168" s="3" t="n"/>
      <c r="H168" s="3" t="n"/>
      <c r="I168" s="3" t="n"/>
      <c r="J168" s="3" t="n"/>
      <c r="K168" s="4" t="inlineStr">
        <is>
          <t>Form10A_2026-05-27 p352</t>
        </is>
      </c>
    </row>
    <row r="169">
      <c r="A169" s="38" t="inlineStr">
        <is>
          <t>B2B: transaction costs</t>
        </is>
      </c>
      <c r="B169" s="3" t="n"/>
      <c r="C169" s="3" t="n"/>
      <c r="D169" s="30" t="n">
        <v>9</v>
      </c>
      <c r="E169" s="3" t="n"/>
      <c r="F169" s="3" t="n"/>
      <c r="G169" s="3" t="n"/>
      <c r="H169" s="3" t="n"/>
      <c r="I169" s="3" t="n"/>
      <c r="J169" s="3" t="n"/>
      <c r="K169" s="4" t="inlineStr">
        <is>
          <t>Form10A_2026-05-27 p352</t>
        </is>
      </c>
    </row>
    <row r="170">
      <c r="A170" s="38" t="inlineStr">
        <is>
          <t>B2B: ELT transition benefit</t>
        </is>
      </c>
      <c r="B170" s="3" t="n"/>
      <c r="C170" s="3" t="n"/>
      <c r="D170" s="30" t="n">
        <v>5</v>
      </c>
      <c r="E170" s="3" t="n"/>
      <c r="F170" s="3" t="n"/>
      <c r="G170" s="3" t="n"/>
      <c r="H170" s="3" t="n"/>
      <c r="I170" s="3" t="n"/>
      <c r="J170" s="3" t="n"/>
      <c r="K170" s="4" t="inlineStr">
        <is>
          <t>Form10A_2026-05-27 p352</t>
        </is>
      </c>
    </row>
    <row r="171">
      <c r="A171" s="38" t="inlineStr">
        <is>
          <t>B2B: legal settlement recovery</t>
        </is>
      </c>
      <c r="B171" s="3" t="n"/>
      <c r="C171" s="3" t="n"/>
      <c r="D171" s="30" t="n">
        <v>3</v>
      </c>
      <c r="E171" s="3" t="n"/>
      <c r="F171" s="3" t="n"/>
      <c r="G171" s="3" t="n"/>
      <c r="H171" s="3" t="n"/>
      <c r="I171" s="3" t="n"/>
      <c r="J171" s="3" t="n"/>
      <c r="K171" s="4" t="inlineStr">
        <is>
          <t>Form10A_2026-05-27 p352</t>
        </is>
      </c>
    </row>
    <row r="172">
      <c r="A172" s="38" t="inlineStr">
        <is>
          <t>B2B: acquisition integration costs</t>
        </is>
      </c>
      <c r="B172" s="30" t="n">
        <v>2</v>
      </c>
      <c r="C172" s="30" t="n">
        <v>4</v>
      </c>
      <c r="D172" s="3" t="n"/>
      <c r="E172" s="3" t="n"/>
      <c r="F172" s="3" t="n"/>
      <c r="G172" s="3" t="n"/>
      <c r="H172" s="3" t="n"/>
      <c r="I172" s="3" t="n"/>
      <c r="J172" s="3" t="n"/>
      <c r="K172" s="4" t="inlineStr">
        <is>
          <t>Form10A_2026-05-27 p352</t>
        </is>
      </c>
    </row>
    <row r="173">
      <c r="A173" s="38" t="inlineStr">
        <is>
          <t>B2B: acquisition and disposition-related costs</t>
        </is>
      </c>
      <c r="B173" s="30" t="n">
        <v>3</v>
      </c>
      <c r="C173" s="30" t="n">
        <v>2</v>
      </c>
      <c r="D173" s="3" t="n"/>
      <c r="E173" s="3" t="n"/>
      <c r="F173" s="3" t="n"/>
      <c r="G173" s="3" t="n"/>
      <c r="H173" s="3" t="n"/>
      <c r="I173" s="3" t="n"/>
      <c r="J173" s="3" t="n"/>
      <c r="K173" s="4" t="inlineStr">
        <is>
          <t>Form10A_2026-05-27 p352</t>
        </is>
      </c>
    </row>
    <row r="174">
      <c r="A174" s="38" t="inlineStr">
        <is>
          <t>Corporate: transaction costs</t>
        </is>
      </c>
      <c r="B174" s="3" t="n"/>
      <c r="C174" s="3" t="n"/>
      <c r="D174" s="30" t="n">
        <v>12</v>
      </c>
      <c r="E174" s="3" t="n"/>
      <c r="F174" s="3" t="n"/>
      <c r="G174" s="3" t="n"/>
      <c r="H174" s="3" t="n"/>
      <c r="I174" s="3" t="n"/>
      <c r="J174" s="3" t="n"/>
      <c r="K174" s="4" t="inlineStr">
        <is>
          <t>Form10A_2026-05-27 p352</t>
        </is>
      </c>
    </row>
    <row r="175">
      <c r="A175" s="38" t="inlineStr">
        <is>
          <t>Corporate: employee severance charges</t>
        </is>
      </c>
      <c r="B175" s="3" t="n"/>
      <c r="C175" s="30" t="n">
        <v>3</v>
      </c>
      <c r="D175" s="30" t="n">
        <v>5</v>
      </c>
      <c r="E175" s="3" t="n"/>
      <c r="F175" s="3" t="n"/>
      <c r="G175" s="3" t="n"/>
      <c r="H175" s="3" t="n"/>
      <c r="I175" s="3" t="n"/>
      <c r="J175" s="3" t="n"/>
      <c r="K175" s="4" t="inlineStr">
        <is>
          <t>Form10A_2026-05-27 p352</t>
        </is>
      </c>
    </row>
    <row r="176">
      <c r="A176" s="38" t="inlineStr">
        <is>
          <t>Corporate: ELT transition costs</t>
        </is>
      </c>
      <c r="B176" s="3" t="n"/>
      <c r="C176" s="30" t="n">
        <v>1</v>
      </c>
      <c r="D176" s="30" t="n">
        <v>5</v>
      </c>
      <c r="E176" s="3" t="n"/>
      <c r="F176" s="3" t="n"/>
      <c r="G176" s="3" t="n"/>
      <c r="H176" s="3" t="n"/>
      <c r="I176" s="3" t="n"/>
      <c r="J176" s="3" t="n"/>
      <c r="K176" s="4" t="inlineStr">
        <is>
          <t>Form10A_2026-05-27 p352</t>
        </is>
      </c>
    </row>
    <row r="177">
      <c r="A177" s="38" t="inlineStr">
        <is>
          <t>Corporate: statutorily required labor law accrual adjustment</t>
        </is>
      </c>
      <c r="B177" s="3" t="n"/>
      <c r="C177" s="3" t="n"/>
      <c r="D177" s="30" t="n">
        <v>1</v>
      </c>
      <c r="E177" s="3" t="n"/>
      <c r="F177" s="3" t="n"/>
      <c r="G177" s="3" t="n"/>
      <c r="H177" s="3" t="n"/>
      <c r="I177" s="3" t="n"/>
      <c r="J177" s="3" t="n"/>
      <c r="K177" s="4" t="inlineStr">
        <is>
          <t>Form10A_2026-05-27 p352</t>
        </is>
      </c>
    </row>
    <row r="178">
      <c r="A178" s="38" t="inlineStr">
        <is>
          <t>Corporate: acquisition integration costs</t>
        </is>
      </c>
      <c r="B178" s="30" t="n">
        <v>15</v>
      </c>
      <c r="C178" s="30" t="n">
        <v>5</v>
      </c>
      <c r="D178" s="3" t="n"/>
      <c r="E178" s="3" t="n"/>
      <c r="F178" s="3" t="n"/>
      <c r="G178" s="3" t="n"/>
      <c r="H178" s="3" t="n"/>
      <c r="I178" s="3" t="n"/>
      <c r="J178" s="3" t="n"/>
      <c r="K178" s="4" t="inlineStr">
        <is>
          <t>Form10A_2026-05-27 p352</t>
        </is>
      </c>
    </row>
    <row r="179">
      <c r="A179" s="38" t="inlineStr">
        <is>
          <t>Corporate: acquisition and disposition-related costs</t>
        </is>
      </c>
      <c r="B179" s="30" t="n">
        <v>1</v>
      </c>
      <c r="C179" s="30" t="n">
        <v>2</v>
      </c>
      <c r="D179" s="3" t="n"/>
      <c r="E179" s="3" t="n"/>
      <c r="F179" s="3" t="n"/>
      <c r="G179" s="3" t="n"/>
      <c r="H179" s="3" t="n"/>
      <c r="I179" s="3" t="n"/>
      <c r="J179" s="3" t="n"/>
      <c r="K179" s="4" t="inlineStr">
        <is>
          <t>Form10A_2026-05-27 p352</t>
        </is>
      </c>
    </row>
    <row r="180">
      <c r="A180" s="38" t="inlineStr">
        <is>
          <t>Corporate: asset write-off (offset)</t>
        </is>
      </c>
      <c r="B180" s="3" t="n"/>
      <c r="C180" s="30" t="n">
        <v>-1</v>
      </c>
      <c r="D180" s="3" t="n"/>
      <c r="E180" s="3" t="n"/>
      <c r="F180" s="3" t="n"/>
      <c r="G180" s="3" t="n"/>
      <c r="H180" s="3" t="n"/>
      <c r="I180" s="3" t="n"/>
      <c r="J180" s="3" t="n"/>
      <c r="K180" s="4" t="inlineStr">
        <is>
          <t>Form10A_2026-05-27 p352</t>
        </is>
      </c>
    </row>
    <row r="181">
      <c r="A181" s="14" t="inlineStr">
        <is>
          <t>Form10A_2026-05-27 · MD&amp;A Segment Results - CARFAX (three months ended March 31)</t>
        </is>
      </c>
      <c r="B181" s="15" t="n"/>
      <c r="C181" s="15" t="n"/>
      <c r="D181" s="15" t="n"/>
      <c r="E181" s="15" t="n"/>
      <c r="F181" s="15" t="n"/>
      <c r="G181" s="15" t="n"/>
      <c r="H181" s="15" t="n"/>
      <c r="I181" s="15" t="n"/>
      <c r="J181" s="15" t="n"/>
      <c r="K181" s="15" t="n"/>
    </row>
    <row r="182">
      <c r="A182" s="38" t="inlineStr">
        <is>
          <t>CARFAX: Revenue</t>
        </is>
      </c>
      <c r="B182" s="3" t="n"/>
      <c r="C182" s="3" t="n"/>
      <c r="D182" s="3" t="n"/>
      <c r="E182" s="30" t="n">
        <v>275</v>
      </c>
      <c r="F182" s="3" t="n"/>
      <c r="G182" s="3" t="n"/>
      <c r="H182" s="30" t="n">
        <v>298</v>
      </c>
      <c r="I182" s="3" t="n"/>
      <c r="J182" s="3" t="n"/>
      <c r="K182" s="4" t="inlineStr">
        <is>
          <t>Form10A_2026-05-27 p353</t>
        </is>
      </c>
    </row>
    <row r="183">
      <c r="A183" s="38" t="inlineStr">
        <is>
          <t>CARFAX: % of total revenue: Non - subscription revenue</t>
        </is>
      </c>
      <c r="B183" s="3" t="n"/>
      <c r="C183" s="3" t="n"/>
      <c r="D183" s="3" t="n"/>
      <c r="E183" s="41" t="n">
        <v>18</v>
      </c>
      <c r="F183" s="3" t="n"/>
      <c r="G183" s="3" t="n"/>
      <c r="H183" s="41" t="n">
        <v>19</v>
      </c>
      <c r="I183" s="3" t="n"/>
      <c r="J183" s="3" t="n"/>
      <c r="K183" s="4" t="inlineStr">
        <is>
          <t>Form10A_2026-05-27 p354</t>
        </is>
      </c>
    </row>
    <row r="184">
      <c r="A184" s="38" t="inlineStr">
        <is>
          <t>CARFAX: Subscription revenue</t>
        </is>
      </c>
      <c r="B184" s="3" t="n"/>
      <c r="C184" s="3" t="n"/>
      <c r="D184" s="3" t="n"/>
      <c r="E184" s="30" t="n">
        <v>225</v>
      </c>
      <c r="F184" s="3" t="n"/>
      <c r="G184" s="3" t="n"/>
      <c r="H184" s="30" t="n">
        <v>242</v>
      </c>
      <c r="I184" s="3" t="n"/>
      <c r="J184" s="3" t="n"/>
      <c r="K184" s="4" t="inlineStr">
        <is>
          <t>Form10A_2026-05-27 p353</t>
        </is>
      </c>
    </row>
    <row r="185">
      <c r="A185" s="38" t="inlineStr">
        <is>
          <t>CARFAX: U.S. revenue</t>
        </is>
      </c>
      <c r="B185" s="3" t="n"/>
      <c r="C185" s="3" t="n"/>
      <c r="D185" s="3" t="n"/>
      <c r="E185" s="30" t="n">
        <v>236</v>
      </c>
      <c r="F185" s="3" t="n"/>
      <c r="G185" s="3" t="n"/>
      <c r="H185" s="30" t="n">
        <v>253</v>
      </c>
      <c r="I185" s="3" t="n"/>
      <c r="J185" s="3" t="n"/>
      <c r="K185" s="4" t="inlineStr">
        <is>
          <t>Form10A_2026-05-27 p354</t>
        </is>
      </c>
    </row>
    <row r="186">
      <c r="A186" s="38" t="inlineStr">
        <is>
          <t>CARFAX: Non - subscription revenue</t>
        </is>
      </c>
      <c r="B186" s="3" t="n"/>
      <c r="C186" s="3" t="n"/>
      <c r="D186" s="3" t="n"/>
      <c r="E186" s="30" t="n">
        <v>50</v>
      </c>
      <c r="F186" s="3" t="n"/>
      <c r="G186" s="3" t="n"/>
      <c r="H186" s="30" t="n">
        <v>56</v>
      </c>
      <c r="I186" s="3" t="n"/>
      <c r="J186" s="3" t="n"/>
      <c r="K186" s="4" t="inlineStr">
        <is>
          <t>Form10A_2026-05-27 p353</t>
        </is>
      </c>
    </row>
    <row r="187">
      <c r="A187" s="38" t="inlineStr">
        <is>
          <t>CARFAX: International revenue</t>
        </is>
      </c>
      <c r="B187" s="3" t="n"/>
      <c r="C187" s="3" t="n"/>
      <c r="D187" s="3" t="n"/>
      <c r="E187" s="30" t="n">
        <v>39</v>
      </c>
      <c r="F187" s="3" t="n"/>
      <c r="G187" s="3" t="n"/>
      <c r="H187" s="30" t="n">
        <v>45</v>
      </c>
      <c r="I187" s="3" t="n"/>
      <c r="J187" s="3" t="n"/>
      <c r="K187" s="4" t="inlineStr">
        <is>
          <t>Form10A_2026-05-27 p354</t>
        </is>
      </c>
    </row>
    <row r="188">
      <c r="A188" s="38" t="inlineStr">
        <is>
          <t>CARFAX: % of total revenue: Subscription revenue</t>
        </is>
      </c>
      <c r="B188" s="3" t="n"/>
      <c r="C188" s="3" t="n"/>
      <c r="D188" s="3" t="n"/>
      <c r="E188" s="41" t="n">
        <v>82</v>
      </c>
      <c r="F188" s="3" t="n"/>
      <c r="G188" s="3" t="n"/>
      <c r="H188" s="41" t="n">
        <v>81</v>
      </c>
      <c r="I188" s="3" t="n"/>
      <c r="J188" s="3" t="n"/>
      <c r="K188" s="4" t="inlineStr">
        <is>
          <t>Form10A_2026-05-27 p353</t>
        </is>
      </c>
    </row>
    <row r="189">
      <c r="A189" s="38" t="inlineStr">
        <is>
          <t>CARFAX: % of total revenue: U.S. revenue</t>
        </is>
      </c>
      <c r="B189" s="3" t="n"/>
      <c r="C189" s="3" t="n"/>
      <c r="D189" s="3" t="n"/>
      <c r="E189" s="41" t="n">
        <v>86</v>
      </c>
      <c r="F189" s="3" t="n"/>
      <c r="G189" s="3" t="n"/>
      <c r="H189" s="41" t="n">
        <v>85</v>
      </c>
      <c r="I189" s="3" t="n"/>
      <c r="J189" s="3" t="n"/>
      <c r="K189" s="4" t="inlineStr">
        <is>
          <t>Form10A_2026-05-27 p354</t>
        </is>
      </c>
    </row>
    <row r="190">
      <c r="A190" s="38" t="inlineStr">
        <is>
          <t>CARFAX: % of total revenue: International revenue</t>
        </is>
      </c>
      <c r="B190" s="3" t="n"/>
      <c r="C190" s="3" t="n"/>
      <c r="D190" s="3" t="n"/>
      <c r="E190" s="41" t="n">
        <v>14</v>
      </c>
      <c r="F190" s="3" t="n"/>
      <c r="G190" s="3" t="n"/>
      <c r="H190" s="41" t="n">
        <v>15</v>
      </c>
      <c r="I190" s="3" t="n"/>
      <c r="J190" s="3" t="n"/>
      <c r="K190" s="4" t="inlineStr">
        <is>
          <t>Form10A_2026-05-27 p354</t>
        </is>
      </c>
    </row>
    <row r="191">
      <c r="A191" s="38" t="inlineStr">
        <is>
          <t>CARFAX: Operating profit (1)</t>
        </is>
      </c>
      <c r="B191" s="3" t="n"/>
      <c r="C191" s="3" t="n"/>
      <c r="D191" s="3" t="n"/>
      <c r="E191" s="30" t="n">
        <v>77</v>
      </c>
      <c r="F191" s="3" t="n"/>
      <c r="G191" s="3" t="n"/>
      <c r="H191" s="30" t="n">
        <v>89</v>
      </c>
      <c r="I191" s="3" t="n"/>
      <c r="J191" s="3" t="n"/>
      <c r="K191" s="4" t="inlineStr">
        <is>
          <t>Form10A_2026-05-27 p354</t>
        </is>
      </c>
    </row>
    <row r="192">
      <c r="A192" s="38" t="inlineStr">
        <is>
          <t>CARFAX: % Operating profit margin</t>
        </is>
      </c>
      <c r="B192" s="3" t="n"/>
      <c r="C192" s="3" t="n"/>
      <c r="D192" s="3" t="n"/>
      <c r="E192" s="41" t="n">
        <v>28</v>
      </c>
      <c r="F192" s="3" t="n"/>
      <c r="G192" s="3" t="n"/>
      <c r="H192" s="41" t="n">
        <v>30</v>
      </c>
      <c r="I192" s="3" t="n"/>
      <c r="J192" s="3" t="n"/>
      <c r="K192" s="4" t="inlineStr">
        <is>
          <t>Form10A_2026-05-27 p354</t>
        </is>
      </c>
    </row>
    <row r="193">
      <c r="A193" s="14" t="inlineStr">
        <is>
          <t>Form10A_2026-05-27 · MD&amp;A Segment Results - CARFAX % change (Q1)</t>
        </is>
      </c>
      <c r="B193" s="15" t="n"/>
      <c r="C193" s="15" t="n"/>
      <c r="D193" s="15" t="n"/>
      <c r="E193" s="15" t="n"/>
      <c r="F193" s="15" t="n"/>
      <c r="G193" s="15" t="n"/>
      <c r="H193" s="15" t="n"/>
      <c r="I193" s="15" t="n"/>
      <c r="J193" s="15" t="n"/>
      <c r="K193" s="15" t="n"/>
    </row>
    <row r="194">
      <c r="A194" s="38" t="inlineStr">
        <is>
          <t>CARFAX: Revenue % Change</t>
        </is>
      </c>
      <c r="B194" s="3" t="n"/>
      <c r="C194" s="3" t="n"/>
      <c r="D194" s="3" t="n"/>
      <c r="E194" s="3" t="n"/>
      <c r="F194" s="3" t="n"/>
      <c r="G194" s="3" t="n"/>
      <c r="H194" s="41" t="n">
        <v>8</v>
      </c>
      <c r="I194" s="3" t="n"/>
      <c r="J194" s="3" t="n"/>
      <c r="K194" s="4" t="inlineStr">
        <is>
          <t>Form10A_2026-05-27 p353</t>
        </is>
      </c>
    </row>
    <row r="195">
      <c r="A195" s="38" t="inlineStr">
        <is>
          <t>CARFAX: U.S. revenue % Change</t>
        </is>
      </c>
      <c r="B195" s="3" t="n"/>
      <c r="C195" s="3" t="n"/>
      <c r="D195" s="3" t="n"/>
      <c r="E195" s="3" t="n"/>
      <c r="F195" s="3" t="n"/>
      <c r="G195" s="3" t="n"/>
      <c r="H195" s="41" t="n">
        <v>7</v>
      </c>
      <c r="I195" s="3" t="n"/>
      <c r="J195" s="3" t="n"/>
      <c r="K195" s="4" t="inlineStr">
        <is>
          <t>Form10A_2026-05-27 p354</t>
        </is>
      </c>
    </row>
    <row r="196">
      <c r="A196" s="38" t="inlineStr">
        <is>
          <t>CARFAX: Subscription revenue % Change</t>
        </is>
      </c>
      <c r="B196" s="3" t="n"/>
      <c r="C196" s="3" t="n"/>
      <c r="D196" s="3" t="n"/>
      <c r="E196" s="3" t="n"/>
      <c r="F196" s="3" t="n"/>
      <c r="G196" s="3" t="n"/>
      <c r="H196" s="41" t="n">
        <v>8</v>
      </c>
      <c r="I196" s="3" t="n"/>
      <c r="J196" s="3" t="n"/>
      <c r="K196" s="4" t="inlineStr">
        <is>
          <t>Form10A_2026-05-27 p353</t>
        </is>
      </c>
    </row>
    <row r="197">
      <c r="A197" s="38" t="inlineStr">
        <is>
          <t>CARFAX: International revenue % Change</t>
        </is>
      </c>
      <c r="B197" s="3" t="n"/>
      <c r="C197" s="3" t="n"/>
      <c r="D197" s="3" t="n"/>
      <c r="E197" s="3" t="n"/>
      <c r="F197" s="3" t="n"/>
      <c r="G197" s="3" t="n"/>
      <c r="H197" s="41" t="n">
        <v>16</v>
      </c>
      <c r="I197" s="3" t="n"/>
      <c r="J197" s="3" t="n"/>
      <c r="K197" s="4" t="inlineStr">
        <is>
          <t>Form10A_2026-05-27 p354</t>
        </is>
      </c>
    </row>
    <row r="198">
      <c r="A198" s="38" t="inlineStr">
        <is>
          <t>CARFAX: Non - subscription revenue % Change</t>
        </is>
      </c>
      <c r="B198" s="3" t="n"/>
      <c r="C198" s="3" t="n"/>
      <c r="D198" s="3" t="n"/>
      <c r="E198" s="3" t="n"/>
      <c r="F198" s="3" t="n"/>
      <c r="G198" s="3" t="n"/>
      <c r="H198" s="41" t="n">
        <v>10</v>
      </c>
      <c r="I198" s="3" t="n"/>
      <c r="J198" s="3" t="n"/>
      <c r="K198" s="4" t="inlineStr">
        <is>
          <t>Form10A_2026-05-27 p353</t>
        </is>
      </c>
    </row>
    <row r="199">
      <c r="A199" s="38" t="inlineStr">
        <is>
          <t>CARFAX: Operating profit % Change</t>
        </is>
      </c>
      <c r="B199" s="3" t="n"/>
      <c r="C199" s="3" t="n"/>
      <c r="D199" s="3" t="n"/>
      <c r="E199" s="3" t="n"/>
      <c r="F199" s="3" t="n"/>
      <c r="G199" s="3" t="n"/>
      <c r="H199" s="41" t="n">
        <v>15</v>
      </c>
      <c r="I199" s="3" t="n"/>
      <c r="J199" s="3" t="n"/>
      <c r="K199" s="4" t="inlineStr">
        <is>
          <t>Form10A_2026-05-27 p354</t>
        </is>
      </c>
    </row>
    <row r="200">
      <c r="A200" s="14" t="inlineStr">
        <is>
          <t>Form10A_2026-05-27 · MD&amp;A Segment Results - B2B (three months ended March 31)</t>
        </is>
      </c>
      <c r="B200" s="15" t="n"/>
      <c r="C200" s="15" t="n"/>
      <c r="D200" s="15" t="n"/>
      <c r="E200" s="15" t="n"/>
      <c r="F200" s="15" t="n"/>
      <c r="G200" s="15" t="n"/>
      <c r="H200" s="15" t="n"/>
      <c r="I200" s="15" t="n"/>
      <c r="J200" s="15" t="n"/>
      <c r="K200" s="15" t="n"/>
    </row>
    <row r="201">
      <c r="A201" s="38" t="inlineStr">
        <is>
          <t>B2B: Revenue</t>
        </is>
      </c>
      <c r="B201" s="3" t="n"/>
      <c r="C201" s="3" t="n"/>
      <c r="D201" s="3" t="n"/>
      <c r="E201" s="30" t="n">
        <v>145</v>
      </c>
      <c r="F201" s="3" t="n"/>
      <c r="G201" s="3" t="n"/>
      <c r="H201" s="30" t="n">
        <v>157</v>
      </c>
      <c r="I201" s="3" t="n"/>
      <c r="J201" s="3" t="n"/>
      <c r="K201" s="4" t="inlineStr">
        <is>
          <t>Form10A_2026-05-27 p354</t>
        </is>
      </c>
    </row>
    <row r="202">
      <c r="A202" s="38" t="inlineStr">
        <is>
          <t>B2B: Subscription revenue</t>
        </is>
      </c>
      <c r="B202" s="3" t="n"/>
      <c r="C202" s="3" t="n"/>
      <c r="D202" s="3" t="n"/>
      <c r="E202" s="30" t="n">
        <v>118</v>
      </c>
      <c r="F202" s="3" t="n"/>
      <c r="G202" s="3" t="n"/>
      <c r="H202" s="30" t="n">
        <v>130</v>
      </c>
      <c r="I202" s="3" t="n"/>
      <c r="J202" s="3" t="n"/>
      <c r="K202" s="4" t="inlineStr">
        <is>
          <t>Form10A_2026-05-27 p354</t>
        </is>
      </c>
    </row>
    <row r="203">
      <c r="A203" s="38" t="inlineStr">
        <is>
          <t>B2B: Non - subscription revenue</t>
        </is>
      </c>
      <c r="B203" s="3" t="n"/>
      <c r="C203" s="3" t="n"/>
      <c r="D203" s="3" t="n"/>
      <c r="E203" s="30" t="n">
        <v>27</v>
      </c>
      <c r="F203" s="3" t="n"/>
      <c r="G203" s="3" t="n"/>
      <c r="H203" s="30" t="n">
        <v>27</v>
      </c>
      <c r="I203" s="3" t="n"/>
      <c r="J203" s="3" t="n"/>
      <c r="K203" s="4" t="inlineStr">
        <is>
          <t>Form10A_2026-05-27 p354</t>
        </is>
      </c>
    </row>
    <row r="204">
      <c r="A204" s="38" t="inlineStr">
        <is>
          <t>B2B: % of total revenue: Subscription revenue</t>
        </is>
      </c>
      <c r="B204" s="3" t="n"/>
      <c r="C204" s="3" t="n"/>
      <c r="D204" s="3" t="n"/>
      <c r="E204" s="41" t="n">
        <v>82</v>
      </c>
      <c r="F204" s="3" t="n"/>
      <c r="G204" s="3" t="n"/>
      <c r="H204" s="41" t="n">
        <v>83</v>
      </c>
      <c r="I204" s="3" t="n"/>
      <c r="J204" s="3" t="n"/>
      <c r="K204" s="4" t="inlineStr">
        <is>
          <t>Form10A_2026-05-27 p354</t>
        </is>
      </c>
    </row>
    <row r="205">
      <c r="A205" s="38" t="inlineStr">
        <is>
          <t>B2B: % of total revenue: Non - subscription revenue</t>
        </is>
      </c>
      <c r="B205" s="3" t="n"/>
      <c r="C205" s="3" t="n"/>
      <c r="D205" s="3" t="n"/>
      <c r="E205" s="41" t="n">
        <v>18</v>
      </c>
      <c r="F205" s="3" t="n"/>
      <c r="G205" s="3" t="n"/>
      <c r="H205" s="41" t="n">
        <v>17</v>
      </c>
      <c r="I205" s="3" t="n"/>
      <c r="J205" s="3" t="n"/>
      <c r="K205" s="4" t="inlineStr">
        <is>
          <t>Form10A_2026-05-27 p354</t>
        </is>
      </c>
    </row>
    <row r="206">
      <c r="A206" s="38" t="inlineStr">
        <is>
          <t>B2B: U.S. revenue</t>
        </is>
      </c>
      <c r="B206" s="3" t="n"/>
      <c r="C206" s="3" t="n"/>
      <c r="D206" s="3" t="n"/>
      <c r="E206" s="30" t="n">
        <v>114</v>
      </c>
      <c r="F206" s="3" t="n"/>
      <c r="G206" s="3" t="n"/>
      <c r="H206" s="30" t="n">
        <v>123</v>
      </c>
      <c r="I206" s="3" t="n"/>
      <c r="J206" s="3" t="n"/>
      <c r="K206" s="4" t="inlineStr">
        <is>
          <t>Form10A_2026-05-27 p354</t>
        </is>
      </c>
    </row>
    <row r="207">
      <c r="A207" s="38" t="inlineStr">
        <is>
          <t>B2B: International revenue</t>
        </is>
      </c>
      <c r="B207" s="3" t="n"/>
      <c r="C207" s="3" t="n"/>
      <c r="D207" s="3" t="n"/>
      <c r="E207" s="30" t="n">
        <v>31</v>
      </c>
      <c r="F207" s="3" t="n"/>
      <c r="G207" s="3" t="n"/>
      <c r="H207" s="30" t="n">
        <v>34</v>
      </c>
      <c r="I207" s="3" t="n"/>
      <c r="J207" s="3" t="n"/>
      <c r="K207" s="4" t="inlineStr">
        <is>
          <t>Form10A_2026-05-27 p354</t>
        </is>
      </c>
    </row>
    <row r="208">
      <c r="A208" s="38" t="inlineStr">
        <is>
          <t>B2B: % of total revenue: U.S. revenue</t>
        </is>
      </c>
      <c r="B208" s="3" t="n"/>
      <c r="C208" s="3" t="n"/>
      <c r="D208" s="3" t="n"/>
      <c r="E208" s="41" t="n">
        <v>78</v>
      </c>
      <c r="F208" s="3" t="n"/>
      <c r="G208" s="3" t="n"/>
      <c r="H208" s="41" t="n">
        <v>79</v>
      </c>
      <c r="I208" s="3" t="n"/>
      <c r="J208" s="3" t="n"/>
      <c r="K208" s="4" t="inlineStr">
        <is>
          <t>Form10A_2026-05-27 p354</t>
        </is>
      </c>
    </row>
    <row r="209">
      <c r="A209" s="38" t="inlineStr">
        <is>
          <t>B2B: % of total revenue: International revenue</t>
        </is>
      </c>
      <c r="B209" s="3" t="n"/>
      <c r="C209" s="3" t="n"/>
      <c r="D209" s="3" t="n"/>
      <c r="E209" s="41" t="n">
        <v>22</v>
      </c>
      <c r="F209" s="3" t="n"/>
      <c r="G209" s="3" t="n"/>
      <c r="H209" s="41" t="n">
        <v>21</v>
      </c>
      <c r="I209" s="3" t="n"/>
      <c r="J209" s="3" t="n"/>
      <c r="K209" s="4" t="inlineStr">
        <is>
          <t>Form10A_2026-05-27 p354</t>
        </is>
      </c>
    </row>
    <row r="210">
      <c r="A210" s="38" t="inlineStr">
        <is>
          <t>B2B: Operating profit (1)</t>
        </is>
      </c>
      <c r="B210" s="3" t="n"/>
      <c r="C210" s="3" t="n"/>
      <c r="D210" s="3" t="n"/>
      <c r="E210" s="30" t="n">
        <v>14</v>
      </c>
      <c r="F210" s="3" t="n"/>
      <c r="G210" s="3" t="n"/>
      <c r="H210" s="30" t="n">
        <v>5</v>
      </c>
      <c r="I210" s="3" t="n"/>
      <c r="J210" s="3" t="n"/>
      <c r="K210" s="4" t="inlineStr">
        <is>
          <t>Form10A_2026-05-27 p354</t>
        </is>
      </c>
    </row>
    <row r="211">
      <c r="A211" s="38" t="inlineStr">
        <is>
          <t>B2B: % Operating profit margin</t>
        </is>
      </c>
      <c r="B211" s="3" t="n"/>
      <c r="C211" s="3" t="n"/>
      <c r="D211" s="3" t="n"/>
      <c r="E211" s="41" t="n">
        <v>10</v>
      </c>
      <c r="F211" s="3" t="n"/>
      <c r="G211" s="3" t="n"/>
      <c r="H211" s="41" t="n">
        <v>3</v>
      </c>
      <c r="I211" s="3" t="n"/>
      <c r="J211" s="3" t="n"/>
      <c r="K211" s="4" t="inlineStr">
        <is>
          <t>Form10A_2026-05-27 p354</t>
        </is>
      </c>
    </row>
    <row r="212">
      <c r="A212" s="14" t="inlineStr">
        <is>
          <t>Form10A_2026-05-27 · MD&amp;A Segment Results - B2B % change (Q1)</t>
        </is>
      </c>
      <c r="B212" s="15" t="n"/>
      <c r="C212" s="15" t="n"/>
      <c r="D212" s="15" t="n"/>
      <c r="E212" s="15" t="n"/>
      <c r="F212" s="15" t="n"/>
      <c r="G212" s="15" t="n"/>
      <c r="H212" s="15" t="n"/>
      <c r="I212" s="15" t="n"/>
      <c r="J212" s="15" t="n"/>
      <c r="K212" s="15" t="n"/>
    </row>
    <row r="213">
      <c r="A213" s="38" t="inlineStr">
        <is>
          <t>B2B: Revenue % Change</t>
        </is>
      </c>
      <c r="B213" s="3" t="n"/>
      <c r="C213" s="3" t="n"/>
      <c r="D213" s="3" t="n"/>
      <c r="E213" s="3" t="n"/>
      <c r="F213" s="3" t="n"/>
      <c r="G213" s="3" t="n"/>
      <c r="H213" s="41" t="n">
        <v>8</v>
      </c>
      <c r="I213" s="3" t="n"/>
      <c r="J213" s="3" t="n"/>
      <c r="K213" s="4" t="inlineStr">
        <is>
          <t>Form10A_2026-05-27 p354</t>
        </is>
      </c>
    </row>
    <row r="214">
      <c r="A214" s="38" t="inlineStr">
        <is>
          <t>B2B: Subscription revenue % Change</t>
        </is>
      </c>
      <c r="B214" s="3" t="n"/>
      <c r="C214" s="3" t="n"/>
      <c r="D214" s="3" t="n"/>
      <c r="E214" s="3" t="n"/>
      <c r="F214" s="3" t="n"/>
      <c r="G214" s="3" t="n"/>
      <c r="H214" s="41" t="n">
        <v>9</v>
      </c>
      <c r="I214" s="3" t="n"/>
      <c r="J214" s="3" t="n"/>
      <c r="K214" s="4" t="inlineStr">
        <is>
          <t>Form10A_2026-05-27 p354</t>
        </is>
      </c>
    </row>
    <row r="215">
      <c r="A215" s="38" t="inlineStr">
        <is>
          <t>B2B: Non - subscription revenue % Change</t>
        </is>
      </c>
      <c r="B215" s="3" t="n"/>
      <c r="C215" s="3" t="n"/>
      <c r="D215" s="3" t="n"/>
      <c r="E215" s="3" t="n"/>
      <c r="F215" s="3" t="n"/>
      <c r="G215" s="3" t="n"/>
      <c r="H215" s="41" t="n">
        <v>-1</v>
      </c>
      <c r="I215" s="3" t="n"/>
      <c r="J215" s="3" t="n"/>
      <c r="K215" s="4" t="inlineStr">
        <is>
          <t>Form10A_2026-05-27 p354</t>
        </is>
      </c>
    </row>
    <row r="216">
      <c r="A216" s="38" t="inlineStr">
        <is>
          <t>B2B: U.S. revenue % Change</t>
        </is>
      </c>
      <c r="B216" s="3" t="n"/>
      <c r="C216" s="3" t="n"/>
      <c r="D216" s="3" t="n"/>
      <c r="E216" s="3" t="n"/>
      <c r="F216" s="3" t="n"/>
      <c r="G216" s="3" t="n"/>
      <c r="H216" s="41" t="n">
        <v>8</v>
      </c>
      <c r="I216" s="3" t="n"/>
      <c r="J216" s="3" t="n"/>
      <c r="K216" s="4" t="inlineStr">
        <is>
          <t>Form10A_2026-05-27 p354</t>
        </is>
      </c>
    </row>
    <row r="217">
      <c r="A217" s="38" t="inlineStr">
        <is>
          <t>B2B: International revenue % Change</t>
        </is>
      </c>
      <c r="B217" s="3" t="n"/>
      <c r="C217" s="3" t="n"/>
      <c r="D217" s="3" t="n"/>
      <c r="E217" s="3" t="n"/>
      <c r="F217" s="3" t="n"/>
      <c r="G217" s="3" t="n"/>
      <c r="H217" s="41" t="n">
        <v>7</v>
      </c>
      <c r="I217" s="3" t="n"/>
      <c r="J217" s="3" t="n"/>
      <c r="K217" s="4" t="inlineStr">
        <is>
          <t>Form10A_2026-05-27 p354</t>
        </is>
      </c>
    </row>
    <row r="218">
      <c r="A218" s="38" t="inlineStr">
        <is>
          <t>B2B: Operating profit % Change</t>
        </is>
      </c>
      <c r="B218" s="3" t="n"/>
      <c r="C218" s="3" t="n"/>
      <c r="D218" s="3" t="n"/>
      <c r="E218" s="3" t="n"/>
      <c r="F218" s="3" t="n"/>
      <c r="G218" s="3" t="n"/>
      <c r="H218" s="41" t="n">
        <v>-62</v>
      </c>
      <c r="I218" s="3" t="n"/>
      <c r="J218" s="3" t="n"/>
      <c r="K218" s="4" t="inlineStr">
        <is>
          <t>Form10A_2026-05-27 p354</t>
        </is>
      </c>
    </row>
    <row r="219">
      <c r="A219" s="14" t="inlineStr">
        <is>
          <t>Form10A_2026-05-27 · MD&amp;A Segment Results - CARFAX (years ended December 31)</t>
        </is>
      </c>
      <c r="B219" s="15" t="n"/>
      <c r="C219" s="15" t="n"/>
      <c r="D219" s="15" t="n"/>
      <c r="E219" s="15" t="n"/>
      <c r="F219" s="15" t="n"/>
      <c r="G219" s="15" t="n"/>
      <c r="H219" s="15" t="n"/>
      <c r="I219" s="15" t="n"/>
      <c r="J219" s="15" t="n"/>
      <c r="K219" s="15" t="n"/>
    </row>
    <row r="220">
      <c r="A220" s="38" t="inlineStr">
        <is>
          <t>CARFAX: Revenue</t>
        </is>
      </c>
      <c r="B220" s="30" t="n">
        <v>928</v>
      </c>
      <c r="C220" s="30" t="n">
        <v>1039</v>
      </c>
      <c r="D220" s="30" t="n">
        <v>1142</v>
      </c>
      <c r="E220" s="3" t="n"/>
      <c r="F220" s="3" t="n"/>
      <c r="G220" s="3" t="n"/>
      <c r="H220" s="3" t="n"/>
      <c r="I220" s="3" t="n"/>
      <c r="J220" s="3" t="n"/>
      <c r="K220" s="4" t="inlineStr">
        <is>
          <t>Form10A_2026-05-27 p355</t>
        </is>
      </c>
    </row>
    <row r="221">
      <c r="A221" s="38" t="inlineStr">
        <is>
          <t>CARFAX: Subscription revenue</t>
        </is>
      </c>
      <c r="B221" s="30" t="n">
        <v>748</v>
      </c>
      <c r="C221" s="30" t="n">
        <v>843</v>
      </c>
      <c r="D221" s="30" t="n">
        <v>927</v>
      </c>
      <c r="E221" s="3" t="n"/>
      <c r="F221" s="3" t="n"/>
      <c r="G221" s="3" t="n"/>
      <c r="H221" s="3" t="n"/>
      <c r="I221" s="3" t="n"/>
      <c r="J221" s="3" t="n"/>
      <c r="K221" s="4" t="inlineStr">
        <is>
          <t>Form10A_2026-05-27 p355</t>
        </is>
      </c>
    </row>
    <row r="222">
      <c r="A222" s="38" t="inlineStr">
        <is>
          <t>CARFAX: Non - subscription revenue</t>
        </is>
      </c>
      <c r="B222" s="30" t="n">
        <v>180</v>
      </c>
      <c r="C222" s="30" t="n">
        <v>196</v>
      </c>
      <c r="D222" s="30" t="n">
        <v>215</v>
      </c>
      <c r="E222" s="3" t="n"/>
      <c r="F222" s="3" t="n"/>
      <c r="G222" s="3" t="n"/>
      <c r="H222" s="3" t="n"/>
      <c r="I222" s="3" t="n"/>
      <c r="J222" s="3" t="n"/>
      <c r="K222" s="4" t="inlineStr">
        <is>
          <t>Form10A_2026-05-27 p355</t>
        </is>
      </c>
    </row>
    <row r="223">
      <c r="A223" s="38" t="inlineStr">
        <is>
          <t>CARFAX: % of total revenue: Subscription revenue</t>
        </is>
      </c>
      <c r="B223" s="41" t="n">
        <v>81</v>
      </c>
      <c r="C223" s="41" t="n">
        <v>81</v>
      </c>
      <c r="D223" s="41" t="n">
        <v>81</v>
      </c>
      <c r="E223" s="3" t="n"/>
      <c r="F223" s="3" t="n"/>
      <c r="G223" s="3" t="n"/>
      <c r="H223" s="3" t="n"/>
      <c r="I223" s="3" t="n"/>
      <c r="J223" s="3" t="n"/>
      <c r="K223" s="4" t="inlineStr">
        <is>
          <t>Form10A_2026-05-27 p355</t>
        </is>
      </c>
    </row>
    <row r="224">
      <c r="A224" s="38" t="inlineStr">
        <is>
          <t>CARFAX: % of total revenue: Non - subscription revenue</t>
        </is>
      </c>
      <c r="B224" s="41" t="n">
        <v>19</v>
      </c>
      <c r="C224" s="41" t="n">
        <v>19</v>
      </c>
      <c r="D224" s="41" t="n">
        <v>19</v>
      </c>
      <c r="E224" s="3" t="n"/>
      <c r="F224" s="3" t="n"/>
      <c r="G224" s="3" t="n"/>
      <c r="H224" s="3" t="n"/>
      <c r="I224" s="3" t="n"/>
      <c r="J224" s="3" t="n"/>
      <c r="K224" s="4" t="inlineStr">
        <is>
          <t>Form10A_2026-05-27 p355</t>
        </is>
      </c>
    </row>
    <row r="225">
      <c r="A225" s="38" t="inlineStr">
        <is>
          <t>CARFAX: U.S. revenue</t>
        </is>
      </c>
      <c r="B225" s="30" t="n">
        <v>791</v>
      </c>
      <c r="C225" s="30" t="n">
        <v>884</v>
      </c>
      <c r="D225" s="30" t="n">
        <v>974</v>
      </c>
      <c r="E225" s="3" t="n"/>
      <c r="F225" s="3" t="n"/>
      <c r="G225" s="3" t="n"/>
      <c r="H225" s="3" t="n"/>
      <c r="I225" s="3" t="n"/>
      <c r="J225" s="3" t="n"/>
      <c r="K225" s="4" t="inlineStr">
        <is>
          <t>Form10A_2026-05-27 p355</t>
        </is>
      </c>
    </row>
    <row r="226">
      <c r="A226" s="38" t="inlineStr">
        <is>
          <t>CARFAX: International revenue</t>
        </is>
      </c>
      <c r="B226" s="30" t="n">
        <v>137</v>
      </c>
      <c r="C226" s="30" t="n">
        <v>155</v>
      </c>
      <c r="D226" s="30" t="n">
        <v>168</v>
      </c>
      <c r="E226" s="3" t="n"/>
      <c r="F226" s="3" t="n"/>
      <c r="G226" s="3" t="n"/>
      <c r="H226" s="3" t="n"/>
      <c r="I226" s="3" t="n"/>
      <c r="J226" s="3" t="n"/>
      <c r="K226" s="4" t="inlineStr">
        <is>
          <t>Form10A_2026-05-27 p355</t>
        </is>
      </c>
    </row>
    <row r="227">
      <c r="A227" s="38" t="inlineStr">
        <is>
          <t>CARFAX: % of total revenue: U.S. revenue</t>
        </is>
      </c>
      <c r="B227" s="41" t="n">
        <v>85</v>
      </c>
      <c r="C227" s="41" t="n">
        <v>85</v>
      </c>
      <c r="D227" s="41" t="n">
        <v>85</v>
      </c>
      <c r="E227" s="3" t="n"/>
      <c r="F227" s="3" t="n"/>
      <c r="G227" s="3" t="n"/>
      <c r="H227" s="3" t="n"/>
      <c r="I227" s="3" t="n"/>
      <c r="J227" s="3" t="n"/>
      <c r="K227" s="4" t="inlineStr">
        <is>
          <t>Form10A_2026-05-27 p355</t>
        </is>
      </c>
    </row>
    <row r="228">
      <c r="A228" s="38" t="inlineStr">
        <is>
          <t>CARFAX: % of total revenue: International revenue</t>
        </is>
      </c>
      <c r="B228" s="41" t="n">
        <v>15</v>
      </c>
      <c r="C228" s="41" t="n">
        <v>15</v>
      </c>
      <c r="D228" s="41" t="n">
        <v>15</v>
      </c>
      <c r="E228" s="3" t="n"/>
      <c r="F228" s="3" t="n"/>
      <c r="G228" s="3" t="n"/>
      <c r="H228" s="3" t="n"/>
      <c r="I228" s="3" t="n"/>
      <c r="J228" s="3" t="n"/>
      <c r="K228" s="4" t="inlineStr">
        <is>
          <t>Form10A_2026-05-27 p355</t>
        </is>
      </c>
    </row>
    <row r="229">
      <c r="A229" s="38" t="inlineStr">
        <is>
          <t>CARFAX: Operating profit (1)</t>
        </is>
      </c>
      <c r="B229" s="30" t="n">
        <v>210</v>
      </c>
      <c r="C229" s="30" t="n">
        <v>259</v>
      </c>
      <c r="D229" s="30" t="n">
        <v>322</v>
      </c>
      <c r="E229" s="3" t="n"/>
      <c r="F229" s="3" t="n"/>
      <c r="G229" s="3" t="n"/>
      <c r="H229" s="3" t="n"/>
      <c r="I229" s="3" t="n"/>
      <c r="J229" s="3" t="n"/>
      <c r="K229" s="4" t="inlineStr">
        <is>
          <t>Form10A_2026-05-27 p355</t>
        </is>
      </c>
    </row>
    <row r="230">
      <c r="A230" s="38" t="inlineStr">
        <is>
          <t>CARFAX: % Operating profit margin</t>
        </is>
      </c>
      <c r="B230" s="41" t="n">
        <v>23</v>
      </c>
      <c r="C230" s="41" t="n">
        <v>25</v>
      </c>
      <c r="D230" s="41" t="n">
        <v>28</v>
      </c>
      <c r="E230" s="3" t="n"/>
      <c r="F230" s="3" t="n"/>
      <c r="G230" s="3" t="n"/>
      <c r="H230" s="3" t="n"/>
      <c r="I230" s="3" t="n"/>
      <c r="J230" s="3" t="n"/>
      <c r="K230" s="4" t="inlineStr">
        <is>
          <t>Form10A_2026-05-27 p355</t>
        </is>
      </c>
    </row>
    <row r="231">
      <c r="A231" s="14" t="inlineStr">
        <is>
          <t>Form10A_2026-05-27 · MD&amp;A Segment Results - CARFAX % change (FY)</t>
        </is>
      </c>
      <c r="B231" s="15" t="n"/>
      <c r="C231" s="15" t="n"/>
      <c r="D231" s="15" t="n"/>
      <c r="E231" s="15" t="n"/>
      <c r="F231" s="15" t="n"/>
      <c r="G231" s="15" t="n"/>
      <c r="H231" s="15" t="n"/>
      <c r="I231" s="15" t="n"/>
      <c r="J231" s="15" t="n"/>
      <c r="K231" s="15" t="n"/>
    </row>
    <row r="232">
      <c r="A232" s="38" t="inlineStr">
        <is>
          <t>CARFAX: Revenue % Change</t>
        </is>
      </c>
      <c r="B232" s="3" t="n"/>
      <c r="C232" s="41" t="n">
        <v>12</v>
      </c>
      <c r="D232" s="41" t="n">
        <v>10</v>
      </c>
      <c r="E232" s="3" t="n"/>
      <c r="F232" s="3" t="n"/>
      <c r="G232" s="3" t="n"/>
      <c r="H232" s="3" t="n"/>
      <c r="I232" s="3" t="n"/>
      <c r="J232" s="3" t="n"/>
      <c r="K232" s="4" t="inlineStr">
        <is>
          <t>Form10A_2026-05-27 p355</t>
        </is>
      </c>
    </row>
    <row r="233">
      <c r="A233" s="38" t="inlineStr">
        <is>
          <t>CARFAX: Subscription revenue % Change</t>
        </is>
      </c>
      <c r="B233" s="3" t="n"/>
      <c r="C233" s="41" t="n">
        <v>13</v>
      </c>
      <c r="D233" s="41" t="n">
        <v>10</v>
      </c>
      <c r="E233" s="3" t="n"/>
      <c r="F233" s="3" t="n"/>
      <c r="G233" s="3" t="n"/>
      <c r="H233" s="3" t="n"/>
      <c r="I233" s="3" t="n"/>
      <c r="J233" s="3" t="n"/>
      <c r="K233" s="4" t="inlineStr">
        <is>
          <t>Form10A_2026-05-27 p355</t>
        </is>
      </c>
    </row>
    <row r="234">
      <c r="A234" s="38" t="inlineStr">
        <is>
          <t>CARFAX: Non - subscription revenue % Change</t>
        </is>
      </c>
      <c r="B234" s="3" t="n"/>
      <c r="C234" s="41" t="n">
        <v>9</v>
      </c>
      <c r="D234" s="41" t="n">
        <v>10</v>
      </c>
      <c r="E234" s="3" t="n"/>
      <c r="F234" s="3" t="n"/>
      <c r="G234" s="3" t="n"/>
      <c r="H234" s="3" t="n"/>
      <c r="I234" s="3" t="n"/>
      <c r="J234" s="3" t="n"/>
      <c r="K234" s="4" t="inlineStr">
        <is>
          <t>Form10A_2026-05-27 p355</t>
        </is>
      </c>
    </row>
    <row r="235">
      <c r="A235" s="38" t="inlineStr">
        <is>
          <t>CARFAX: U.S. revenue % Change</t>
        </is>
      </c>
      <c r="B235" s="3" t="n"/>
      <c r="C235" s="41" t="n">
        <v>12</v>
      </c>
      <c r="D235" s="41" t="n">
        <v>10</v>
      </c>
      <c r="E235" s="3" t="n"/>
      <c r="F235" s="3" t="n"/>
      <c r="G235" s="3" t="n"/>
      <c r="H235" s="3" t="n"/>
      <c r="I235" s="3" t="n"/>
      <c r="J235" s="3" t="n"/>
      <c r="K235" s="4" t="inlineStr">
        <is>
          <t>Form10A_2026-05-27 p355</t>
        </is>
      </c>
    </row>
    <row r="236">
      <c r="A236" s="38" t="inlineStr">
        <is>
          <t>CARFAX: International revenue % Change</t>
        </is>
      </c>
      <c r="B236" s="3" t="n"/>
      <c r="C236" s="41" t="n">
        <v>13</v>
      </c>
      <c r="D236" s="41" t="n">
        <v>9</v>
      </c>
      <c r="E236" s="3" t="n"/>
      <c r="F236" s="3" t="n"/>
      <c r="G236" s="3" t="n"/>
      <c r="H236" s="3" t="n"/>
      <c r="I236" s="3" t="n"/>
      <c r="J236" s="3" t="n"/>
      <c r="K236" s="4" t="inlineStr">
        <is>
          <t>Form10A_2026-05-27 p355</t>
        </is>
      </c>
    </row>
    <row r="237">
      <c r="A237" s="38" t="inlineStr">
        <is>
          <t>CARFAX: Operating profit % Change</t>
        </is>
      </c>
      <c r="B237" s="3" t="n"/>
      <c r="C237" s="41" t="n">
        <v>23</v>
      </c>
      <c r="D237" s="41" t="n">
        <v>25</v>
      </c>
      <c r="E237" s="3" t="n"/>
      <c r="F237" s="3" t="n"/>
      <c r="G237" s="3" t="n"/>
      <c r="H237" s="3" t="n"/>
      <c r="I237" s="3" t="n"/>
      <c r="J237" s="3" t="n"/>
      <c r="K237" s="4" t="inlineStr">
        <is>
          <t>Form10A_2026-05-27 p355</t>
        </is>
      </c>
    </row>
    <row r="238">
      <c r="A238" s="14" t="inlineStr">
        <is>
          <t>Form10A_2026-05-27 · MD&amp;A Segment Results - B2B (years ended December 31)</t>
        </is>
      </c>
      <c r="B238" s="15" t="n"/>
      <c r="C238" s="15" t="n"/>
      <c r="D238" s="15" t="n"/>
      <c r="E238" s="15" t="n"/>
      <c r="F238" s="15" t="n"/>
      <c r="G238" s="15" t="n"/>
      <c r="H238" s="15" t="n"/>
      <c r="I238" s="15" t="n"/>
      <c r="J238" s="15" t="n"/>
      <c r="K238" s="15" t="n"/>
    </row>
    <row r="239">
      <c r="A239" s="38" t="inlineStr">
        <is>
          <t>B2B: Revenue</t>
        </is>
      </c>
      <c r="B239" s="30" t="n">
        <v>557</v>
      </c>
      <c r="C239" s="30" t="n">
        <v>574</v>
      </c>
      <c r="D239" s="30" t="n">
        <v>608</v>
      </c>
      <c r="E239" s="3" t="n"/>
      <c r="F239" s="3" t="n"/>
      <c r="G239" s="3" t="n"/>
      <c r="H239" s="3" t="n"/>
      <c r="I239" s="3" t="n"/>
      <c r="J239" s="3" t="n"/>
      <c r="K239" s="4" t="inlineStr">
        <is>
          <t>Form10A_2026-05-27 p356</t>
        </is>
      </c>
    </row>
    <row r="240">
      <c r="A240" s="38" t="inlineStr">
        <is>
          <t>B2B: Subscription revenue</t>
        </is>
      </c>
      <c r="B240" s="30" t="n">
        <v>422</v>
      </c>
      <c r="C240" s="30" t="n">
        <v>460</v>
      </c>
      <c r="D240" s="30" t="n">
        <v>499</v>
      </c>
      <c r="E240" s="3" t="n"/>
      <c r="F240" s="3" t="n"/>
      <c r="G240" s="3" t="n"/>
      <c r="H240" s="3" t="n"/>
      <c r="I240" s="3" t="n"/>
      <c r="J240" s="3" t="n"/>
      <c r="K240" s="4" t="inlineStr">
        <is>
          <t>Form10A_2026-05-27 p356</t>
        </is>
      </c>
    </row>
    <row r="241">
      <c r="A241" s="38" t="inlineStr">
        <is>
          <t>B2B: Non - subscription revenue</t>
        </is>
      </c>
      <c r="B241" s="30" t="n">
        <v>135</v>
      </c>
      <c r="C241" s="30" t="n">
        <v>114</v>
      </c>
      <c r="D241" s="30" t="n">
        <v>109</v>
      </c>
      <c r="E241" s="3" t="n"/>
      <c r="F241" s="3" t="n"/>
      <c r="G241" s="3" t="n"/>
      <c r="H241" s="3" t="n"/>
      <c r="I241" s="3" t="n"/>
      <c r="J241" s="3" t="n"/>
      <c r="K241" s="4" t="inlineStr">
        <is>
          <t>Form10A_2026-05-27 p356</t>
        </is>
      </c>
    </row>
    <row r="242">
      <c r="A242" s="38" t="inlineStr">
        <is>
          <t>B2B: % of total revenue: Subscription revenue</t>
        </is>
      </c>
      <c r="B242" s="41" t="n">
        <v>76</v>
      </c>
      <c r="C242" s="41" t="n">
        <v>80</v>
      </c>
      <c r="D242" s="41" t="n">
        <v>82</v>
      </c>
      <c r="E242" s="3" t="n"/>
      <c r="F242" s="3" t="n"/>
      <c r="G242" s="3" t="n"/>
      <c r="H242" s="3" t="n"/>
      <c r="I242" s="3" t="n"/>
      <c r="J242" s="3" t="n"/>
      <c r="K242" s="4" t="inlineStr">
        <is>
          <t>Form10A_2026-05-27 p356</t>
        </is>
      </c>
    </row>
    <row r="243">
      <c r="A243" s="38" t="inlineStr">
        <is>
          <t>B2B: % of total revenue: Non - subscription revenue</t>
        </is>
      </c>
      <c r="B243" s="41" t="n">
        <v>24</v>
      </c>
      <c r="C243" s="41" t="n">
        <v>20</v>
      </c>
      <c r="D243" s="41" t="n">
        <v>18</v>
      </c>
      <c r="E243" s="3" t="n"/>
      <c r="F243" s="3" t="n"/>
      <c r="G243" s="3" t="n"/>
      <c r="H243" s="3" t="n"/>
      <c r="I243" s="3" t="n"/>
      <c r="J243" s="3" t="n"/>
      <c r="K243" s="4" t="inlineStr">
        <is>
          <t>Form10A_2026-05-27 p356</t>
        </is>
      </c>
    </row>
    <row r="244">
      <c r="A244" s="38" t="inlineStr">
        <is>
          <t>B2B: U.S. revenue</t>
        </is>
      </c>
      <c r="B244" s="30" t="n">
        <v>433</v>
      </c>
      <c r="C244" s="30" t="n">
        <v>445</v>
      </c>
      <c r="D244" s="30" t="n">
        <v>480</v>
      </c>
      <c r="E244" s="3" t="n"/>
      <c r="F244" s="3" t="n"/>
      <c r="G244" s="3" t="n"/>
      <c r="H244" s="3" t="n"/>
      <c r="I244" s="3" t="n"/>
      <c r="J244" s="3" t="n"/>
      <c r="K244" s="4" t="inlineStr">
        <is>
          <t>Form10A_2026-05-27 p356</t>
        </is>
      </c>
    </row>
    <row r="245">
      <c r="A245" s="38" t="inlineStr">
        <is>
          <t>B2B: International revenue</t>
        </is>
      </c>
      <c r="B245" s="30" t="n">
        <v>124</v>
      </c>
      <c r="C245" s="30" t="n">
        <v>129</v>
      </c>
      <c r="D245" s="30" t="n">
        <v>128</v>
      </c>
      <c r="E245" s="3" t="n"/>
      <c r="F245" s="3" t="n"/>
      <c r="G245" s="3" t="n"/>
      <c r="H245" s="3" t="n"/>
      <c r="I245" s="3" t="n"/>
      <c r="J245" s="3" t="n"/>
      <c r="K245" s="4" t="inlineStr">
        <is>
          <t>Form10A_2026-05-27 p356</t>
        </is>
      </c>
    </row>
    <row r="246">
      <c r="A246" s="38" t="inlineStr">
        <is>
          <t>B2B: % of total revenue: U.S. revenue</t>
        </is>
      </c>
      <c r="B246" s="41" t="n">
        <v>78</v>
      </c>
      <c r="C246" s="41" t="n">
        <v>78</v>
      </c>
      <c r="D246" s="41" t="n">
        <v>79</v>
      </c>
      <c r="E246" s="3" t="n"/>
      <c r="F246" s="3" t="n"/>
      <c r="G246" s="3" t="n"/>
      <c r="H246" s="3" t="n"/>
      <c r="I246" s="3" t="n"/>
      <c r="J246" s="3" t="n"/>
      <c r="K246" s="4" t="inlineStr">
        <is>
          <t>Form10A_2026-05-27 p356</t>
        </is>
      </c>
    </row>
    <row r="247">
      <c r="A247" s="38" t="inlineStr">
        <is>
          <t>B2B: % of total revenue: International revenue</t>
        </is>
      </c>
      <c r="B247" s="41" t="n">
        <v>22</v>
      </c>
      <c r="C247" s="41" t="n">
        <v>22</v>
      </c>
      <c r="D247" s="41" t="n">
        <v>21</v>
      </c>
      <c r="E247" s="3" t="n"/>
      <c r="F247" s="3" t="n"/>
      <c r="G247" s="3" t="n"/>
      <c r="H247" s="3" t="n"/>
      <c r="I247" s="3" t="n"/>
      <c r="J247" s="3" t="n"/>
      <c r="K247" s="4" t="inlineStr">
        <is>
          <t>Form10A_2026-05-27 p356</t>
        </is>
      </c>
    </row>
    <row r="248">
      <c r="A248" s="38" t="inlineStr">
        <is>
          <t>B2B: Operating profit (1)</t>
        </is>
      </c>
      <c r="B248" s="30" t="n">
        <v>61</v>
      </c>
      <c r="C248" s="30" t="n">
        <v>69</v>
      </c>
      <c r="D248" s="30" t="n">
        <v>62</v>
      </c>
      <c r="E248" s="3" t="n"/>
      <c r="F248" s="3" t="n"/>
      <c r="G248" s="3" t="n"/>
      <c r="H248" s="3" t="n"/>
      <c r="I248" s="3" t="n"/>
      <c r="J248" s="3" t="n"/>
      <c r="K248" s="4" t="inlineStr">
        <is>
          <t>Form10A_2026-05-27 p356</t>
        </is>
      </c>
    </row>
    <row r="249">
      <c r="A249" s="38" t="inlineStr">
        <is>
          <t>B2B: % Operating profit margin</t>
        </is>
      </c>
      <c r="B249" s="41" t="n">
        <v>11</v>
      </c>
      <c r="C249" s="41" t="n">
        <v>12</v>
      </c>
      <c r="D249" s="41" t="n">
        <v>10</v>
      </c>
      <c r="E249" s="3" t="n"/>
      <c r="F249" s="3" t="n"/>
      <c r="G249" s="3" t="n"/>
      <c r="H249" s="3" t="n"/>
      <c r="I249" s="3" t="n"/>
      <c r="J249" s="3" t="n"/>
      <c r="K249" s="4" t="inlineStr">
        <is>
          <t>Form10A_2026-05-27 p356</t>
        </is>
      </c>
    </row>
    <row r="250">
      <c r="A250" s="14" t="inlineStr">
        <is>
          <t>Form10A_2026-05-27 · MD&amp;A Segment Results - B2B % change (FY)</t>
        </is>
      </c>
      <c r="B250" s="15" t="n"/>
      <c r="C250" s="15" t="n"/>
      <c r="D250" s="15" t="n"/>
      <c r="E250" s="15" t="n"/>
      <c r="F250" s="15" t="n"/>
      <c r="G250" s="15" t="n"/>
      <c r="H250" s="15" t="n"/>
      <c r="I250" s="15" t="n"/>
      <c r="J250" s="15" t="n"/>
      <c r="K250" s="15" t="n"/>
    </row>
    <row r="251">
      <c r="A251" s="38" t="inlineStr">
        <is>
          <t>B2B: Revenue % Change</t>
        </is>
      </c>
      <c r="B251" s="3" t="n"/>
      <c r="C251" s="41" t="n">
        <v>3</v>
      </c>
      <c r="D251" s="41" t="n">
        <v>6</v>
      </c>
      <c r="E251" s="3" t="n"/>
      <c r="F251" s="3" t="n"/>
      <c r="G251" s="3" t="n"/>
      <c r="H251" s="3" t="n"/>
      <c r="I251" s="3" t="n"/>
      <c r="J251" s="3" t="n"/>
      <c r="K251" s="4" t="inlineStr">
        <is>
          <t>Form10A_2026-05-27 p356</t>
        </is>
      </c>
    </row>
    <row r="252">
      <c r="A252" s="38" t="inlineStr">
        <is>
          <t>B2B: Subscription revenue % Change</t>
        </is>
      </c>
      <c r="B252" s="3" t="n"/>
      <c r="C252" s="41" t="n">
        <v>8</v>
      </c>
      <c r="D252" s="41" t="n">
        <v>8</v>
      </c>
      <c r="E252" s="3" t="n"/>
      <c r="F252" s="3" t="n"/>
      <c r="G252" s="3" t="n"/>
      <c r="H252" s="3" t="n"/>
      <c r="I252" s="3" t="n"/>
      <c r="J252" s="3" t="n"/>
      <c r="K252" s="4" t="inlineStr">
        <is>
          <t>Form10A_2026-05-27 p356</t>
        </is>
      </c>
    </row>
    <row r="253">
      <c r="A253" s="38" t="inlineStr">
        <is>
          <t>B2B: Non - subscription revenue % Change</t>
        </is>
      </c>
      <c r="B253" s="3" t="n"/>
      <c r="C253" s="41" t="n">
        <v>-16</v>
      </c>
      <c r="D253" s="41" t="n">
        <v>-4</v>
      </c>
      <c r="E253" s="3" t="n"/>
      <c r="F253" s="3" t="n"/>
      <c r="G253" s="3" t="n"/>
      <c r="H253" s="3" t="n"/>
      <c r="I253" s="3" t="n"/>
      <c r="J253" s="3" t="n"/>
      <c r="K253" s="4" t="inlineStr">
        <is>
          <t>Form10A_2026-05-27 p356</t>
        </is>
      </c>
    </row>
    <row r="254">
      <c r="A254" s="38" t="inlineStr">
        <is>
          <t>B2B: U.S. revenue % Change</t>
        </is>
      </c>
      <c r="B254" s="3" t="n"/>
      <c r="C254" s="41" t="n">
        <v>3</v>
      </c>
      <c r="D254" s="41" t="n">
        <v>8</v>
      </c>
      <c r="E254" s="3" t="n"/>
      <c r="F254" s="3" t="n"/>
      <c r="G254" s="3" t="n"/>
      <c r="H254" s="3" t="n"/>
      <c r="I254" s="3" t="n"/>
      <c r="J254" s="3" t="n"/>
      <c r="K254" s="4" t="inlineStr">
        <is>
          <t>Form10A_2026-05-27 p356</t>
        </is>
      </c>
    </row>
    <row r="255">
      <c r="A255" s="38" t="inlineStr">
        <is>
          <t>B2B: International revenue % Change</t>
        </is>
      </c>
      <c r="B255" s="3" t="n"/>
      <c r="C255" s="41" t="n">
        <v>4</v>
      </c>
      <c r="D255" s="41" t="n">
        <v>-1</v>
      </c>
      <c r="E255" s="3" t="n"/>
      <c r="F255" s="3" t="n"/>
      <c r="G255" s="3" t="n"/>
      <c r="H255" s="3" t="n"/>
      <c r="I255" s="3" t="n"/>
      <c r="J255" s="3" t="n"/>
      <c r="K255" s="4" t="inlineStr">
        <is>
          <t>Form10A_2026-05-27 p356</t>
        </is>
      </c>
    </row>
    <row r="256">
      <c r="A256" s="38" t="inlineStr">
        <is>
          <t>B2B: Operating profit % Change</t>
        </is>
      </c>
      <c r="B256" s="3" t="n"/>
      <c r="C256" s="41" t="n">
        <v>15</v>
      </c>
      <c r="D256" s="41" t="n">
        <v>-12</v>
      </c>
      <c r="E256" s="3" t="n"/>
      <c r="F256" s="3" t="n"/>
      <c r="G256" s="3" t="n"/>
      <c r="H256" s="3" t="n"/>
      <c r="I256" s="3" t="n"/>
      <c r="J256" s="3" t="n"/>
      <c r="K256" s="4" t="inlineStr">
        <is>
          <t>Form10A_2026-05-27 p356</t>
        </is>
      </c>
    </row>
    <row r="257">
      <c r="A257" s="14" t="inlineStr">
        <is>
          <t>Form10A_2026-05-27 · Interim Note 7 Segment and Geographic Information - operating results (ASU 2023-07 format)</t>
        </is>
      </c>
      <c r="B257" s="15" t="n"/>
      <c r="C257" s="15" t="n"/>
      <c r="D257" s="15" t="n"/>
      <c r="E257" s="15" t="n"/>
      <c r="F257" s="15" t="n"/>
      <c r="G257" s="15" t="n"/>
      <c r="H257" s="15" t="n"/>
      <c r="I257" s="15" t="n"/>
      <c r="J257" s="15" t="n"/>
      <c r="K257" s="15" t="n"/>
    </row>
    <row r="258">
      <c r="A258" s="38" t="inlineStr">
        <is>
          <t>CARFAX: Revenue</t>
        </is>
      </c>
      <c r="B258" s="3" t="n"/>
      <c r="C258" s="3" t="n"/>
      <c r="D258" s="3" t="n"/>
      <c r="E258" s="30" t="n">
        <v>275</v>
      </c>
      <c r="F258" s="3" t="n"/>
      <c r="G258" s="3" t="n"/>
      <c r="H258" s="30" t="n">
        <v>298</v>
      </c>
      <c r="I258" s="3" t="n"/>
      <c r="J258" s="3" t="n"/>
      <c r="K258" s="4" t="inlineStr">
        <is>
          <t>Form10A_2026-05-27 p431</t>
        </is>
      </c>
    </row>
    <row r="259">
      <c r="A259" s="38" t="inlineStr">
        <is>
          <t>CARFAX: Less: segment expenses (1)</t>
        </is>
      </c>
      <c r="B259" s="3" t="n"/>
      <c r="C259" s="3" t="n"/>
      <c r="D259" s="3" t="n"/>
      <c r="E259" s="30" t="n">
        <v>151</v>
      </c>
      <c r="F259" s="3" t="n"/>
      <c r="G259" s="3" t="n"/>
      <c r="H259" s="30" t="n">
        <v>162</v>
      </c>
      <c r="I259" s="3" t="n"/>
      <c r="J259" s="3" t="n"/>
      <c r="K259" s="4" t="inlineStr">
        <is>
          <t>Form10A_2026-05-27 p431</t>
        </is>
      </c>
    </row>
    <row r="260">
      <c r="A260" s="38" t="inlineStr">
        <is>
          <t>CARFAX: Less: other segment items (2)</t>
        </is>
      </c>
      <c r="B260" s="3" t="n"/>
      <c r="C260" s="3" t="n"/>
      <c r="D260" s="3" t="n"/>
      <c r="E260" s="30" t="n">
        <v>47</v>
      </c>
      <c r="F260" s="3" t="n"/>
      <c r="G260" s="3" t="n"/>
      <c r="H260" s="30" t="n">
        <v>47</v>
      </c>
      <c r="I260" s="3" t="n"/>
      <c r="J260" s="3" t="n"/>
      <c r="K260" s="4" t="inlineStr">
        <is>
          <t>Form10A_2026-05-27 p431</t>
        </is>
      </c>
    </row>
    <row r="261">
      <c r="A261" s="38" t="inlineStr">
        <is>
          <t>CARFAX: Segment operating profit</t>
        </is>
      </c>
      <c r="B261" s="3" t="n"/>
      <c r="C261" s="3" t="n"/>
      <c r="D261" s="3" t="n"/>
      <c r="E261" s="30" t="n">
        <v>77</v>
      </c>
      <c r="F261" s="3" t="n"/>
      <c r="G261" s="3" t="n"/>
      <c r="H261" s="30" t="n">
        <v>89</v>
      </c>
      <c r="I261" s="3" t="n"/>
      <c r="J261" s="3" t="n"/>
      <c r="K261" s="4" t="inlineStr">
        <is>
          <t>Form10A_2026-05-27 p431</t>
        </is>
      </c>
    </row>
    <row r="262">
      <c r="A262" s="38" t="inlineStr">
        <is>
          <t>B2B: Revenue</t>
        </is>
      </c>
      <c r="B262" s="3" t="n"/>
      <c r="C262" s="3" t="n"/>
      <c r="D262" s="3" t="n"/>
      <c r="E262" s="30" t="n">
        <v>145</v>
      </c>
      <c r="F262" s="3" t="n"/>
      <c r="G262" s="3" t="n"/>
      <c r="H262" s="30" t="n">
        <v>157</v>
      </c>
      <c r="I262" s="3" t="n"/>
      <c r="J262" s="3" t="n"/>
      <c r="K262" s="4" t="inlineStr">
        <is>
          <t>Form10A_2026-05-27 p431</t>
        </is>
      </c>
    </row>
    <row r="263">
      <c r="A263" s="38" t="inlineStr">
        <is>
          <t>B2B: Less: segment expenses (1)</t>
        </is>
      </c>
      <c r="B263" s="3" t="n"/>
      <c r="C263" s="3" t="n"/>
      <c r="D263" s="3" t="n"/>
      <c r="E263" s="30" t="n">
        <v>104</v>
      </c>
      <c r="F263" s="3" t="n"/>
      <c r="G263" s="3" t="n"/>
      <c r="H263" s="30" t="n">
        <v>112</v>
      </c>
      <c r="I263" s="3" t="n"/>
      <c r="J263" s="3" t="n"/>
      <c r="K263" s="4" t="inlineStr">
        <is>
          <t>Form10A_2026-05-27 p431</t>
        </is>
      </c>
    </row>
    <row r="264">
      <c r="A264" s="38" t="inlineStr">
        <is>
          <t>B2B: Less: other segment items (2)</t>
        </is>
      </c>
      <c r="B264" s="3" t="n"/>
      <c r="C264" s="3" t="n"/>
      <c r="D264" s="3" t="n"/>
      <c r="E264" s="30" t="n">
        <v>27</v>
      </c>
      <c r="F264" s="3" t="n"/>
      <c r="G264" s="3" t="n"/>
      <c r="H264" s="30" t="n">
        <v>40</v>
      </c>
      <c r="I264" s="3" t="n"/>
      <c r="J264" s="3" t="n"/>
      <c r="K264" s="4" t="inlineStr">
        <is>
          <t>Form10A_2026-05-27 p431</t>
        </is>
      </c>
    </row>
    <row r="265">
      <c r="A265" s="38" t="inlineStr">
        <is>
          <t>B2B: Segment operating profit</t>
        </is>
      </c>
      <c r="B265" s="3" t="n"/>
      <c r="C265" s="3" t="n"/>
      <c r="D265" s="3" t="n"/>
      <c r="E265" s="30" t="n">
        <v>14</v>
      </c>
      <c r="F265" s="3" t="n"/>
      <c r="G265" s="3" t="n"/>
      <c r="H265" s="30" t="n">
        <v>5</v>
      </c>
      <c r="I265" s="3" t="n"/>
      <c r="J265" s="3" t="n"/>
      <c r="K265" s="4" t="inlineStr">
        <is>
          <t>Form10A_2026-05-27 p431</t>
        </is>
      </c>
    </row>
    <row r="266">
      <c r="A266" s="39" t="inlineStr">
        <is>
          <t>Total: Revenue</t>
        </is>
      </c>
      <c r="B266" s="3" t="n"/>
      <c r="C266" s="3" t="n"/>
      <c r="D266" s="3" t="n"/>
      <c r="E266" s="18" t="n">
        <v>420</v>
      </c>
      <c r="F266" s="3" t="n"/>
      <c r="G266" s="3" t="n"/>
      <c r="H266" s="18" t="n">
        <v>455</v>
      </c>
      <c r="I266" s="3" t="n"/>
      <c r="J266" s="3" t="n"/>
      <c r="K266" s="4" t="inlineStr">
        <is>
          <t>Form10A_2026-05-27 p431</t>
        </is>
      </c>
    </row>
    <row r="267">
      <c r="A267" s="38" t="inlineStr">
        <is>
          <t>Total: Less: segment expenses (1)</t>
        </is>
      </c>
      <c r="B267" s="3" t="n"/>
      <c r="C267" s="3" t="n"/>
      <c r="D267" s="3" t="n"/>
      <c r="E267" s="30" t="n">
        <v>255</v>
      </c>
      <c r="F267" s="3" t="n"/>
      <c r="G267" s="3" t="n"/>
      <c r="H267" s="30" t="n">
        <v>274</v>
      </c>
      <c r="I267" s="3" t="n"/>
      <c r="J267" s="3" t="n"/>
      <c r="K267" s="4" t="inlineStr">
        <is>
          <t>Form10A_2026-05-27 p431</t>
        </is>
      </c>
    </row>
    <row r="268">
      <c r="A268" s="38" t="inlineStr">
        <is>
          <t>Total: Less: other segment items (2)</t>
        </is>
      </c>
      <c r="B268" s="3" t="n"/>
      <c r="C268" s="3" t="n"/>
      <c r="D268" s="3" t="n"/>
      <c r="E268" s="30" t="n">
        <v>74</v>
      </c>
      <c r="F268" s="3" t="n"/>
      <c r="G268" s="3" t="n"/>
      <c r="H268" s="30" t="n">
        <v>87</v>
      </c>
      <c r="I268" s="3" t="n"/>
      <c r="J268" s="3" t="n"/>
      <c r="K268" s="4" t="inlineStr">
        <is>
          <t>Form10A_2026-05-27 p431</t>
        </is>
      </c>
    </row>
    <row r="269">
      <c r="A269" s="39" t="inlineStr">
        <is>
          <t>Total: Segment operating profit</t>
        </is>
      </c>
      <c r="B269" s="3" t="n"/>
      <c r="C269" s="3" t="n"/>
      <c r="D269" s="3" t="n"/>
      <c r="E269" s="18" t="n">
        <v>91</v>
      </c>
      <c r="F269" s="3" t="n"/>
      <c r="G269" s="3" t="n"/>
      <c r="H269" s="18" t="n">
        <v>94</v>
      </c>
      <c r="I269" s="3" t="n"/>
      <c r="J269" s="3" t="n"/>
      <c r="K269" s="4" t="inlineStr">
        <is>
          <t>Form10A_2026-05-27 p431</t>
        </is>
      </c>
    </row>
    <row r="270">
      <c r="A270" s="38" t="inlineStr">
        <is>
          <t>Total: Corporate Unallocated expense (3)</t>
        </is>
      </c>
      <c r="B270" s="3" t="n"/>
      <c r="C270" s="3" t="n"/>
      <c r="D270" s="3" t="n"/>
      <c r="E270" s="30" t="n">
        <v>7</v>
      </c>
      <c r="F270" s="3" t="n"/>
      <c r="G270" s="3" t="n"/>
      <c r="H270" s="30" t="n">
        <v>13</v>
      </c>
      <c r="I270" s="3" t="n"/>
      <c r="J270" s="3" t="n"/>
      <c r="K270" s="4" t="inlineStr">
        <is>
          <t>Form10A_2026-05-27 p431</t>
        </is>
      </c>
    </row>
    <row r="271">
      <c r="A271" s="39" t="inlineStr">
        <is>
          <t>Total: Operating profit</t>
        </is>
      </c>
      <c r="B271" s="3" t="n"/>
      <c r="C271" s="3" t="n"/>
      <c r="D271" s="3" t="n"/>
      <c r="E271" s="18" t="n">
        <v>84</v>
      </c>
      <c r="F271" s="3" t="n"/>
      <c r="G271" s="3" t="n"/>
      <c r="H271" s="18" t="n">
        <v>81</v>
      </c>
      <c r="I271" s="3" t="n"/>
      <c r="J271" s="3" t="n"/>
      <c r="K271" s="4" t="inlineStr">
        <is>
          <t>Form10A_2026-05-27 p431</t>
        </is>
      </c>
    </row>
    <row r="272">
      <c r="A272" s="38" t="inlineStr">
        <is>
          <t>Total: Interest expense, net</t>
        </is>
      </c>
      <c r="B272" s="3" t="n"/>
      <c r="C272" s="3" t="n"/>
      <c r="D272" s="3" t="n"/>
      <c r="E272" s="30" t="n">
        <v>3</v>
      </c>
      <c r="F272" s="3" t="n"/>
      <c r="G272" s="3" t="n"/>
      <c r="H272" s="30" t="n">
        <v>3</v>
      </c>
      <c r="I272" s="3" t="n"/>
      <c r="J272" s="3" t="n"/>
      <c r="K272" s="4" t="inlineStr">
        <is>
          <t>Form10A_2026-05-27 p431</t>
        </is>
      </c>
    </row>
    <row r="273">
      <c r="A273" s="38" t="inlineStr">
        <is>
          <t>Total: Income before taxes on income</t>
        </is>
      </c>
      <c r="B273" s="3" t="n"/>
      <c r="C273" s="3" t="n"/>
      <c r="D273" s="3" t="n"/>
      <c r="E273" s="30" t="n">
        <v>81</v>
      </c>
      <c r="F273" s="3" t="n"/>
      <c r="G273" s="3" t="n"/>
      <c r="H273" s="30" t="n">
        <v>78</v>
      </c>
      <c r="I273" s="3" t="n"/>
      <c r="J273" s="3" t="n"/>
      <c r="K273" s="4" t="inlineStr">
        <is>
          <t>Form10A_2026-05-27 p431</t>
        </is>
      </c>
    </row>
    <row r="274">
      <c r="A274" s="14" t="inlineStr">
        <is>
          <t>Form10A_2026-05-27 · Interim Note 7 segment total assets</t>
        </is>
      </c>
      <c r="B274" s="15" t="n"/>
      <c r="C274" s="15" t="n"/>
      <c r="D274" s="15" t="n"/>
      <c r="E274" s="15" t="n"/>
      <c r="F274" s="15" t="n"/>
      <c r="G274" s="15" t="n"/>
      <c r="H274" s="15" t="n"/>
      <c r="I274" s="15" t="n"/>
      <c r="J274" s="15" t="n"/>
      <c r="K274" s="15" t="n"/>
    </row>
    <row r="275">
      <c r="A275" s="38" t="inlineStr">
        <is>
          <t>CARFAX: Total Assets</t>
        </is>
      </c>
      <c r="B275" s="3" t="n"/>
      <c r="C275" s="3" t="n"/>
      <c r="D275" s="30" t="n">
        <v>8577</v>
      </c>
      <c r="E275" s="3" t="n"/>
      <c r="F275" s="3" t="n"/>
      <c r="G275" s="3" t="n"/>
      <c r="H275" s="30" t="n">
        <v>8549</v>
      </c>
      <c r="I275" s="3" t="n"/>
      <c r="J275" s="3" t="n"/>
      <c r="K275" s="4" t="inlineStr">
        <is>
          <t>Form10A_2026-05-27 p432</t>
        </is>
      </c>
    </row>
    <row r="276">
      <c r="A276" s="38" t="inlineStr">
        <is>
          <t>B2B: Total Assets</t>
        </is>
      </c>
      <c r="B276" s="3" t="n"/>
      <c r="C276" s="3" t="n"/>
      <c r="D276" s="30" t="n">
        <v>4417</v>
      </c>
      <c r="E276" s="3" t="n"/>
      <c r="F276" s="3" t="n"/>
      <c r="G276" s="3" t="n"/>
      <c r="H276" s="30" t="n">
        <v>4491</v>
      </c>
      <c r="I276" s="3" t="n"/>
      <c r="J276" s="3" t="n"/>
      <c r="K276" s="4" t="inlineStr">
        <is>
          <t>Form10A_2026-05-27 p432</t>
        </is>
      </c>
    </row>
    <row r="277">
      <c r="A277" s="38" t="inlineStr">
        <is>
          <t>Total reportable segments: Total Assets</t>
        </is>
      </c>
      <c r="B277" s="3" t="n"/>
      <c r="C277" s="3" t="n"/>
      <c r="D277" s="30" t="n">
        <v>12994</v>
      </c>
      <c r="E277" s="3" t="n"/>
      <c r="F277" s="3" t="n"/>
      <c r="G277" s="3" t="n"/>
      <c r="H277" s="30" t="n">
        <v>13040</v>
      </c>
      <c r="I277" s="3" t="n"/>
      <c r="J277" s="3" t="n"/>
      <c r="K277" s="4" t="inlineStr">
        <is>
          <t>Form10A_2026-05-27 p432</t>
        </is>
      </c>
    </row>
    <row r="278">
      <c r="A278" s="38" t="inlineStr">
        <is>
          <t>Corporate: Total Assets</t>
        </is>
      </c>
      <c r="B278" s="3" t="n"/>
      <c r="C278" s="3" t="n"/>
      <c r="D278" s="30" t="n">
        <v>1</v>
      </c>
      <c r="E278" s="3" t="n"/>
      <c r="F278" s="3" t="n"/>
      <c r="G278" s="3" t="n"/>
      <c r="H278" s="30" t="n">
        <v>2</v>
      </c>
      <c r="I278" s="3" t="n"/>
      <c r="J278" s="3" t="n"/>
      <c r="K278" s="4" t="inlineStr">
        <is>
          <t>Form10A_2026-05-27 p432</t>
        </is>
      </c>
    </row>
    <row r="279">
      <c r="A279" s="39" t="inlineStr">
        <is>
          <t>Total: Total Assets</t>
        </is>
      </c>
      <c r="B279" s="3" t="n"/>
      <c r="C279" s="3" t="n"/>
      <c r="D279" s="18" t="n">
        <v>12995</v>
      </c>
      <c r="E279" s="3" t="n"/>
      <c r="F279" s="3" t="n"/>
      <c r="G279" s="3" t="n"/>
      <c r="H279" s="18" t="n">
        <v>13042</v>
      </c>
      <c r="I279" s="3" t="n"/>
      <c r="J279" s="3" t="n"/>
      <c r="K279" s="4" t="inlineStr">
        <is>
          <t>Form10A_2026-05-27 p432</t>
        </is>
      </c>
    </row>
    <row r="280">
      <c r="A280" s="14" t="inlineStr">
        <is>
          <t>Form10A_2026-05-27 · Interim Note 6 Restructuring - 2025 Restructuring Plan by segment (as of March 31, 2026)</t>
        </is>
      </c>
      <c r="B280" s="15" t="n"/>
      <c r="C280" s="15" t="n"/>
      <c r="D280" s="15" t="n"/>
      <c r="E280" s="15" t="n"/>
      <c r="F280" s="15" t="n"/>
      <c r="G280" s="15" t="n"/>
      <c r="H280" s="15" t="n"/>
      <c r="I280" s="15" t="n"/>
      <c r="J280" s="15" t="n"/>
      <c r="K280" s="15" t="n"/>
    </row>
    <row r="281">
      <c r="A281" s="38" t="inlineStr">
        <is>
          <t>CARFAX: Initial Charge Recorded</t>
        </is>
      </c>
      <c r="B281" s="3" t="n"/>
      <c r="C281" s="3" t="n"/>
      <c r="D281" s="3" t="n"/>
      <c r="E281" s="3" t="n"/>
      <c r="F281" s="3" t="n"/>
      <c r="G281" s="3" t="n"/>
      <c r="H281" s="30" t="n">
        <v>1</v>
      </c>
      <c r="I281" s="3" t="n"/>
      <c r="J281" s="3" t="n"/>
      <c r="K281" s="4" t="inlineStr">
        <is>
          <t>Form10A_2026-05-27 p431</t>
        </is>
      </c>
    </row>
    <row r="282">
      <c r="A282" s="38" t="inlineStr">
        <is>
          <t>B2B: Initial Charge Recorded</t>
        </is>
      </c>
      <c r="B282" s="3" t="n"/>
      <c r="C282" s="3" t="n"/>
      <c r="D282" s="3" t="n"/>
      <c r="E282" s="3" t="n"/>
      <c r="F282" s="3" t="n"/>
      <c r="G282" s="3" t="n"/>
      <c r="H282" s="30" t="n">
        <v>14</v>
      </c>
      <c r="I282" s="3" t="n"/>
      <c r="J282" s="3" t="n"/>
      <c r="K282" s="4" t="inlineStr">
        <is>
          <t>Form10A_2026-05-27 p431</t>
        </is>
      </c>
    </row>
    <row r="283">
      <c r="A283" s="38" t="inlineStr">
        <is>
          <t>Total: Initial Charge Recorded</t>
        </is>
      </c>
      <c r="B283" s="3" t="n"/>
      <c r="C283" s="3" t="n"/>
      <c r="D283" s="3" t="n"/>
      <c r="E283" s="3" t="n"/>
      <c r="F283" s="3" t="n"/>
      <c r="G283" s="3" t="n"/>
      <c r="H283" s="30" t="n">
        <v>15</v>
      </c>
      <c r="I283" s="3" t="n"/>
      <c r="J283" s="3" t="n"/>
      <c r="K283" s="4" t="inlineStr">
        <is>
          <t>Form10A_2026-05-27 p431</t>
        </is>
      </c>
    </row>
    <row r="284">
      <c r="A284" s="38" t="inlineStr">
        <is>
          <t>B2B: Ending Reserve Balance</t>
        </is>
      </c>
      <c r="B284" s="3" t="n"/>
      <c r="C284" s="3" t="n"/>
      <c r="D284" s="3" t="n"/>
      <c r="E284" s="3" t="n"/>
      <c r="F284" s="3" t="n"/>
      <c r="G284" s="3" t="n"/>
      <c r="H284" s="30" t="n">
        <v>7</v>
      </c>
      <c r="I284" s="3" t="n"/>
      <c r="J284" s="3" t="n"/>
      <c r="K284" s="4" t="inlineStr">
        <is>
          <t>Form10A_2026-05-27 p431</t>
        </is>
      </c>
    </row>
    <row r="285">
      <c r="A285" s="38" t="inlineStr">
        <is>
          <t>Total: Ending Reserve Balance</t>
        </is>
      </c>
      <c r="B285" s="3" t="n"/>
      <c r="C285" s="3" t="n"/>
      <c r="D285" s="3" t="n"/>
      <c r="E285" s="3" t="n"/>
      <c r="F285" s="3" t="n"/>
      <c r="G285" s="3" t="n"/>
      <c r="H285" s="30" t="n">
        <v>7</v>
      </c>
      <c r="I285" s="3" t="n"/>
      <c r="J285" s="3" t="n"/>
      <c r="K285" s="4" t="inlineStr">
        <is>
          <t>Form10A_2026-05-27 p431</t>
        </is>
      </c>
    </row>
    <row r="286">
      <c r="A286" s="14" t="inlineStr">
        <is>
          <t>Form10A_2026-05-27 · Audited Note 8 Segment and Geographic Information - operating results (ASU 2023-07 format)</t>
        </is>
      </c>
      <c r="B286" s="15" t="n"/>
      <c r="C286" s="15" t="n"/>
      <c r="D286" s="15" t="n"/>
      <c r="E286" s="15" t="n"/>
      <c r="F286" s="15" t="n"/>
      <c r="G286" s="15" t="n"/>
      <c r="H286" s="15" t="n"/>
      <c r="I286" s="15" t="n"/>
      <c r="J286" s="15" t="n"/>
      <c r="K286" s="15" t="n"/>
    </row>
    <row r="287">
      <c r="A287" s="38" t="inlineStr">
        <is>
          <t>CARFAX: Revenue</t>
        </is>
      </c>
      <c r="B287" s="30" t="n">
        <v>928</v>
      </c>
      <c r="C287" s="30" t="n">
        <v>1039</v>
      </c>
      <c r="D287" s="30" t="n">
        <v>1142</v>
      </c>
      <c r="E287" s="3" t="n"/>
      <c r="F287" s="3" t="n"/>
      <c r="G287" s="3" t="n"/>
      <c r="H287" s="3" t="n"/>
      <c r="I287" s="3" t="n"/>
      <c r="J287" s="3" t="n"/>
      <c r="K287" s="4" t="inlineStr">
        <is>
          <t>Form10A_2026-05-27 p461; Form10A_2026-05-27 p462</t>
        </is>
      </c>
    </row>
    <row r="288">
      <c r="A288" s="38" t="inlineStr">
        <is>
          <t>CARFAX: Less: segment expenses (1)</t>
        </is>
      </c>
      <c r="B288" s="30" t="n">
        <v>527</v>
      </c>
      <c r="C288" s="30" t="n">
        <v>590</v>
      </c>
      <c r="D288" s="30" t="n">
        <v>629</v>
      </c>
      <c r="E288" s="3" t="n"/>
      <c r="F288" s="3" t="n"/>
      <c r="G288" s="3" t="n"/>
      <c r="H288" s="3" t="n"/>
      <c r="I288" s="3" t="n"/>
      <c r="J288" s="3" t="n"/>
      <c r="K288" s="4" t="inlineStr">
        <is>
          <t>Form10A_2026-05-27 p461; Form10A_2026-05-27 p462</t>
        </is>
      </c>
    </row>
    <row r="289">
      <c r="A289" s="38" t="inlineStr">
        <is>
          <t>CARFAX: Less: other segment items (2)</t>
        </is>
      </c>
      <c r="B289" s="30" t="n">
        <v>191</v>
      </c>
      <c r="C289" s="30" t="n">
        <v>190</v>
      </c>
      <c r="D289" s="30" t="n">
        <v>191</v>
      </c>
      <c r="E289" s="3" t="n"/>
      <c r="F289" s="3" t="n"/>
      <c r="G289" s="3" t="n"/>
      <c r="H289" s="3" t="n"/>
      <c r="I289" s="3" t="n"/>
      <c r="J289" s="3" t="n"/>
      <c r="K289" s="4" t="inlineStr">
        <is>
          <t>Form10A_2026-05-27 p461; Form10A_2026-05-27 p462</t>
        </is>
      </c>
    </row>
    <row r="290">
      <c r="A290" s="38" t="inlineStr">
        <is>
          <t>CARFAX: Segment operating profit</t>
        </is>
      </c>
      <c r="B290" s="30" t="n">
        <v>210</v>
      </c>
      <c r="C290" s="30" t="n">
        <v>259</v>
      </c>
      <c r="D290" s="30" t="n">
        <v>322</v>
      </c>
      <c r="E290" s="3" t="n"/>
      <c r="F290" s="3" t="n"/>
      <c r="G290" s="3" t="n"/>
      <c r="H290" s="3" t="n"/>
      <c r="I290" s="3" t="n"/>
      <c r="J290" s="3" t="n"/>
      <c r="K290" s="4" t="inlineStr">
        <is>
          <t>Form10A_2026-05-27 p461; Form10A_2026-05-27 p462</t>
        </is>
      </c>
    </row>
    <row r="291">
      <c r="A291" s="38" t="inlineStr">
        <is>
          <t>B2B: Revenue</t>
        </is>
      </c>
      <c r="B291" s="30" t="n">
        <v>557</v>
      </c>
      <c r="C291" s="30" t="n">
        <v>574</v>
      </c>
      <c r="D291" s="30" t="n">
        <v>608</v>
      </c>
      <c r="E291" s="3" t="n"/>
      <c r="F291" s="3" t="n"/>
      <c r="G291" s="3" t="n"/>
      <c r="H291" s="3" t="n"/>
      <c r="I291" s="3" t="n"/>
      <c r="J291" s="3" t="n"/>
      <c r="K291" s="4" t="inlineStr">
        <is>
          <t>Form10A_2026-05-27 p461; Form10A_2026-05-27 p462</t>
        </is>
      </c>
    </row>
    <row r="292">
      <c r="A292" s="38" t="inlineStr">
        <is>
          <t>B2B: Less: segment expenses (1)</t>
        </is>
      </c>
      <c r="B292" s="30" t="n">
        <v>376</v>
      </c>
      <c r="C292" s="30" t="n">
        <v>385</v>
      </c>
      <c r="D292" s="30" t="n">
        <v>424</v>
      </c>
      <c r="E292" s="3" t="n"/>
      <c r="F292" s="3" t="n"/>
      <c r="G292" s="3" t="n"/>
      <c r="H292" s="3" t="n"/>
      <c r="I292" s="3" t="n"/>
      <c r="J292" s="3" t="n"/>
      <c r="K292" s="4" t="inlineStr">
        <is>
          <t>Form10A_2026-05-27 p461; Form10A_2026-05-27 p462</t>
        </is>
      </c>
    </row>
    <row r="293">
      <c r="A293" s="38" t="inlineStr">
        <is>
          <t>B2B: Less: other segment items (2)</t>
        </is>
      </c>
      <c r="B293" s="30" t="n">
        <v>120</v>
      </c>
      <c r="C293" s="30" t="n">
        <v>120</v>
      </c>
      <c r="D293" s="30" t="n">
        <v>122</v>
      </c>
      <c r="E293" s="3" t="n"/>
      <c r="F293" s="3" t="n"/>
      <c r="G293" s="3" t="n"/>
      <c r="H293" s="3" t="n"/>
      <c r="I293" s="3" t="n"/>
      <c r="J293" s="3" t="n"/>
      <c r="K293" s="4" t="inlineStr">
        <is>
          <t>Form10A_2026-05-27 p461; Form10A_2026-05-27 p462</t>
        </is>
      </c>
    </row>
    <row r="294">
      <c r="A294" s="38" t="inlineStr">
        <is>
          <t>B2B: Segment operating profit</t>
        </is>
      </c>
      <c r="B294" s="30" t="n">
        <v>61</v>
      </c>
      <c r="C294" s="30" t="n">
        <v>69</v>
      </c>
      <c r="D294" s="30" t="n">
        <v>62</v>
      </c>
      <c r="E294" s="3" t="n"/>
      <c r="F294" s="3" t="n"/>
      <c r="G294" s="3" t="n"/>
      <c r="H294" s="3" t="n"/>
      <c r="I294" s="3" t="n"/>
      <c r="J294" s="3" t="n"/>
      <c r="K294" s="4" t="inlineStr">
        <is>
          <t>Form10A_2026-05-27 p461; Form10A_2026-05-27 p462</t>
        </is>
      </c>
    </row>
    <row r="295">
      <c r="A295" s="39" t="inlineStr">
        <is>
          <t>Total: Revenue</t>
        </is>
      </c>
      <c r="B295" s="18" t="n">
        <v>1485</v>
      </c>
      <c r="C295" s="18" t="n">
        <v>1613</v>
      </c>
      <c r="D295" s="18" t="n">
        <v>1750</v>
      </c>
      <c r="E295" s="3" t="n"/>
      <c r="F295" s="3" t="n"/>
      <c r="G295" s="3" t="n"/>
      <c r="H295" s="3" t="n"/>
      <c r="I295" s="3" t="n"/>
      <c r="J295" s="3" t="n"/>
      <c r="K295" s="4" t="inlineStr">
        <is>
          <t>Form10A_2026-05-27 p461; Form10A_2026-05-27 p462</t>
        </is>
      </c>
    </row>
    <row r="296">
      <c r="A296" s="38" t="inlineStr">
        <is>
          <t>Total: Less: segment expenses (1)</t>
        </is>
      </c>
      <c r="B296" s="30" t="n">
        <v>903</v>
      </c>
      <c r="C296" s="30" t="n">
        <v>975</v>
      </c>
      <c r="D296" s="30" t="n">
        <v>1053</v>
      </c>
      <c r="E296" s="3" t="n"/>
      <c r="F296" s="3" t="n"/>
      <c r="G296" s="3" t="n"/>
      <c r="H296" s="3" t="n"/>
      <c r="I296" s="3" t="n"/>
      <c r="J296" s="3" t="n"/>
      <c r="K296" s="4" t="inlineStr">
        <is>
          <t>Form10A_2026-05-27 p461; Form10A_2026-05-27 p462</t>
        </is>
      </c>
    </row>
    <row r="297">
      <c r="A297" s="38" t="inlineStr">
        <is>
          <t>Total: Less: other segment items (2)</t>
        </is>
      </c>
      <c r="B297" s="30" t="n">
        <v>311</v>
      </c>
      <c r="C297" s="30" t="n">
        <v>310</v>
      </c>
      <c r="D297" s="30" t="n">
        <v>313</v>
      </c>
      <c r="E297" s="3" t="n"/>
      <c r="F297" s="3" t="n"/>
      <c r="G297" s="3" t="n"/>
      <c r="H297" s="3" t="n"/>
      <c r="I297" s="3" t="n"/>
      <c r="J297" s="3" t="n"/>
      <c r="K297" s="4" t="inlineStr">
        <is>
          <t>Form10A_2026-05-27 p461; Form10A_2026-05-27 p462</t>
        </is>
      </c>
    </row>
    <row r="298">
      <c r="A298" s="39" t="inlineStr">
        <is>
          <t>Total: Segment operating profit</t>
        </is>
      </c>
      <c r="B298" s="18" t="n">
        <v>271</v>
      </c>
      <c r="C298" s="18" t="n">
        <v>328</v>
      </c>
      <c r="D298" s="18" t="n">
        <v>384</v>
      </c>
      <c r="E298" s="3" t="n"/>
      <c r="F298" s="3" t="n"/>
      <c r="G298" s="3" t="n"/>
      <c r="H298" s="3" t="n"/>
      <c r="I298" s="3" t="n"/>
      <c r="J298" s="3" t="n"/>
      <c r="K298" s="4" t="inlineStr">
        <is>
          <t>Form10A_2026-05-27 p461; Form10A_2026-05-27 p462</t>
        </is>
      </c>
    </row>
    <row r="299">
      <c r="A299" s="38" t="inlineStr">
        <is>
          <t>Total: Corporate Unallocated expense (3)</t>
        </is>
      </c>
      <c r="B299" s="30" t="n">
        <v>32</v>
      </c>
      <c r="C299" s="30" t="n">
        <v>30</v>
      </c>
      <c r="D299" s="30" t="n">
        <v>45</v>
      </c>
      <c r="E299" s="3" t="n"/>
      <c r="F299" s="3" t="n"/>
      <c r="G299" s="3" t="n"/>
      <c r="H299" s="3" t="n"/>
      <c r="I299" s="3" t="n"/>
      <c r="J299" s="3" t="n"/>
      <c r="K299" s="4" t="inlineStr">
        <is>
          <t>Form10A_2026-05-27 p461; Form10A_2026-05-27 p462</t>
        </is>
      </c>
    </row>
    <row r="300">
      <c r="A300" s="39" t="inlineStr">
        <is>
          <t>Total: Operating profit</t>
        </is>
      </c>
      <c r="B300" s="18" t="n">
        <v>239</v>
      </c>
      <c r="C300" s="18" t="n">
        <v>298</v>
      </c>
      <c r="D300" s="18" t="n">
        <v>339</v>
      </c>
      <c r="E300" s="3" t="n"/>
      <c r="F300" s="3" t="n"/>
      <c r="G300" s="3" t="n"/>
      <c r="H300" s="3" t="n"/>
      <c r="I300" s="3" t="n"/>
      <c r="J300" s="3" t="n"/>
      <c r="K300" s="4" t="inlineStr">
        <is>
          <t>Form10A_2026-05-27 p461; Form10A_2026-05-27 p462</t>
        </is>
      </c>
    </row>
    <row r="301">
      <c r="A301" s="38" t="inlineStr">
        <is>
          <t>Total: Other income, net (printed in parentheses)</t>
        </is>
      </c>
      <c r="B301" s="3" t="n"/>
      <c r="C301" s="30" t="n">
        <v>-1</v>
      </c>
      <c r="D301" s="3" t="n"/>
      <c r="E301" s="3" t="n"/>
      <c r="F301" s="3" t="n"/>
      <c r="G301" s="3" t="n"/>
      <c r="H301" s="3" t="n"/>
      <c r="I301" s="3" t="n"/>
      <c r="J301" s="3" t="n"/>
      <c r="K301" s="4" t="inlineStr">
        <is>
          <t>Form10A_2026-05-27 p461</t>
        </is>
      </c>
    </row>
    <row r="302">
      <c r="A302" s="38" t="inlineStr">
        <is>
          <t>Total: Interest expense, net</t>
        </is>
      </c>
      <c r="B302" s="30" t="n">
        <v>17</v>
      </c>
      <c r="C302" s="30" t="n">
        <v>15</v>
      </c>
      <c r="D302" s="30" t="n">
        <v>13</v>
      </c>
      <c r="E302" s="3" t="n"/>
      <c r="F302" s="3" t="n"/>
      <c r="G302" s="3" t="n"/>
      <c r="H302" s="3" t="n"/>
      <c r="I302" s="3" t="n"/>
      <c r="J302" s="3" t="n"/>
      <c r="K302" s="4" t="inlineStr">
        <is>
          <t>Form10A_2026-05-27 p461; Form10A_2026-05-27 p462</t>
        </is>
      </c>
    </row>
    <row r="303">
      <c r="A303" s="38" t="inlineStr">
        <is>
          <t>Total: Income before taxes on income</t>
        </is>
      </c>
      <c r="B303" s="30" t="n">
        <v>224</v>
      </c>
      <c r="C303" s="30" t="n">
        <v>284</v>
      </c>
      <c r="D303" s="30" t="n">
        <v>326</v>
      </c>
      <c r="E303" s="3" t="n"/>
      <c r="F303" s="3" t="n"/>
      <c r="G303" s="3" t="n"/>
      <c r="H303" s="3" t="n"/>
      <c r="I303" s="3" t="n"/>
      <c r="J303" s="3" t="n"/>
      <c r="K303" s="4" t="inlineStr">
        <is>
          <t>Form10A_2026-05-27 p461; Form10A_2026-05-27 p462</t>
        </is>
      </c>
    </row>
    <row r="304">
      <c r="A304" s="14" t="inlineStr">
        <is>
          <t>Form10A_2026-05-27 · Audited Note 8 segment Depreciation &amp; Amortization</t>
        </is>
      </c>
      <c r="B304" s="15" t="n"/>
      <c r="C304" s="15" t="n"/>
      <c r="D304" s="15" t="n"/>
      <c r="E304" s="15" t="n"/>
      <c r="F304" s="15" t="n"/>
      <c r="G304" s="15" t="n"/>
      <c r="H304" s="15" t="n"/>
      <c r="I304" s="15" t="n"/>
      <c r="J304" s="15" t="n"/>
      <c r="K304" s="15" t="n"/>
    </row>
    <row r="305">
      <c r="A305" s="38" t="inlineStr">
        <is>
          <t>CARFAX: Depreciation &amp; Amortization</t>
        </is>
      </c>
      <c r="B305" s="30" t="n">
        <v>197</v>
      </c>
      <c r="C305" s="30" t="n">
        <v>198</v>
      </c>
      <c r="D305" s="30" t="n">
        <v>198</v>
      </c>
      <c r="E305" s="3" t="n"/>
      <c r="F305" s="3" t="n"/>
      <c r="G305" s="3" t="n"/>
      <c r="H305" s="3" t="n"/>
      <c r="I305" s="3" t="n"/>
      <c r="J305" s="3" t="n"/>
      <c r="K305" s="4" t="inlineStr">
        <is>
          <t>Form10A_2026-05-27 p463</t>
        </is>
      </c>
    </row>
    <row r="306">
      <c r="A306" s="38" t="inlineStr">
        <is>
          <t>B2B: Depreciation &amp; Amortization</t>
        </is>
      </c>
      <c r="B306" s="30" t="n">
        <v>110</v>
      </c>
      <c r="C306" s="30" t="n">
        <v>111</v>
      </c>
      <c r="D306" s="30" t="n">
        <v>112</v>
      </c>
      <c r="E306" s="3" t="n"/>
      <c r="F306" s="3" t="n"/>
      <c r="G306" s="3" t="n"/>
      <c r="H306" s="3" t="n"/>
      <c r="I306" s="3" t="n"/>
      <c r="J306" s="3" t="n"/>
      <c r="K306" s="4" t="inlineStr">
        <is>
          <t>Form10A_2026-05-27 p463</t>
        </is>
      </c>
    </row>
    <row r="307">
      <c r="A307" s="38" t="inlineStr">
        <is>
          <t>Total reportable segments: Depreciation &amp; Amortization</t>
        </is>
      </c>
      <c r="B307" s="30" t="n">
        <v>307</v>
      </c>
      <c r="C307" s="30" t="n">
        <v>309</v>
      </c>
      <c r="D307" s="30" t="n">
        <v>310</v>
      </c>
      <c r="E307" s="3" t="n"/>
      <c r="F307" s="3" t="n"/>
      <c r="G307" s="3" t="n"/>
      <c r="H307" s="3" t="n"/>
      <c r="I307" s="3" t="n"/>
      <c r="J307" s="3" t="n"/>
      <c r="K307" s="4" t="inlineStr">
        <is>
          <t>Form10A_2026-05-27 p463</t>
        </is>
      </c>
    </row>
    <row r="308">
      <c r="A308" s="39" t="inlineStr">
        <is>
          <t>Total: Depreciation &amp; Amortization</t>
        </is>
      </c>
      <c r="B308" s="18" t="n">
        <v>307</v>
      </c>
      <c r="C308" s="18" t="n">
        <v>309</v>
      </c>
      <c r="D308" s="18" t="n">
        <v>310</v>
      </c>
      <c r="E308" s="3" t="n"/>
      <c r="F308" s="3" t="n"/>
      <c r="G308" s="3" t="n"/>
      <c r="H308" s="3" t="n"/>
      <c r="I308" s="3" t="n"/>
      <c r="J308" s="3" t="n"/>
      <c r="K308" s="4" t="inlineStr">
        <is>
          <t>Form10A_2026-05-27 p463</t>
        </is>
      </c>
    </row>
    <row r="309">
      <c r="A309" s="14" t="inlineStr">
        <is>
          <t>Form10A_2026-05-27 · Audited Note 8 segment Capital Expenditures</t>
        </is>
      </c>
      <c r="B309" s="15" t="n"/>
      <c r="C309" s="15" t="n"/>
      <c r="D309" s="15" t="n"/>
      <c r="E309" s="15" t="n"/>
      <c r="F309" s="15" t="n"/>
      <c r="G309" s="15" t="n"/>
      <c r="H309" s="15" t="n"/>
      <c r="I309" s="15" t="n"/>
      <c r="J309" s="15" t="n"/>
      <c r="K309" s="15" t="n"/>
    </row>
    <row r="310">
      <c r="A310" s="38" t="inlineStr">
        <is>
          <t>CARFAX: Capital Expenditures</t>
        </is>
      </c>
      <c r="B310" s="30" t="n">
        <v>9</v>
      </c>
      <c r="C310" s="30" t="n">
        <v>10</v>
      </c>
      <c r="D310" s="30" t="n">
        <v>15</v>
      </c>
      <c r="E310" s="3" t="n"/>
      <c r="F310" s="3" t="n"/>
      <c r="G310" s="3" t="n"/>
      <c r="H310" s="3" t="n"/>
      <c r="I310" s="3" t="n"/>
      <c r="J310" s="3" t="n"/>
      <c r="K310" s="4" t="inlineStr">
        <is>
          <t>Form10A_2026-05-27 p463</t>
        </is>
      </c>
    </row>
    <row r="311">
      <c r="A311" s="38" t="inlineStr">
        <is>
          <t>B2B: Capital Expenditures</t>
        </is>
      </c>
      <c r="B311" s="30" t="n">
        <v>9</v>
      </c>
      <c r="C311" s="30" t="n">
        <v>5</v>
      </c>
      <c r="D311" s="30" t="n">
        <v>9</v>
      </c>
      <c r="E311" s="3" t="n"/>
      <c r="F311" s="3" t="n"/>
      <c r="G311" s="3" t="n"/>
      <c r="H311" s="3" t="n"/>
      <c r="I311" s="3" t="n"/>
      <c r="J311" s="3" t="n"/>
      <c r="K311" s="4" t="inlineStr">
        <is>
          <t>Form10A_2026-05-27 p463</t>
        </is>
      </c>
    </row>
    <row r="312">
      <c r="A312" s="39" t="inlineStr">
        <is>
          <t>Total: Capital Expenditures</t>
        </is>
      </c>
      <c r="B312" s="18" t="n">
        <v>18</v>
      </c>
      <c r="C312" s="18" t="n">
        <v>15</v>
      </c>
      <c r="D312" s="18" t="n">
        <v>24</v>
      </c>
      <c r="E312" s="3" t="n"/>
      <c r="F312" s="3" t="n"/>
      <c r="G312" s="3" t="n"/>
      <c r="H312" s="3" t="n"/>
      <c r="I312" s="3" t="n"/>
      <c r="J312" s="3" t="n"/>
      <c r="K312" s="4" t="inlineStr">
        <is>
          <t>Form10A_2026-05-27 p463</t>
        </is>
      </c>
    </row>
    <row r="313">
      <c r="A313" s="14" t="inlineStr">
        <is>
          <t>Form10A_2026-05-27 · Audited Note 8 segment Total Assets</t>
        </is>
      </c>
      <c r="B313" s="15" t="n"/>
      <c r="C313" s="15" t="n"/>
      <c r="D313" s="15" t="n"/>
      <c r="E313" s="15" t="n"/>
      <c r="F313" s="15" t="n"/>
      <c r="G313" s="15" t="n"/>
      <c r="H313" s="15" t="n"/>
      <c r="I313" s="15" t="n"/>
      <c r="J313" s="15" t="n"/>
      <c r="K313" s="15" t="n"/>
    </row>
    <row r="314">
      <c r="A314" s="38" t="inlineStr">
        <is>
          <t>CARFAX: Total Assets</t>
        </is>
      </c>
      <c r="B314" s="3" t="n"/>
      <c r="C314" s="30" t="n">
        <v>8754</v>
      </c>
      <c r="D314" s="30" t="n">
        <v>8577</v>
      </c>
      <c r="E314" s="3" t="n"/>
      <c r="F314" s="3" t="n"/>
      <c r="G314" s="3" t="n"/>
      <c r="H314" s="3" t="n"/>
      <c r="I314" s="3" t="n"/>
      <c r="J314" s="3" t="n"/>
      <c r="K314" s="4" t="inlineStr">
        <is>
          <t>Form10A_2026-05-27 p463</t>
        </is>
      </c>
    </row>
    <row r="315">
      <c r="A315" s="38" t="inlineStr">
        <is>
          <t>B2B: Total Assets</t>
        </is>
      </c>
      <c r="B315" s="3" t="n"/>
      <c r="C315" s="30" t="n">
        <v>4501</v>
      </c>
      <c r="D315" s="30" t="n">
        <v>4417</v>
      </c>
      <c r="E315" s="3" t="n"/>
      <c r="F315" s="3" t="n"/>
      <c r="G315" s="3" t="n"/>
      <c r="H315" s="3" t="n"/>
      <c r="I315" s="3" t="n"/>
      <c r="J315" s="3" t="n"/>
      <c r="K315" s="4" t="inlineStr">
        <is>
          <t>Form10A_2026-05-27 p463</t>
        </is>
      </c>
    </row>
    <row r="316">
      <c r="A316" s="38" t="inlineStr">
        <is>
          <t>Total reportable segments: Total Assets</t>
        </is>
      </c>
      <c r="B316" s="3" t="n"/>
      <c r="C316" s="30" t="n">
        <v>13255</v>
      </c>
      <c r="D316" s="30" t="n">
        <v>12994</v>
      </c>
      <c r="E316" s="3" t="n"/>
      <c r="F316" s="3" t="n"/>
      <c r="G316" s="3" t="n"/>
      <c r="H316" s="3" t="n"/>
      <c r="I316" s="3" t="n"/>
      <c r="J316" s="3" t="n"/>
      <c r="K316" s="4" t="inlineStr">
        <is>
          <t>Form10A_2026-05-27 p463</t>
        </is>
      </c>
    </row>
    <row r="317">
      <c r="A317" s="38" t="inlineStr">
        <is>
          <t>Corporate: Total Assets</t>
        </is>
      </c>
      <c r="B317" s="3" t="n"/>
      <c r="C317" s="3" t="n"/>
      <c r="D317" s="30" t="n">
        <v>1</v>
      </c>
      <c r="E317" s="3" t="n"/>
      <c r="F317" s="3" t="n"/>
      <c r="G317" s="3" t="n"/>
      <c r="H317" s="3" t="n"/>
      <c r="I317" s="3" t="n"/>
      <c r="J317" s="3" t="n"/>
      <c r="K317" s="4" t="inlineStr">
        <is>
          <t>Form10A_2026-05-27 p463</t>
        </is>
      </c>
    </row>
    <row r="318">
      <c r="A318" s="39" t="inlineStr">
        <is>
          <t>Total: Total Assets</t>
        </is>
      </c>
      <c r="B318" s="3" t="n"/>
      <c r="C318" s="18" t="n">
        <v>13255</v>
      </c>
      <c r="D318" s="18" t="n">
        <v>12995</v>
      </c>
      <c r="E318" s="3" t="n"/>
      <c r="F318" s="3" t="n"/>
      <c r="G318" s="3" t="n"/>
      <c r="H318" s="3" t="n"/>
      <c r="I318" s="3" t="n"/>
      <c r="J318" s="3" t="n"/>
      <c r="K318" s="4" t="inlineStr">
        <is>
          <t>Form10A_2026-05-27 p463</t>
        </is>
      </c>
    </row>
    <row r="319">
      <c r="A319" s="14" t="inlineStr">
        <is>
          <t>Form10A_2026-05-27 · Audited Note 8 long-lived assets by geographic region</t>
        </is>
      </c>
      <c r="B319" s="15" t="n"/>
      <c r="C319" s="15" t="n"/>
      <c r="D319" s="15" t="n"/>
      <c r="E319" s="15" t="n"/>
      <c r="F319" s="15" t="n"/>
      <c r="G319" s="15" t="n"/>
      <c r="H319" s="15" t="n"/>
      <c r="I319" s="15" t="n"/>
      <c r="J319" s="15" t="n"/>
      <c r="K319" s="15" t="n"/>
    </row>
    <row r="320">
      <c r="A320" s="38" t="inlineStr">
        <is>
          <t>U.S.: Long-lived Assets</t>
        </is>
      </c>
      <c r="B320" s="3" t="n"/>
      <c r="C320" s="30" t="n">
        <v>29</v>
      </c>
      <c r="D320" s="30" t="n">
        <v>24</v>
      </c>
      <c r="E320" s="3" t="n"/>
      <c r="F320" s="3" t="n"/>
      <c r="G320" s="3" t="n"/>
      <c r="H320" s="3" t="n"/>
      <c r="I320" s="3" t="n"/>
      <c r="J320" s="3" t="n"/>
      <c r="K320" s="4" t="inlineStr">
        <is>
          <t>Form10A_2026-05-27 p463</t>
        </is>
      </c>
    </row>
    <row r="321">
      <c r="A321" s="38" t="inlineStr">
        <is>
          <t>International: Long-lived Assets</t>
        </is>
      </c>
      <c r="B321" s="3" t="n"/>
      <c r="C321" s="30" t="n">
        <v>11</v>
      </c>
      <c r="D321" s="30" t="n">
        <v>11</v>
      </c>
      <c r="E321" s="3" t="n"/>
      <c r="F321" s="3" t="n"/>
      <c r="G321" s="3" t="n"/>
      <c r="H321" s="3" t="n"/>
      <c r="I321" s="3" t="n"/>
      <c r="J321" s="3" t="n"/>
      <c r="K321" s="4" t="inlineStr">
        <is>
          <t>Form10A_2026-05-27 p463</t>
        </is>
      </c>
    </row>
    <row r="322">
      <c r="A322" s="39" t="inlineStr">
        <is>
          <t>Total: Long-lived Assets</t>
        </is>
      </c>
      <c r="B322" s="3" t="n"/>
      <c r="C322" s="18" t="n">
        <v>40</v>
      </c>
      <c r="D322" s="18" t="n">
        <v>35</v>
      </c>
      <c r="E322" s="3" t="n"/>
      <c r="F322" s="3" t="n"/>
      <c r="G322" s="3" t="n"/>
      <c r="H322" s="3" t="n"/>
      <c r="I322" s="3" t="n"/>
      <c r="J322" s="3" t="n"/>
      <c r="K322" s="4" t="inlineStr">
        <is>
          <t>Form10A_2026-05-27 p463</t>
        </is>
      </c>
    </row>
    <row r="323">
      <c r="A323" s="14" t="inlineStr">
        <is>
          <t>Form10A_2026-05-27 · Audited Note 7 Restructuring (as of December 31, 2025)</t>
        </is>
      </c>
      <c r="B323" s="15" t="n"/>
      <c r="C323" s="15" t="n"/>
      <c r="D323" s="15" t="n"/>
      <c r="E323" s="15" t="n"/>
      <c r="F323" s="15" t="n"/>
      <c r="G323" s="15" t="n"/>
      <c r="H323" s="15" t="n"/>
      <c r="I323" s="15" t="n"/>
      <c r="J323" s="15" t="n"/>
      <c r="K323" s="15" t="n"/>
    </row>
    <row r="324">
      <c r="A324" s="38" t="inlineStr">
        <is>
          <t>2025 Restructuring Plan: CARFAX Initial Charge Recorded</t>
        </is>
      </c>
      <c r="B324" s="3" t="n"/>
      <c r="C324" s="3" t="n"/>
      <c r="D324" s="30" t="n">
        <v>1</v>
      </c>
      <c r="E324" s="3" t="n"/>
      <c r="F324" s="3" t="n"/>
      <c r="G324" s="3" t="n"/>
      <c r="H324" s="3" t="n"/>
      <c r="I324" s="3" t="n"/>
      <c r="J324" s="3" t="n"/>
      <c r="K324" s="4" t="inlineStr">
        <is>
          <t>Form10A_2026-05-27 p460</t>
        </is>
      </c>
    </row>
    <row r="325">
      <c r="A325" s="38" t="inlineStr">
        <is>
          <t>2025 Restructuring Plan: B2B Initial Charge Recorded</t>
        </is>
      </c>
      <c r="B325" s="3" t="n"/>
      <c r="C325" s="3" t="n"/>
      <c r="D325" s="30" t="n">
        <v>14</v>
      </c>
      <c r="E325" s="3" t="n"/>
      <c r="F325" s="3" t="n"/>
      <c r="G325" s="3" t="n"/>
      <c r="H325" s="3" t="n"/>
      <c r="I325" s="3" t="n"/>
      <c r="J325" s="3" t="n"/>
      <c r="K325" s="4" t="inlineStr">
        <is>
          <t>Form10A_2026-05-27 p460</t>
        </is>
      </c>
    </row>
    <row r="326">
      <c r="A326" s="38" t="inlineStr">
        <is>
          <t>2025 Restructuring Plan: Total Initial Charge Recorded</t>
        </is>
      </c>
      <c r="B326" s="3" t="n"/>
      <c r="C326" s="3" t="n"/>
      <c r="D326" s="30" t="n">
        <v>15</v>
      </c>
      <c r="E326" s="3" t="n"/>
      <c r="F326" s="3" t="n"/>
      <c r="G326" s="3" t="n"/>
      <c r="H326" s="3" t="n"/>
      <c r="I326" s="3" t="n"/>
      <c r="J326" s="3" t="n"/>
      <c r="K326" s="4" t="inlineStr">
        <is>
          <t>Form10A_2026-05-27 p460</t>
        </is>
      </c>
    </row>
    <row r="327">
      <c r="A327" s="38" t="inlineStr">
        <is>
          <t>2025 Restructuring Plan: Total Ending Reserve Balance</t>
        </is>
      </c>
      <c r="B327" s="3" t="n"/>
      <c r="C327" s="3" t="n"/>
      <c r="D327" s="30" t="n">
        <v>11</v>
      </c>
      <c r="E327" s="3" t="n"/>
      <c r="F327" s="3" t="n"/>
      <c r="G327" s="3" t="n"/>
      <c r="H327" s="3" t="n"/>
      <c r="I327" s="3" t="n"/>
      <c r="J327" s="3" t="n"/>
      <c r="K327" s="4" t="inlineStr">
        <is>
          <t>Form10A_2026-05-27 p460</t>
        </is>
      </c>
    </row>
    <row r="328">
      <c r="A328" s="38" t="inlineStr">
        <is>
          <t>2024 Restructuring Plan: Total Initial Charge Recorded</t>
        </is>
      </c>
      <c r="B328" s="3" t="n"/>
      <c r="C328" s="3" t="n"/>
      <c r="D328" s="30" t="n">
        <v>6</v>
      </c>
      <c r="E328" s="3" t="n"/>
      <c r="F328" s="3" t="n"/>
      <c r="G328" s="3" t="n"/>
      <c r="H328" s="3" t="n"/>
      <c r="I328" s="3" t="n"/>
      <c r="J328" s="3" t="n"/>
      <c r="K328" s="4" t="inlineStr">
        <is>
          <t>Form10A_2026-05-27 p460</t>
        </is>
      </c>
    </row>
    <row r="329">
      <c r="A329" s="38" t="inlineStr">
        <is>
          <t>2024 Restructuring Plan: Total Ending Reserve Balance</t>
        </is>
      </c>
      <c r="B329" s="3" t="n"/>
      <c r="C329" s="3" t="n"/>
      <c r="D329" s="30" t="n">
        <v>1</v>
      </c>
      <c r="E329" s="3" t="n"/>
      <c r="F329" s="3" t="n"/>
      <c r="G329" s="3" t="n"/>
      <c r="H329" s="3" t="n"/>
      <c r="I329" s="3" t="n"/>
      <c r="J329" s="3" t="n"/>
      <c r="K329" s="4" t="inlineStr">
        <is>
          <t>Form10A_2026-05-27 p460</t>
        </is>
      </c>
    </row>
    <row r="330">
      <c r="A330" s="14" t="inlineStr">
        <is>
          <t>Form10A_2026-05-27 · Segment measure definition (Form 10/A)</t>
        </is>
      </c>
      <c r="B330" s="15" t="n"/>
      <c r="C330" s="15" t="n"/>
      <c r="D330" s="15" t="n"/>
      <c r="E330" s="15" t="n"/>
      <c r="F330" s="15" t="n"/>
      <c r="G330" s="15" t="n"/>
      <c r="H330" s="15" t="n"/>
      <c r="I330" s="15" t="n"/>
      <c r="J330" s="15" t="n"/>
      <c r="K330" s="15" t="n"/>
    </row>
    <row r="331">
      <c r="A331" s="38" t="inlineStr">
        <is>
          <t>Definition: Segment operating profit (CODM measure pre-Q2 2026)</t>
        </is>
      </c>
      <c r="B331" s="3" t="n"/>
      <c r="C331" s="3" t="n"/>
      <c r="D331" s="3" t="n"/>
      <c r="E331" s="3" t="n"/>
      <c r="F331" s="3" t="n"/>
      <c r="G331" s="3" t="n"/>
      <c r="H331" s="42" t="inlineStr">
        <is>
          <t>Segment operating profit is defined as operating profit before Corporate Unallocated expense.</t>
        </is>
      </c>
      <c r="I331" s="3" t="n"/>
      <c r="J331" s="3" t="n"/>
      <c r="K331" s="4" t="inlineStr">
        <is>
          <t>Form10A_2026-05-27 p347</t>
        </is>
      </c>
    </row>
    <row r="332">
      <c r="A332" s="14" t="inlineStr">
        <is>
          <t>Form10A_2026-05-27 · Segment measure definition (Form 10/A audited Note 8)</t>
        </is>
      </c>
      <c r="B332" s="15" t="n"/>
      <c r="C332" s="15" t="n"/>
      <c r="D332" s="15" t="n"/>
      <c r="E332" s="15" t="n"/>
      <c r="F332" s="15" t="n"/>
      <c r="G332" s="15" t="n"/>
      <c r="H332" s="15" t="n"/>
      <c r="I332" s="15" t="n"/>
      <c r="J332" s="15" t="n"/>
      <c r="K332" s="15" t="n"/>
    </row>
    <row r="333">
      <c r="A333" s="38" t="inlineStr">
        <is>
          <t>Definition: Segment operating profit exclusions</t>
        </is>
      </c>
      <c r="B333" s="3" t="n"/>
      <c r="C333" s="3" t="n"/>
      <c r="D333" s="42" t="inlineStr">
        <is>
          <t>Segment operating profit does not include Corporate Unallocated expense, Other income, net, or Interest expense, net.</t>
        </is>
      </c>
      <c r="E333" s="3" t="n"/>
      <c r="F333" s="3" t="n"/>
      <c r="G333" s="3" t="n"/>
      <c r="H333" s="3" t="n"/>
      <c r="I333" s="3" t="n"/>
      <c r="J333" s="3" t="n"/>
      <c r="K333" s="4" t="inlineStr">
        <is>
          <t>Form10A_2026-05-27 p461</t>
        </is>
      </c>
    </row>
    <row r="334">
      <c r="A334" s="38" t="inlineStr">
        <is>
          <t>Segment realignment / allocation refinement (paraphrase)</t>
        </is>
      </c>
      <c r="B334" s="3" t="n"/>
      <c r="C334" s="3" t="n"/>
      <c r="D334" s="42" t="inlineStr">
        <is>
          <t>Segment structure realigned during 2025 into two operating/reportable segments; 2025 refinement of segment cost allocation methodologies applied to all prior periods; combined results unchanged.</t>
        </is>
      </c>
      <c r="E334" s="3" t="n"/>
      <c r="F334" s="3" t="n"/>
      <c r="G334" s="3" t="n"/>
      <c r="H334" s="3" t="n"/>
      <c r="I334" s="3" t="n"/>
      <c r="J334" s="3" t="n"/>
      <c r="K334" s="4" t="inlineStr">
        <is>
          <t>Form10A_2026-05-27 p461</t>
        </is>
      </c>
    </row>
    <row r="335">
      <c r="A335" s="14" t="inlineStr">
        <is>
          <t>10Q_Q2-2026 · Segment measure definition (10-Q Note 7)</t>
        </is>
      </c>
      <c r="B335" s="15" t="n"/>
      <c r="C335" s="15" t="n"/>
      <c r="D335" s="15" t="n"/>
      <c r="E335" s="15" t="n"/>
      <c r="F335" s="15" t="n"/>
      <c r="G335" s="15" t="n"/>
      <c r="H335" s="15" t="n"/>
      <c r="I335" s="15" t="n"/>
      <c r="J335" s="15" t="n"/>
      <c r="K335" s="15" t="n"/>
    </row>
    <row r="336">
      <c r="A336" s="38" t="inlineStr">
        <is>
          <t>Definition: segment profitability measure change</t>
        </is>
      </c>
      <c r="B336" s="3" t="n"/>
      <c r="C336" s="3" t="n"/>
      <c r="D336" s="3" t="n"/>
      <c r="E336" s="3" t="n"/>
      <c r="F336" s="3" t="n"/>
      <c r="G336" s="3" t="n"/>
      <c r="H336" s="3" t="n"/>
      <c r="I336" s="42" t="inlineStr">
        <is>
          <t>Beginning in the second quarter of 2026, the Company changed its segment profitability measure from segment operating profit to Adjusted EBITDA and recast prior period amounts accordingly.</t>
        </is>
      </c>
      <c r="J336" s="3" t="n"/>
      <c r="K336" s="4" t="inlineStr">
        <is>
          <t>10Q_Q2-2026 p14</t>
        </is>
      </c>
    </row>
    <row r="337">
      <c r="A337" s="38" t="inlineStr">
        <is>
          <t>Definition: Adjusted EBITDA (10-Q)</t>
        </is>
      </c>
      <c r="B337" s="3" t="n"/>
      <c r="C337" s="3" t="n"/>
      <c r="D337" s="3" t="n"/>
      <c r="E337" s="3" t="n"/>
      <c r="F337" s="3" t="n"/>
      <c r="G337" s="3" t="n"/>
      <c r="H337" s="3" t="n"/>
      <c r="I337" s="42" t="inlineStr">
        <is>
          <t>Net income adjusted to exclude (1) interest expense, net, (2) provisions for income taxes, (3) depreciation and amortization, (4) stock-based compensation, (5) transaction costs related to the stand-up of the Spin Business in connection with the Separation, and (6) employee severance charges and other costs that are not representative of the underlying economics of the periods presented.</t>
        </is>
      </c>
      <c r="J337" s="3" t="n"/>
      <c r="K337" s="4" t="inlineStr">
        <is>
          <t>10Q_Q2-2026 p14</t>
        </is>
      </c>
    </row>
    <row r="338">
      <c r="A338" s="38" t="inlineStr">
        <is>
          <t>Definition: segment expenses (1)</t>
        </is>
      </c>
      <c r="B338" s="3" t="n"/>
      <c r="C338" s="3" t="n"/>
      <c r="D338" s="3" t="n"/>
      <c r="E338" s="3" t="n"/>
      <c r="F338" s="3" t="n"/>
      <c r="G338" s="3" t="n"/>
      <c r="H338" s="3" t="n"/>
      <c r="I338" s="42" t="inlineStr">
        <is>
          <t>Segment expenses excluding the Adjusted EBITDA adjustments primarily include an aggregation of compensation costs, advertising and promotion costs, technology costs and strategic investments.</t>
        </is>
      </c>
      <c r="J338" s="3" t="n"/>
      <c r="K338" s="4" t="inlineStr">
        <is>
          <t>10Q_Q2-2026 p14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4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5" customWidth="1" min="11" max="11"/>
    <col hidden="1" width="13" customWidth="1" min="26" max="26"/>
  </cols>
  <sheetData>
    <row r="1" ht="20" customHeight="1">
      <c r="A1" s="1" t="inlineStr">
        <is>
          <t>Revenue disaggregation — as printed</t>
        </is>
      </c>
      <c r="B1" s="2" t="n"/>
      <c r="C1" s="2" t="n"/>
      <c r="D1" s="2" t="n"/>
      <c r="E1" s="2" t="n"/>
      <c r="F1" s="2" t="n"/>
      <c r="G1" s="2" t="n"/>
      <c r="H1" s="2" t="n"/>
      <c r="I1" s="2" t="n"/>
      <c r="J1" s="2" t="n"/>
      <c r="K1" s="2" t="n"/>
    </row>
    <row r="2">
      <c r="A2" s="4" t="inlineStr">
        <is>
          <t>No revenue by brand/product or by B2B business line is disclosed. Geography = U.S. vs International only.</t>
        </is>
      </c>
      <c r="B2" s="3" t="n"/>
      <c r="C2" s="3" t="n"/>
      <c r="D2" s="3" t="n"/>
      <c r="E2" s="3" t="n"/>
      <c r="F2" s="3" t="n"/>
      <c r="G2" s="3" t="n"/>
      <c r="H2" s="3" t="n"/>
      <c r="I2" s="3" t="n"/>
      <c r="J2" s="3" t="n"/>
      <c r="K2" s="3" t="n"/>
    </row>
    <row r="3">
      <c r="A3" s="3" t="n"/>
      <c r="B3" s="3" t="n"/>
      <c r="C3" s="3" t="n"/>
      <c r="D3" s="3" t="n"/>
      <c r="E3" s="3" t="n"/>
      <c r="F3" s="3" t="n"/>
      <c r="G3" s="3" t="n"/>
      <c r="H3" s="3" t="n"/>
      <c r="I3" s="3" t="n"/>
      <c r="J3" s="3" t="n"/>
      <c r="K3" s="3" t="n"/>
    </row>
    <row r="4">
      <c r="A4" s="9" t="inlineStr">
        <is>
          <t>Line item (verbatim caption)</t>
        </is>
      </c>
      <c r="B4" s="29" t="inlineStr">
        <is>
          <t>FY2023</t>
        </is>
      </c>
      <c r="C4" s="29" t="inlineStr">
        <is>
          <t>FY2024</t>
        </is>
      </c>
      <c r="D4" s="29" t="inlineStr">
        <is>
          <t>FY2025</t>
        </is>
      </c>
      <c r="E4" s="29" t="inlineStr">
        <is>
          <t>Q1-2025</t>
        </is>
      </c>
      <c r="F4" s="29" t="inlineStr">
        <is>
          <t>Q2-2025</t>
        </is>
      </c>
      <c r="G4" s="29" t="inlineStr">
        <is>
          <t>6M-2025</t>
        </is>
      </c>
      <c r="H4" s="29" t="inlineStr">
        <is>
          <t>Q1-2026</t>
        </is>
      </c>
      <c r="I4" s="29" t="inlineStr">
        <is>
          <t>Q2-2026</t>
        </is>
      </c>
      <c r="J4" s="29" t="inlineStr">
        <is>
          <t>6M-2026</t>
        </is>
      </c>
      <c r="K4" s="29" t="inlineStr">
        <is>
          <t>Source (doc p.)</t>
        </is>
      </c>
    </row>
    <row r="5">
      <c r="A5" s="14" t="inlineStr">
        <is>
          <t>Form10A_2026-05-27 · MD&amp;A Revenue (three months ended March 31)</t>
        </is>
      </c>
      <c r="B5" s="15" t="n"/>
      <c r="C5" s="15" t="n"/>
      <c r="D5" s="15" t="n"/>
      <c r="E5" s="15" t="n"/>
      <c r="F5" s="15" t="n"/>
      <c r="G5" s="15" t="n"/>
      <c r="H5" s="15" t="n"/>
      <c r="I5" s="15" t="n"/>
      <c r="J5" s="15" t="n"/>
      <c r="K5" s="15" t="n"/>
    </row>
    <row r="6">
      <c r="A6" s="39" t="inlineStr">
        <is>
          <t>Revenue</t>
        </is>
      </c>
      <c r="B6" s="3" t="n"/>
      <c r="C6" s="3" t="n"/>
      <c r="D6" s="3" t="n"/>
      <c r="E6" s="18" t="n">
        <v>420</v>
      </c>
      <c r="F6" s="3" t="n"/>
      <c r="G6" s="3" t="n"/>
      <c r="H6" s="18" t="n">
        <v>455</v>
      </c>
      <c r="I6" s="3" t="n"/>
      <c r="J6" s="3" t="n"/>
      <c r="K6" s="4" t="inlineStr">
        <is>
          <t>Form10A_2026-05-27 p346</t>
        </is>
      </c>
    </row>
    <row r="7">
      <c r="A7" s="38" t="inlineStr">
        <is>
          <t>Revenue % Change</t>
        </is>
      </c>
      <c r="B7" s="3" t="n"/>
      <c r="C7" s="3" t="n"/>
      <c r="D7" s="3" t="n"/>
      <c r="E7" s="3" t="n"/>
      <c r="F7" s="3" t="n"/>
      <c r="G7" s="3" t="n"/>
      <c r="H7" s="41" t="n">
        <v>8</v>
      </c>
      <c r="I7" s="3" t="n"/>
      <c r="J7" s="3" t="n"/>
      <c r="K7" s="4" t="inlineStr">
        <is>
          <t>Form10A_2026-05-27 p346</t>
        </is>
      </c>
    </row>
    <row r="8">
      <c r="A8" s="38" t="inlineStr">
        <is>
          <t>Subscription revenue</t>
        </is>
      </c>
      <c r="B8" s="3" t="n"/>
      <c r="C8" s="3" t="n"/>
      <c r="D8" s="3" t="n"/>
      <c r="E8" s="30" t="n">
        <v>343</v>
      </c>
      <c r="F8" s="3" t="n"/>
      <c r="G8" s="3" t="n"/>
      <c r="H8" s="30" t="n">
        <v>372</v>
      </c>
      <c r="I8" s="3" t="n"/>
      <c r="J8" s="3" t="n"/>
      <c r="K8" s="4" t="inlineStr">
        <is>
          <t>Form10A_2026-05-27 p346</t>
        </is>
      </c>
    </row>
    <row r="9">
      <c r="A9" s="38" t="inlineStr">
        <is>
          <t>Subscription revenue % Change</t>
        </is>
      </c>
      <c r="B9" s="3" t="n"/>
      <c r="C9" s="3" t="n"/>
      <c r="D9" s="3" t="n"/>
      <c r="E9" s="3" t="n"/>
      <c r="F9" s="3" t="n"/>
      <c r="G9" s="3" t="n"/>
      <c r="H9" s="41" t="n">
        <v>8</v>
      </c>
      <c r="I9" s="3" t="n"/>
      <c r="J9" s="3" t="n"/>
      <c r="K9" s="4" t="inlineStr">
        <is>
          <t>Form10A_2026-05-27 p346</t>
        </is>
      </c>
    </row>
    <row r="10">
      <c r="A10" s="38" t="inlineStr">
        <is>
          <t>Non - subscription revenue</t>
        </is>
      </c>
      <c r="B10" s="3" t="n"/>
      <c r="C10" s="3" t="n"/>
      <c r="D10" s="3" t="n"/>
      <c r="E10" s="30" t="n">
        <v>77</v>
      </c>
      <c r="F10" s="3" t="n"/>
      <c r="G10" s="3" t="n"/>
      <c r="H10" s="30" t="n">
        <v>83</v>
      </c>
      <c r="I10" s="3" t="n"/>
      <c r="J10" s="3" t="n"/>
      <c r="K10" s="4" t="inlineStr">
        <is>
          <t>Form10A_2026-05-27 p346</t>
        </is>
      </c>
    </row>
    <row r="11">
      <c r="A11" s="38" t="inlineStr">
        <is>
          <t>Non - subscription revenue % Change</t>
        </is>
      </c>
      <c r="B11" s="3" t="n"/>
      <c r="C11" s="3" t="n"/>
      <c r="D11" s="3" t="n"/>
      <c r="E11" s="3" t="n"/>
      <c r="F11" s="3" t="n"/>
      <c r="G11" s="3" t="n"/>
      <c r="H11" s="41" t="n">
        <v>7</v>
      </c>
      <c r="I11" s="3" t="n"/>
      <c r="J11" s="3" t="n"/>
      <c r="K11" s="4" t="inlineStr">
        <is>
          <t>Form10A_2026-05-27 p346</t>
        </is>
      </c>
    </row>
    <row r="12">
      <c r="A12" s="38" t="inlineStr">
        <is>
          <t>% of total revenue: Subscription revenue</t>
        </is>
      </c>
      <c r="B12" s="3" t="n"/>
      <c r="C12" s="3" t="n"/>
      <c r="D12" s="3" t="n"/>
      <c r="E12" s="41" t="n">
        <v>82</v>
      </c>
      <c r="F12" s="3" t="n"/>
      <c r="G12" s="3" t="n"/>
      <c r="H12" s="41" t="n">
        <v>82</v>
      </c>
      <c r="I12" s="3" t="n"/>
      <c r="J12" s="3" t="n"/>
      <c r="K12" s="4" t="inlineStr">
        <is>
          <t>Form10A_2026-05-27 p346</t>
        </is>
      </c>
    </row>
    <row r="13">
      <c r="A13" s="38" t="inlineStr">
        <is>
          <t>U.S. revenue % Change</t>
        </is>
      </c>
      <c r="B13" s="3" t="n"/>
      <c r="C13" s="3" t="n"/>
      <c r="D13" s="3" t="n"/>
      <c r="E13" s="3" t="n"/>
      <c r="F13" s="3" t="n"/>
      <c r="G13" s="3" t="n"/>
      <c r="H13" s="41" t="n">
        <v>7</v>
      </c>
      <c r="I13" s="3" t="n"/>
      <c r="J13" s="3" t="n"/>
      <c r="K13" s="4" t="inlineStr">
        <is>
          <t>Form10A_2026-05-27 p346</t>
        </is>
      </c>
    </row>
    <row r="14">
      <c r="A14" s="38" t="inlineStr">
        <is>
          <t>% of total revenue: Non - subscription revenue</t>
        </is>
      </c>
      <c r="B14" s="3" t="n"/>
      <c r="C14" s="3" t="n"/>
      <c r="D14" s="3" t="n"/>
      <c r="E14" s="41" t="n">
        <v>18</v>
      </c>
      <c r="F14" s="3" t="n"/>
      <c r="G14" s="3" t="n"/>
      <c r="H14" s="41" t="n">
        <v>18</v>
      </c>
      <c r="I14" s="3" t="n"/>
      <c r="J14" s="3" t="n"/>
      <c r="K14" s="4" t="inlineStr">
        <is>
          <t>Form10A_2026-05-27 p346</t>
        </is>
      </c>
    </row>
    <row r="15">
      <c r="A15" s="38" t="inlineStr">
        <is>
          <t>International revenue % Change</t>
        </is>
      </c>
      <c r="B15" s="3" t="n"/>
      <c r="C15" s="3" t="n"/>
      <c r="D15" s="3" t="n"/>
      <c r="E15" s="3" t="n"/>
      <c r="F15" s="3" t="n"/>
      <c r="G15" s="3" t="n"/>
      <c r="H15" s="41" t="n">
        <v>12</v>
      </c>
      <c r="I15" s="3" t="n"/>
      <c r="J15" s="3" t="n"/>
      <c r="K15" s="4" t="inlineStr">
        <is>
          <t>Form10A_2026-05-27 p346</t>
        </is>
      </c>
    </row>
    <row r="16">
      <c r="A16" s="38" t="inlineStr">
        <is>
          <t>U.S. revenue</t>
        </is>
      </c>
      <c r="B16" s="3" t="n"/>
      <c r="C16" s="3" t="n"/>
      <c r="D16" s="3" t="n"/>
      <c r="E16" s="30" t="n">
        <v>350</v>
      </c>
      <c r="F16" s="3" t="n"/>
      <c r="G16" s="3" t="n"/>
      <c r="H16" s="30" t="n">
        <v>376</v>
      </c>
      <c r="I16" s="3" t="n"/>
      <c r="J16" s="3" t="n"/>
      <c r="K16" s="4" t="inlineStr">
        <is>
          <t>Form10A_2026-05-27 p346</t>
        </is>
      </c>
    </row>
    <row r="17">
      <c r="A17" s="38" t="inlineStr">
        <is>
          <t>International revenue</t>
        </is>
      </c>
      <c r="B17" s="3" t="n"/>
      <c r="C17" s="3" t="n"/>
      <c r="D17" s="3" t="n"/>
      <c r="E17" s="30" t="n">
        <v>70</v>
      </c>
      <c r="F17" s="3" t="n"/>
      <c r="G17" s="3" t="n"/>
      <c r="H17" s="30" t="n">
        <v>79</v>
      </c>
      <c r="I17" s="3" t="n"/>
      <c r="J17" s="3" t="n"/>
      <c r="K17" s="4" t="inlineStr">
        <is>
          <t>Form10A_2026-05-27 p346</t>
        </is>
      </c>
    </row>
    <row r="18">
      <c r="A18" s="38" t="inlineStr">
        <is>
          <t>% of total revenue: U.S. revenue</t>
        </is>
      </c>
      <c r="B18" s="3" t="n"/>
      <c r="C18" s="3" t="n"/>
      <c r="D18" s="3" t="n"/>
      <c r="E18" s="41" t="n">
        <v>83</v>
      </c>
      <c r="F18" s="3" t="n"/>
      <c r="G18" s="3" t="n"/>
      <c r="H18" s="41" t="n">
        <v>83</v>
      </c>
      <c r="I18" s="3" t="n"/>
      <c r="J18" s="3" t="n"/>
      <c r="K18" s="4" t="inlineStr">
        <is>
          <t>Form10A_2026-05-27 p346</t>
        </is>
      </c>
    </row>
    <row r="19">
      <c r="A19" s="38" t="inlineStr">
        <is>
          <t>% of total revenue: International revenue</t>
        </is>
      </c>
      <c r="B19" s="3" t="n"/>
      <c r="C19" s="3" t="n"/>
      <c r="D19" s="3" t="n"/>
      <c r="E19" s="41" t="n">
        <v>17</v>
      </c>
      <c r="F19" s="3" t="n"/>
      <c r="G19" s="3" t="n"/>
      <c r="H19" s="41" t="n">
        <v>17</v>
      </c>
      <c r="I19" s="3" t="n"/>
      <c r="J19" s="3" t="n"/>
      <c r="K19" s="4" t="inlineStr">
        <is>
          <t>Form10A_2026-05-27 p346</t>
        </is>
      </c>
    </row>
    <row r="20">
      <c r="A20" s="14" t="inlineStr">
        <is>
          <t>10Q_Q2-2026 · Note 7 revenue disaggregated by revenue type</t>
        </is>
      </c>
      <c r="B20" s="15" t="n"/>
      <c r="C20" s="15" t="n"/>
      <c r="D20" s="15" t="n"/>
      <c r="E20" s="15" t="n"/>
      <c r="F20" s="15" t="n"/>
      <c r="G20" s="15" t="n"/>
      <c r="H20" s="15" t="n"/>
      <c r="I20" s="15" t="n"/>
      <c r="J20" s="15" t="n"/>
      <c r="K20" s="15" t="n"/>
    </row>
    <row r="21">
      <c r="A21" s="38" t="inlineStr">
        <is>
          <t>CARFAX: Subscription</t>
        </is>
      </c>
      <c r="B21" s="3" t="n"/>
      <c r="C21" s="3" t="n"/>
      <c r="D21" s="3" t="n"/>
      <c r="E21" s="3" t="n"/>
      <c r="F21" s="30" t="n">
        <v>234</v>
      </c>
      <c r="G21" s="30" t="n">
        <v>459</v>
      </c>
      <c r="H21" s="3" t="n"/>
      <c r="I21" s="30" t="n">
        <v>252</v>
      </c>
      <c r="J21" s="30" t="n">
        <v>494</v>
      </c>
      <c r="K21" s="4" t="inlineStr">
        <is>
          <t>10Q_Q2-2026 p15</t>
        </is>
      </c>
    </row>
    <row r="22">
      <c r="A22" s="38" t="inlineStr">
        <is>
          <t>B2B: Subscription</t>
        </is>
      </c>
      <c r="B22" s="3" t="n"/>
      <c r="C22" s="3" t="n"/>
      <c r="D22" s="3" t="n"/>
      <c r="E22" s="3" t="n"/>
      <c r="F22" s="30" t="n">
        <v>124</v>
      </c>
      <c r="G22" s="30" t="n">
        <v>242</v>
      </c>
      <c r="H22" s="3" t="n"/>
      <c r="I22" s="30" t="n">
        <v>131</v>
      </c>
      <c r="J22" s="30" t="n">
        <v>261</v>
      </c>
      <c r="K22" s="4" t="inlineStr">
        <is>
          <t>10Q_Q2-2026 p15</t>
        </is>
      </c>
    </row>
    <row r="23">
      <c r="A23" s="38" t="inlineStr">
        <is>
          <t>Total: Subscription</t>
        </is>
      </c>
      <c r="B23" s="3" t="n"/>
      <c r="C23" s="3" t="n"/>
      <c r="D23" s="3" t="n"/>
      <c r="E23" s="3" t="n"/>
      <c r="F23" s="30" t="n">
        <v>358</v>
      </c>
      <c r="G23" s="30" t="n">
        <v>701</v>
      </c>
      <c r="H23" s="3" t="n"/>
      <c r="I23" s="30" t="n">
        <v>383</v>
      </c>
      <c r="J23" s="30" t="n">
        <v>755</v>
      </c>
      <c r="K23" s="4" t="inlineStr">
        <is>
          <t>10Q_Q2-2026 p15</t>
        </is>
      </c>
    </row>
    <row r="24">
      <c r="A24" s="38" t="inlineStr">
        <is>
          <t>CARFAX: Non-subscription</t>
        </is>
      </c>
      <c r="B24" s="3" t="n"/>
      <c r="C24" s="3" t="n"/>
      <c r="D24" s="3" t="n"/>
      <c r="E24" s="3" t="n"/>
      <c r="F24" s="30" t="n">
        <v>55</v>
      </c>
      <c r="G24" s="30" t="n">
        <v>105</v>
      </c>
      <c r="H24" s="3" t="n"/>
      <c r="I24" s="30" t="n">
        <v>60</v>
      </c>
      <c r="J24" s="30" t="n">
        <v>116</v>
      </c>
      <c r="K24" s="4" t="inlineStr">
        <is>
          <t>10Q_Q2-2026 p15</t>
        </is>
      </c>
    </row>
    <row r="25">
      <c r="A25" s="38" t="inlineStr">
        <is>
          <t>B2B: Non-subscription</t>
        </is>
      </c>
      <c r="B25" s="3" t="n"/>
      <c r="C25" s="3" t="n"/>
      <c r="D25" s="3" t="n"/>
      <c r="E25" s="3" t="n"/>
      <c r="F25" s="30" t="n">
        <v>26</v>
      </c>
      <c r="G25" s="30" t="n">
        <v>53</v>
      </c>
      <c r="H25" s="3" t="n"/>
      <c r="I25" s="30" t="n">
        <v>25</v>
      </c>
      <c r="J25" s="30" t="n">
        <v>52</v>
      </c>
      <c r="K25" s="4" t="inlineStr">
        <is>
          <t>10Q_Q2-2026 p15</t>
        </is>
      </c>
    </row>
    <row r="26">
      <c r="A26" s="38" t="inlineStr">
        <is>
          <t>Total: Non-subscription</t>
        </is>
      </c>
      <c r="B26" s="3" t="n"/>
      <c r="C26" s="3" t="n"/>
      <c r="D26" s="3" t="n"/>
      <c r="E26" s="3" t="n"/>
      <c r="F26" s="30" t="n">
        <v>81</v>
      </c>
      <c r="G26" s="30" t="n">
        <v>158</v>
      </c>
      <c r="H26" s="3" t="n"/>
      <c r="I26" s="30" t="n">
        <v>85</v>
      </c>
      <c r="J26" s="30" t="n">
        <v>168</v>
      </c>
      <c r="K26" s="4" t="inlineStr">
        <is>
          <t>10Q_Q2-2026 p15</t>
        </is>
      </c>
    </row>
    <row r="27">
      <c r="A27" s="39" t="inlineStr">
        <is>
          <t>CARFAX: Total revenue</t>
        </is>
      </c>
      <c r="B27" s="3" t="n"/>
      <c r="C27" s="3" t="n"/>
      <c r="D27" s="3" t="n"/>
      <c r="E27" s="3" t="n"/>
      <c r="F27" s="18" t="n">
        <v>289</v>
      </c>
      <c r="G27" s="18" t="n">
        <v>564</v>
      </c>
      <c r="H27" s="3" t="n"/>
      <c r="I27" s="18" t="n">
        <v>312</v>
      </c>
      <c r="J27" s="18" t="n">
        <v>610</v>
      </c>
      <c r="K27" s="4" t="inlineStr">
        <is>
          <t>10Q_Q2-2026 p15</t>
        </is>
      </c>
    </row>
    <row r="28">
      <c r="A28" s="39" t="inlineStr">
        <is>
          <t>B2B: Total revenue</t>
        </is>
      </c>
      <c r="B28" s="3" t="n"/>
      <c r="C28" s="3" t="n"/>
      <c r="D28" s="3" t="n"/>
      <c r="E28" s="3" t="n"/>
      <c r="F28" s="18" t="n">
        <v>150</v>
      </c>
      <c r="G28" s="18" t="n">
        <v>295</v>
      </c>
      <c r="H28" s="3" t="n"/>
      <c r="I28" s="18" t="n">
        <v>156</v>
      </c>
      <c r="J28" s="18" t="n">
        <v>313</v>
      </c>
      <c r="K28" s="4" t="inlineStr">
        <is>
          <t>10Q_Q2-2026 p15</t>
        </is>
      </c>
    </row>
    <row r="29">
      <c r="A29" s="39" t="inlineStr">
        <is>
          <t>Total: Total revenue</t>
        </is>
      </c>
      <c r="B29" s="3" t="n"/>
      <c r="C29" s="3" t="n"/>
      <c r="D29" s="3" t="n"/>
      <c r="E29" s="3" t="n"/>
      <c r="F29" s="18" t="n">
        <v>439</v>
      </c>
      <c r="G29" s="18" t="n">
        <v>859</v>
      </c>
      <c r="H29" s="3" t="n"/>
      <c r="I29" s="18" t="n">
        <v>468</v>
      </c>
      <c r="J29" s="18" t="n">
        <v>923</v>
      </c>
      <c r="K29" s="4" t="inlineStr">
        <is>
          <t>10Q_Q2-2026 p15</t>
        </is>
      </c>
    </row>
    <row r="30">
      <c r="A30" s="38" t="inlineStr">
        <is>
          <t>CARFAX: Timing of revenue recognition - Services transferred at a point in time</t>
        </is>
      </c>
      <c r="B30" s="3" t="n"/>
      <c r="C30" s="3" t="n"/>
      <c r="D30" s="3" t="n"/>
      <c r="E30" s="3" t="n"/>
      <c r="F30" s="30" t="n">
        <v>55</v>
      </c>
      <c r="G30" s="30" t="n">
        <v>105</v>
      </c>
      <c r="H30" s="3" t="n"/>
      <c r="I30" s="30" t="n">
        <v>60</v>
      </c>
      <c r="J30" s="30" t="n">
        <v>116</v>
      </c>
      <c r="K30" s="4" t="inlineStr">
        <is>
          <t>10Q_Q2-2026 p15</t>
        </is>
      </c>
    </row>
    <row r="31">
      <c r="A31" s="38" t="inlineStr">
        <is>
          <t>B2B: Timing of revenue recognition - Services transferred at a point in time</t>
        </is>
      </c>
      <c r="B31" s="3" t="n"/>
      <c r="C31" s="3" t="n"/>
      <c r="D31" s="3" t="n"/>
      <c r="E31" s="3" t="n"/>
      <c r="F31" s="30" t="n">
        <v>26</v>
      </c>
      <c r="G31" s="30" t="n">
        <v>53</v>
      </c>
      <c r="H31" s="3" t="n"/>
      <c r="I31" s="30" t="n">
        <v>25</v>
      </c>
      <c r="J31" s="30" t="n">
        <v>52</v>
      </c>
      <c r="K31" s="4" t="inlineStr">
        <is>
          <t>10Q_Q2-2026 p15</t>
        </is>
      </c>
    </row>
    <row r="32">
      <c r="A32" s="38" t="inlineStr">
        <is>
          <t>Total: Timing of revenue recognition - Services transferred at a point in time</t>
        </is>
      </c>
      <c r="B32" s="3" t="n"/>
      <c r="C32" s="3" t="n"/>
      <c r="D32" s="3" t="n"/>
      <c r="E32" s="3" t="n"/>
      <c r="F32" s="30" t="n">
        <v>81</v>
      </c>
      <c r="G32" s="30" t="n">
        <v>158</v>
      </c>
      <c r="H32" s="3" t="n"/>
      <c r="I32" s="30" t="n">
        <v>85</v>
      </c>
      <c r="J32" s="30" t="n">
        <v>168</v>
      </c>
      <c r="K32" s="4" t="inlineStr">
        <is>
          <t>10Q_Q2-2026 p15</t>
        </is>
      </c>
    </row>
    <row r="33">
      <c r="A33" s="38" t="inlineStr">
        <is>
          <t>CARFAX: Timing of revenue recognition - Services transferred over time</t>
        </is>
      </c>
      <c r="B33" s="3" t="n"/>
      <c r="C33" s="3" t="n"/>
      <c r="D33" s="3" t="n"/>
      <c r="E33" s="3" t="n"/>
      <c r="F33" s="30" t="n">
        <v>234</v>
      </c>
      <c r="G33" s="30" t="n">
        <v>459</v>
      </c>
      <c r="H33" s="3" t="n"/>
      <c r="I33" s="30" t="n">
        <v>252</v>
      </c>
      <c r="J33" s="30" t="n">
        <v>494</v>
      </c>
      <c r="K33" s="4" t="inlineStr">
        <is>
          <t>10Q_Q2-2026 p15</t>
        </is>
      </c>
    </row>
    <row r="34">
      <c r="A34" s="38" t="inlineStr">
        <is>
          <t>B2B: Timing of revenue recognition - Services transferred over time</t>
        </is>
      </c>
      <c r="B34" s="3" t="n"/>
      <c r="C34" s="3" t="n"/>
      <c r="D34" s="3" t="n"/>
      <c r="E34" s="3" t="n"/>
      <c r="F34" s="30" t="n">
        <v>124</v>
      </c>
      <c r="G34" s="30" t="n">
        <v>242</v>
      </c>
      <c r="H34" s="3" t="n"/>
      <c r="I34" s="30" t="n">
        <v>131</v>
      </c>
      <c r="J34" s="30" t="n">
        <v>261</v>
      </c>
      <c r="K34" s="4" t="inlineStr">
        <is>
          <t>10Q_Q2-2026 p15</t>
        </is>
      </c>
    </row>
    <row r="35">
      <c r="A35" s="38" t="inlineStr">
        <is>
          <t>Total: Timing of revenue recognition - Services transferred over time</t>
        </is>
      </c>
      <c r="B35" s="3" t="n"/>
      <c r="C35" s="3" t="n"/>
      <c r="D35" s="3" t="n"/>
      <c r="E35" s="3" t="n"/>
      <c r="F35" s="30" t="n">
        <v>358</v>
      </c>
      <c r="G35" s="30" t="n">
        <v>701</v>
      </c>
      <c r="H35" s="3" t="n"/>
      <c r="I35" s="30" t="n">
        <v>383</v>
      </c>
      <c r="J35" s="30" t="n">
        <v>755</v>
      </c>
      <c r="K35" s="4" t="inlineStr">
        <is>
          <t>10Q_Q2-2026 p15</t>
        </is>
      </c>
    </row>
    <row r="36">
      <c r="A36" s="14" t="inlineStr">
        <is>
          <t>10Q_Q2-2026 · Note 7 revenue by geographic region</t>
        </is>
      </c>
      <c r="B36" s="15" t="n"/>
      <c r="C36" s="15" t="n"/>
      <c r="D36" s="15" t="n"/>
      <c r="E36" s="15" t="n"/>
      <c r="F36" s="15" t="n"/>
      <c r="G36" s="15" t="n"/>
      <c r="H36" s="15" t="n"/>
      <c r="I36" s="15" t="n"/>
      <c r="J36" s="15" t="n"/>
      <c r="K36" s="15" t="n"/>
    </row>
    <row r="37">
      <c r="A37" s="38" t="inlineStr">
        <is>
          <t>U.S.</t>
        </is>
      </c>
      <c r="B37" s="3" t="n"/>
      <c r="C37" s="3" t="n"/>
      <c r="D37" s="3" t="n"/>
      <c r="E37" s="3" t="n"/>
      <c r="F37" s="30" t="n">
        <v>365</v>
      </c>
      <c r="G37" s="30" t="n">
        <v>715</v>
      </c>
      <c r="H37" s="3" t="n"/>
      <c r="I37" s="30" t="n">
        <v>389</v>
      </c>
      <c r="J37" s="30" t="n">
        <v>765</v>
      </c>
      <c r="K37" s="4" t="inlineStr">
        <is>
          <t>10Q_Q2-2026 p15</t>
        </is>
      </c>
    </row>
    <row r="38">
      <c r="A38" s="38" t="inlineStr">
        <is>
          <t>International</t>
        </is>
      </c>
      <c r="B38" s="3" t="n"/>
      <c r="C38" s="3" t="n"/>
      <c r="D38" s="3" t="n"/>
      <c r="E38" s="3" t="n"/>
      <c r="F38" s="30" t="n">
        <v>74</v>
      </c>
      <c r="G38" s="30" t="n">
        <v>144</v>
      </c>
      <c r="H38" s="3" t="n"/>
      <c r="I38" s="30" t="n">
        <v>79</v>
      </c>
      <c r="J38" s="30" t="n">
        <v>158</v>
      </c>
      <c r="K38" s="4" t="inlineStr">
        <is>
          <t>10Q_Q2-2026 p15</t>
        </is>
      </c>
    </row>
    <row r="39">
      <c r="A39" s="39" t="inlineStr">
        <is>
          <t>Total</t>
        </is>
      </c>
      <c r="B39" s="3" t="n"/>
      <c r="C39" s="3" t="n"/>
      <c r="D39" s="3" t="n"/>
      <c r="E39" s="3" t="n"/>
      <c r="F39" s="18" t="n">
        <v>439</v>
      </c>
      <c r="G39" s="18" t="n">
        <v>859</v>
      </c>
      <c r="H39" s="3" t="n"/>
      <c r="I39" s="18" t="n">
        <v>468</v>
      </c>
      <c r="J39" s="18" t="n">
        <v>923</v>
      </c>
      <c r="K39" s="4" t="inlineStr">
        <is>
          <t>10Q_Q2-2026 p15</t>
        </is>
      </c>
    </row>
    <row r="40">
      <c r="A40" s="14" t="inlineStr">
        <is>
          <t>10Q_Q2-2026 · MD&amp;A Revenue table (total company)</t>
        </is>
      </c>
      <c r="B40" s="15" t="n"/>
      <c r="C40" s="15" t="n"/>
      <c r="D40" s="15" t="n"/>
      <c r="E40" s="15" t="n"/>
      <c r="F40" s="15" t="n"/>
      <c r="G40" s="15" t="n"/>
      <c r="H40" s="15" t="n"/>
      <c r="I40" s="15" t="n"/>
      <c r="J40" s="15" t="n"/>
      <c r="K40" s="15" t="n"/>
    </row>
    <row r="41">
      <c r="A41" s="39" t="inlineStr">
        <is>
          <t>Revenue</t>
        </is>
      </c>
      <c r="B41" s="3" t="n"/>
      <c r="C41" s="3" t="n"/>
      <c r="D41" s="3" t="n"/>
      <c r="E41" s="3" t="n"/>
      <c r="F41" s="18" t="n">
        <v>439</v>
      </c>
      <c r="G41" s="18" t="n">
        <v>859</v>
      </c>
      <c r="H41" s="3" t="n"/>
      <c r="I41" s="18" t="n">
        <v>468</v>
      </c>
      <c r="J41" s="18" t="n">
        <v>923</v>
      </c>
      <c r="K41" s="4" t="inlineStr">
        <is>
          <t>10Q_Q2-2026 p27</t>
        </is>
      </c>
    </row>
    <row r="42">
      <c r="A42" s="38" t="inlineStr">
        <is>
          <t>Revenue - Change %</t>
        </is>
      </c>
      <c r="B42" s="3" t="n"/>
      <c r="C42" s="3" t="n"/>
      <c r="D42" s="3" t="n"/>
      <c r="E42" s="3" t="n"/>
      <c r="F42" s="3" t="n"/>
      <c r="G42" s="3" t="n"/>
      <c r="H42" s="3" t="n"/>
      <c r="I42" s="41" t="n">
        <v>7</v>
      </c>
      <c r="J42" s="41" t="n">
        <v>7</v>
      </c>
      <c r="K42" s="4" t="inlineStr">
        <is>
          <t>10Q_Q2-2026 p27</t>
        </is>
      </c>
    </row>
    <row r="43">
      <c r="A43" s="38" t="inlineStr">
        <is>
          <t>Subscription revenue</t>
        </is>
      </c>
      <c r="B43" s="3" t="n"/>
      <c r="C43" s="3" t="n"/>
      <c r="D43" s="3" t="n"/>
      <c r="E43" s="3" t="n"/>
      <c r="F43" s="30" t="n">
        <v>358</v>
      </c>
      <c r="G43" s="30" t="n">
        <v>701</v>
      </c>
      <c r="H43" s="3" t="n"/>
      <c r="I43" s="30" t="n">
        <v>383</v>
      </c>
      <c r="J43" s="30" t="n">
        <v>755</v>
      </c>
      <c r="K43" s="4" t="inlineStr">
        <is>
          <t>10Q_Q2-2026 p27</t>
        </is>
      </c>
    </row>
    <row r="44">
      <c r="A44" s="38" t="inlineStr">
        <is>
          <t>Subscription revenue - Change %</t>
        </is>
      </c>
      <c r="B44" s="3" t="n"/>
      <c r="C44" s="3" t="n"/>
      <c r="D44" s="3" t="n"/>
      <c r="E44" s="3" t="n"/>
      <c r="F44" s="3" t="n"/>
      <c r="G44" s="3" t="n"/>
      <c r="H44" s="3" t="n"/>
      <c r="I44" s="41" t="n">
        <v>7</v>
      </c>
      <c r="J44" s="41" t="n">
        <v>8</v>
      </c>
      <c r="K44" s="4" t="inlineStr">
        <is>
          <t>10Q_Q2-2026 p27</t>
        </is>
      </c>
    </row>
    <row r="45">
      <c r="A45" s="38" t="inlineStr">
        <is>
          <t>Non-subscription revenue</t>
        </is>
      </c>
      <c r="B45" s="3" t="n"/>
      <c r="C45" s="3" t="n"/>
      <c r="D45" s="3" t="n"/>
      <c r="E45" s="3" t="n"/>
      <c r="F45" s="30" t="n">
        <v>81</v>
      </c>
      <c r="G45" s="30" t="n">
        <v>158</v>
      </c>
      <c r="H45" s="3" t="n"/>
      <c r="I45" s="30" t="n">
        <v>85</v>
      </c>
      <c r="J45" s="30" t="n">
        <v>168</v>
      </c>
      <c r="K45" s="4" t="inlineStr">
        <is>
          <t>10Q_Q2-2026 p27</t>
        </is>
      </c>
    </row>
    <row r="46">
      <c r="A46" s="38" t="inlineStr">
        <is>
          <t>Non-subscription revenue - Change %</t>
        </is>
      </c>
      <c r="B46" s="3" t="n"/>
      <c r="C46" s="3" t="n"/>
      <c r="D46" s="3" t="n"/>
      <c r="E46" s="3" t="n"/>
      <c r="F46" s="3" t="n"/>
      <c r="G46" s="3" t="n"/>
      <c r="H46" s="3" t="n"/>
      <c r="I46" s="41" t="n">
        <v>5</v>
      </c>
      <c r="J46" s="41" t="n">
        <v>6</v>
      </c>
      <c r="K46" s="4" t="inlineStr">
        <is>
          <t>10Q_Q2-2026 p27</t>
        </is>
      </c>
    </row>
    <row r="47">
      <c r="A47" s="38" t="inlineStr">
        <is>
          <t>% of total revenue: Subscription revenue</t>
        </is>
      </c>
      <c r="B47" s="3" t="n"/>
      <c r="C47" s="3" t="n"/>
      <c r="D47" s="3" t="n"/>
      <c r="E47" s="3" t="n"/>
      <c r="F47" s="41" t="n">
        <v>82</v>
      </c>
      <c r="G47" s="41" t="n">
        <v>82</v>
      </c>
      <c r="H47" s="3" t="n"/>
      <c r="I47" s="41" t="n">
        <v>82</v>
      </c>
      <c r="J47" s="41" t="n">
        <v>82</v>
      </c>
      <c r="K47" s="4" t="inlineStr">
        <is>
          <t>10Q_Q2-2026 p27</t>
        </is>
      </c>
    </row>
    <row r="48">
      <c r="A48" s="38" t="inlineStr">
        <is>
          <t>% of total revenue: Non-subscription revenue</t>
        </is>
      </c>
      <c r="B48" s="3" t="n"/>
      <c r="C48" s="3" t="n"/>
      <c r="D48" s="3" t="n"/>
      <c r="E48" s="3" t="n"/>
      <c r="F48" s="41" t="n">
        <v>18</v>
      </c>
      <c r="G48" s="41" t="n">
        <v>18</v>
      </c>
      <c r="H48" s="3" t="n"/>
      <c r="I48" s="41" t="n">
        <v>18</v>
      </c>
      <c r="J48" s="41" t="n">
        <v>18</v>
      </c>
      <c r="K48" s="4" t="inlineStr">
        <is>
          <t>10Q_Q2-2026 p27</t>
        </is>
      </c>
    </row>
    <row r="49">
      <c r="A49" s="38" t="inlineStr">
        <is>
          <t>U.S. revenue</t>
        </is>
      </c>
      <c r="B49" s="3" t="n"/>
      <c r="C49" s="3" t="n"/>
      <c r="D49" s="3" t="n"/>
      <c r="E49" s="3" t="n"/>
      <c r="F49" s="30" t="n">
        <v>365</v>
      </c>
      <c r="G49" s="30" t="n">
        <v>715</v>
      </c>
      <c r="H49" s="3" t="n"/>
      <c r="I49" s="30" t="n">
        <v>389</v>
      </c>
      <c r="J49" s="30" t="n">
        <v>765</v>
      </c>
      <c r="K49" s="4" t="inlineStr">
        <is>
          <t>10Q_Q2-2026 p27</t>
        </is>
      </c>
    </row>
    <row r="50">
      <c r="A50" s="38" t="inlineStr">
        <is>
          <t>U.S. revenue - Change %</t>
        </is>
      </c>
      <c r="B50" s="3" t="n"/>
      <c r="C50" s="3" t="n"/>
      <c r="D50" s="3" t="n"/>
      <c r="E50" s="3" t="n"/>
      <c r="F50" s="3" t="n"/>
      <c r="G50" s="3" t="n"/>
      <c r="H50" s="3" t="n"/>
      <c r="I50" s="41" t="n">
        <v>7</v>
      </c>
      <c r="J50" s="41" t="n">
        <v>7</v>
      </c>
      <c r="K50" s="4" t="inlineStr">
        <is>
          <t>10Q_Q2-2026 p27</t>
        </is>
      </c>
    </row>
    <row r="51">
      <c r="A51" s="38" t="inlineStr">
        <is>
          <t>International revenue</t>
        </is>
      </c>
      <c r="B51" s="3" t="n"/>
      <c r="C51" s="3" t="n"/>
      <c r="D51" s="3" t="n"/>
      <c r="E51" s="3" t="n"/>
      <c r="F51" s="30" t="n">
        <v>74</v>
      </c>
      <c r="G51" s="30" t="n">
        <v>144</v>
      </c>
      <c r="H51" s="3" t="n"/>
      <c r="I51" s="30" t="n">
        <v>79</v>
      </c>
      <c r="J51" s="30" t="n">
        <v>158</v>
      </c>
      <c r="K51" s="4" t="inlineStr">
        <is>
          <t>10Q_Q2-2026 p27</t>
        </is>
      </c>
    </row>
    <row r="52">
      <c r="A52" s="38" t="inlineStr">
        <is>
          <t>International revenue - Change %</t>
        </is>
      </c>
      <c r="B52" s="3" t="n"/>
      <c r="C52" s="3" t="n"/>
      <c r="D52" s="3" t="n"/>
      <c r="E52" s="3" t="n"/>
      <c r="F52" s="3" t="n"/>
      <c r="G52" s="3" t="n"/>
      <c r="H52" s="3" t="n"/>
      <c r="I52" s="41" t="n">
        <v>7</v>
      </c>
      <c r="J52" s="41" t="n">
        <v>10</v>
      </c>
      <c r="K52" s="4" t="inlineStr">
        <is>
          <t>10Q_Q2-2026 p27</t>
        </is>
      </c>
    </row>
    <row r="53">
      <c r="A53" s="38" t="inlineStr">
        <is>
          <t>% of total revenue: U.S. revenue</t>
        </is>
      </c>
      <c r="B53" s="3" t="n"/>
      <c r="C53" s="3" t="n"/>
      <c r="D53" s="3" t="n"/>
      <c r="E53" s="3" t="n"/>
      <c r="F53" s="41" t="n">
        <v>83</v>
      </c>
      <c r="G53" s="41" t="n">
        <v>83</v>
      </c>
      <c r="H53" s="3" t="n"/>
      <c r="I53" s="41" t="n">
        <v>83</v>
      </c>
      <c r="J53" s="41" t="n">
        <v>83</v>
      </c>
      <c r="K53" s="4" t="inlineStr">
        <is>
          <t>10Q_Q2-2026 p27</t>
        </is>
      </c>
    </row>
    <row r="54">
      <c r="A54" s="38" t="inlineStr">
        <is>
          <t>% of total revenue: International revenue</t>
        </is>
      </c>
      <c r="B54" s="3" t="n"/>
      <c r="C54" s="3" t="n"/>
      <c r="D54" s="3" t="n"/>
      <c r="E54" s="3" t="n"/>
      <c r="F54" s="41" t="n">
        <v>17</v>
      </c>
      <c r="G54" s="41" t="n">
        <v>17</v>
      </c>
      <c r="H54" s="3" t="n"/>
      <c r="I54" s="41" t="n">
        <v>17</v>
      </c>
      <c r="J54" s="41" t="n">
        <v>17</v>
      </c>
      <c r="K54" s="4" t="inlineStr">
        <is>
          <t>10Q_Q2-2026 p27</t>
        </is>
      </c>
    </row>
    <row r="55">
      <c r="A55" s="14" t="inlineStr">
        <is>
          <t>8K_2026-08-07 · Financial Summary table (Revenue)</t>
        </is>
      </c>
      <c r="B55" s="15" t="n"/>
      <c r="C55" s="15" t="n"/>
      <c r="D55" s="15" t="n"/>
      <c r="E55" s="15" t="n"/>
      <c r="F55" s="15" t="n"/>
      <c r="G55" s="15" t="n"/>
      <c r="H55" s="15" t="n"/>
      <c r="I55" s="15" t="n"/>
      <c r="J55" s="15" t="n"/>
      <c r="K55" s="15" t="n"/>
    </row>
    <row r="56">
      <c r="A56" s="38" t="inlineStr">
        <is>
          <t>CARFAX</t>
        </is>
      </c>
      <c r="B56" s="3" t="n"/>
      <c r="C56" s="3" t="n"/>
      <c r="D56" s="3" t="n"/>
      <c r="E56" s="3" t="n"/>
      <c r="F56" s="30" t="n">
        <v>289</v>
      </c>
      <c r="G56" s="30" t="n">
        <v>564</v>
      </c>
      <c r="H56" s="3" t="n"/>
      <c r="I56" s="30" t="n">
        <v>312</v>
      </c>
      <c r="J56" s="30" t="n">
        <v>610</v>
      </c>
      <c r="K56" s="4" t="inlineStr">
        <is>
          <t>8K_2026-08-07 p2</t>
        </is>
      </c>
    </row>
    <row r="57">
      <c r="A57" s="38" t="inlineStr">
        <is>
          <t>CARFAX %Chg</t>
        </is>
      </c>
      <c r="B57" s="3" t="n"/>
      <c r="C57" s="3" t="n"/>
      <c r="D57" s="3" t="n"/>
      <c r="E57" s="3" t="n"/>
      <c r="F57" s="3" t="n"/>
      <c r="G57" s="3" t="n"/>
      <c r="H57" s="3" t="n"/>
      <c r="I57" s="41" t="n">
        <v>8</v>
      </c>
      <c r="J57" s="41" t="n">
        <v>8</v>
      </c>
      <c r="K57" s="4" t="inlineStr">
        <is>
          <t>8K_2026-08-07 p2</t>
        </is>
      </c>
    </row>
    <row r="58">
      <c r="A58" s="38" t="inlineStr">
        <is>
          <t>B2B</t>
        </is>
      </c>
      <c r="B58" s="3" t="n"/>
      <c r="C58" s="3" t="n"/>
      <c r="D58" s="3" t="n"/>
      <c r="E58" s="3" t="n"/>
      <c r="F58" s="30" t="n">
        <v>150</v>
      </c>
      <c r="G58" s="30" t="n">
        <v>295</v>
      </c>
      <c r="H58" s="3" t="n"/>
      <c r="I58" s="30" t="n">
        <v>156</v>
      </c>
      <c r="J58" s="30" t="n">
        <v>313</v>
      </c>
      <c r="K58" s="4" t="inlineStr">
        <is>
          <t>8K_2026-08-07 p2</t>
        </is>
      </c>
    </row>
    <row r="59">
      <c r="A59" s="38" t="inlineStr">
        <is>
          <t>B2B %Chg</t>
        </is>
      </c>
      <c r="B59" s="3" t="n"/>
      <c r="C59" s="3" t="n"/>
      <c r="D59" s="3" t="n"/>
      <c r="E59" s="3" t="n"/>
      <c r="F59" s="3" t="n"/>
      <c r="G59" s="3" t="n"/>
      <c r="H59" s="3" t="n"/>
      <c r="I59" s="41" t="n">
        <v>4</v>
      </c>
      <c r="J59" s="41" t="n">
        <v>6</v>
      </c>
      <c r="K59" s="4" t="inlineStr">
        <is>
          <t>8K_2026-08-07 p2</t>
        </is>
      </c>
    </row>
    <row r="60">
      <c r="A60" s="39" t="inlineStr">
        <is>
          <t>Total revenue</t>
        </is>
      </c>
      <c r="B60" s="3" t="n"/>
      <c r="C60" s="3" t="n"/>
      <c r="D60" s="3" t="n"/>
      <c r="E60" s="3" t="n"/>
      <c r="F60" s="18" t="n">
        <v>439</v>
      </c>
      <c r="G60" s="18" t="n">
        <v>859</v>
      </c>
      <c r="H60" s="3" t="n"/>
      <c r="I60" s="18" t="n">
        <v>468</v>
      </c>
      <c r="J60" s="18" t="n">
        <v>923</v>
      </c>
      <c r="K60" s="4" t="inlineStr">
        <is>
          <t>8K_2026-08-07 p2</t>
        </is>
      </c>
    </row>
    <row r="61">
      <c r="A61" s="38" t="inlineStr">
        <is>
          <t>Total revenue %Chg</t>
        </is>
      </c>
      <c r="B61" s="3" t="n"/>
      <c r="C61" s="3" t="n"/>
      <c r="D61" s="3" t="n"/>
      <c r="E61" s="3" t="n"/>
      <c r="F61" s="3" t="n"/>
      <c r="G61" s="3" t="n"/>
      <c r="H61" s="3" t="n"/>
      <c r="I61" s="41" t="n">
        <v>7</v>
      </c>
      <c r="J61" s="41" t="n">
        <v>7</v>
      </c>
      <c r="K61" s="4" t="inlineStr">
        <is>
          <t>8K_2026-08-07 p2</t>
        </is>
      </c>
    </row>
    <row r="62">
      <c r="A62" s="38" t="inlineStr">
        <is>
          <t>Subscription revenue</t>
        </is>
      </c>
      <c r="B62" s="3" t="n"/>
      <c r="C62" s="3" t="n"/>
      <c r="D62" s="3" t="n"/>
      <c r="E62" s="3" t="n"/>
      <c r="F62" s="30" t="n">
        <v>358</v>
      </c>
      <c r="G62" s="30" t="n">
        <v>701</v>
      </c>
      <c r="H62" s="3" t="n"/>
      <c r="I62" s="30" t="n">
        <v>383</v>
      </c>
      <c r="J62" s="30" t="n">
        <v>755</v>
      </c>
      <c r="K62" s="4" t="inlineStr">
        <is>
          <t>8K_2026-08-07 p2</t>
        </is>
      </c>
    </row>
    <row r="63">
      <c r="A63" s="38" t="inlineStr">
        <is>
          <t>Subscription revenue %Chg</t>
        </is>
      </c>
      <c r="B63" s="3" t="n"/>
      <c r="C63" s="3" t="n"/>
      <c r="D63" s="3" t="n"/>
      <c r="E63" s="3" t="n"/>
      <c r="F63" s="3" t="n"/>
      <c r="G63" s="3" t="n"/>
      <c r="H63" s="3" t="n"/>
      <c r="I63" s="41" t="n">
        <v>7</v>
      </c>
      <c r="J63" s="41" t="n">
        <v>8</v>
      </c>
      <c r="K63" s="4" t="inlineStr">
        <is>
          <t>8K_2026-08-07 p2</t>
        </is>
      </c>
    </row>
    <row r="64">
      <c r="A64" s="38" t="inlineStr">
        <is>
          <t>Non-subscription revenue</t>
        </is>
      </c>
      <c r="B64" s="3" t="n"/>
      <c r="C64" s="3" t="n"/>
      <c r="D64" s="3" t="n"/>
      <c r="E64" s="3" t="n"/>
      <c r="F64" s="30" t="n">
        <v>81</v>
      </c>
      <c r="G64" s="30" t="n">
        <v>158</v>
      </c>
      <c r="H64" s="3" t="n"/>
      <c r="I64" s="30" t="n">
        <v>85</v>
      </c>
      <c r="J64" s="30" t="n">
        <v>168</v>
      </c>
      <c r="K64" s="4" t="inlineStr">
        <is>
          <t>8K_2026-08-07 p2</t>
        </is>
      </c>
    </row>
    <row r="65">
      <c r="A65" s="38" t="inlineStr">
        <is>
          <t>Non-subscription revenue %Chg</t>
        </is>
      </c>
      <c r="B65" s="3" t="n"/>
      <c r="C65" s="3" t="n"/>
      <c r="D65" s="3" t="n"/>
      <c r="E65" s="3" t="n"/>
      <c r="F65" s="3" t="n"/>
      <c r="G65" s="3" t="n"/>
      <c r="H65" s="3" t="n"/>
      <c r="I65" s="41" t="n">
        <v>5</v>
      </c>
      <c r="J65" s="41" t="n">
        <v>6</v>
      </c>
      <c r="K65" s="4" t="inlineStr">
        <is>
          <t>8K_2026-08-07 p2</t>
        </is>
      </c>
    </row>
    <row r="66">
      <c r="A66" s="14" t="inlineStr">
        <is>
          <t>Slides_Q2-2026 · CARFAX: revenue by type and geography</t>
        </is>
      </c>
      <c r="B66" s="15" t="n"/>
      <c r="C66" s="15" t="n"/>
      <c r="D66" s="15" t="n"/>
      <c r="E66" s="15" t="n"/>
      <c r="F66" s="15" t="n"/>
      <c r="G66" s="15" t="n"/>
      <c r="H66" s="15" t="n"/>
      <c r="I66" s="15" t="n"/>
      <c r="J66" s="15" t="n"/>
      <c r="K66" s="15" t="n"/>
    </row>
    <row r="67">
      <c r="A67" s="38" t="inlineStr">
        <is>
          <t>CARFAX: Subscription</t>
        </is>
      </c>
      <c r="B67" s="3" t="n"/>
      <c r="C67" s="3" t="n"/>
      <c r="D67" s="3" t="n"/>
      <c r="E67" s="3" t="n"/>
      <c r="F67" s="30" t="n">
        <v>234</v>
      </c>
      <c r="G67" s="3" t="n"/>
      <c r="H67" s="3" t="n"/>
      <c r="I67" s="30" t="n">
        <v>252</v>
      </c>
      <c r="J67" s="3" t="n"/>
      <c r="K67" s="4" t="inlineStr">
        <is>
          <t>Slides_Q2-2026 p7</t>
        </is>
      </c>
    </row>
    <row r="68">
      <c r="A68" s="38" t="inlineStr">
        <is>
          <t>CARFAX: Subscription growth</t>
        </is>
      </c>
      <c r="B68" s="3" t="n"/>
      <c r="C68" s="3" t="n"/>
      <c r="D68" s="3" t="n"/>
      <c r="E68" s="3" t="n"/>
      <c r="F68" s="3" t="n"/>
      <c r="G68" s="3" t="n"/>
      <c r="H68" s="3" t="n"/>
      <c r="I68" s="41" t="n">
        <v>8</v>
      </c>
      <c r="J68" s="3" t="n"/>
      <c r="K68" s="4" t="inlineStr">
        <is>
          <t>Slides_Q2-2026 p7</t>
        </is>
      </c>
    </row>
    <row r="69">
      <c r="A69" s="38" t="inlineStr">
        <is>
          <t>CARFAX: Transactional</t>
        </is>
      </c>
      <c r="B69" s="3" t="n"/>
      <c r="C69" s="3" t="n"/>
      <c r="D69" s="3" t="n"/>
      <c r="E69" s="3" t="n"/>
      <c r="F69" s="30" t="n">
        <v>55</v>
      </c>
      <c r="G69" s="3" t="n"/>
      <c r="H69" s="3" t="n"/>
      <c r="I69" s="30" t="n">
        <v>60</v>
      </c>
      <c r="J69" s="3" t="n"/>
      <c r="K69" s="4" t="inlineStr">
        <is>
          <t>Slides_Q2-2026 p7</t>
        </is>
      </c>
    </row>
    <row r="70">
      <c r="A70" s="38" t="inlineStr">
        <is>
          <t>CARFAX: Transactional growth</t>
        </is>
      </c>
      <c r="B70" s="3" t="n"/>
      <c r="C70" s="3" t="n"/>
      <c r="D70" s="3" t="n"/>
      <c r="E70" s="3" t="n"/>
      <c r="F70" s="3" t="n"/>
      <c r="G70" s="3" t="n"/>
      <c r="H70" s="3" t="n"/>
      <c r="I70" s="41" t="n">
        <v>9</v>
      </c>
      <c r="J70" s="3" t="n"/>
      <c r="K70" s="4" t="inlineStr">
        <is>
          <t>Slides_Q2-2026 p7</t>
        </is>
      </c>
    </row>
    <row r="71">
      <c r="A71" s="38" t="inlineStr">
        <is>
          <t>CARFAX: United States</t>
        </is>
      </c>
      <c r="B71" s="3" t="n"/>
      <c r="C71" s="3" t="n"/>
      <c r="D71" s="3" t="n"/>
      <c r="E71" s="3" t="n"/>
      <c r="F71" s="30" t="n">
        <v>246</v>
      </c>
      <c r="G71" s="3" t="n"/>
      <c r="H71" s="3" t="n"/>
      <c r="I71" s="30" t="n">
        <v>265</v>
      </c>
      <c r="J71" s="3" t="n"/>
      <c r="K71" s="4" t="inlineStr">
        <is>
          <t>Slides_Q2-2026 p7</t>
        </is>
      </c>
    </row>
    <row r="72">
      <c r="A72" s="38" t="inlineStr">
        <is>
          <t>CARFAX: United States growth</t>
        </is>
      </c>
      <c r="B72" s="3" t="n"/>
      <c r="C72" s="3" t="n"/>
      <c r="D72" s="3" t="n"/>
      <c r="E72" s="3" t="n"/>
      <c r="F72" s="3" t="n"/>
      <c r="G72" s="3" t="n"/>
      <c r="H72" s="3" t="n"/>
      <c r="I72" s="41" t="n">
        <v>8</v>
      </c>
      <c r="J72" s="3" t="n"/>
      <c r="K72" s="4" t="inlineStr">
        <is>
          <t>Slides_Q2-2026 p7</t>
        </is>
      </c>
    </row>
    <row r="73">
      <c r="A73" s="38" t="inlineStr">
        <is>
          <t>CARFAX: International</t>
        </is>
      </c>
      <c r="B73" s="3" t="n"/>
      <c r="C73" s="3" t="n"/>
      <c r="D73" s="3" t="n"/>
      <c r="E73" s="3" t="n"/>
      <c r="F73" s="30" t="n">
        <v>43</v>
      </c>
      <c r="G73" s="3" t="n"/>
      <c r="H73" s="3" t="n"/>
      <c r="I73" s="30" t="n">
        <v>47</v>
      </c>
      <c r="J73" s="3" t="n"/>
      <c r="K73" s="4" t="inlineStr">
        <is>
          <t>Slides_Q2-2026 p7</t>
        </is>
      </c>
    </row>
    <row r="74">
      <c r="A74" s="38" t="inlineStr">
        <is>
          <t>CARFAX: International growth</t>
        </is>
      </c>
      <c r="B74" s="3" t="n"/>
      <c r="C74" s="3" t="n"/>
      <c r="D74" s="3" t="n"/>
      <c r="E74" s="3" t="n"/>
      <c r="F74" s="3" t="n"/>
      <c r="G74" s="3" t="n"/>
      <c r="H74" s="3" t="n"/>
      <c r="I74" s="41" t="n">
        <v>9</v>
      </c>
      <c r="J74" s="3" t="n"/>
      <c r="K74" s="4" t="inlineStr">
        <is>
          <t>Slides_Q2-2026 p7</t>
        </is>
      </c>
    </row>
    <row r="75">
      <c r="A75" s="39" t="inlineStr">
        <is>
          <t>CARFAX: Total</t>
        </is>
      </c>
      <c r="B75" s="3" t="n"/>
      <c r="C75" s="3" t="n"/>
      <c r="D75" s="3" t="n"/>
      <c r="E75" s="3" t="n"/>
      <c r="F75" s="18" t="n">
        <v>289</v>
      </c>
      <c r="G75" s="3" t="n"/>
      <c r="H75" s="3" t="n"/>
      <c r="I75" s="18" t="n">
        <v>312</v>
      </c>
      <c r="J75" s="3" t="n"/>
      <c r="K75" s="4" t="inlineStr">
        <is>
          <t>Slides_Q2-2026 p7</t>
        </is>
      </c>
    </row>
    <row r="76">
      <c r="A76" s="14" t="inlineStr">
        <is>
          <t>Slides_Q2-2026 · B2B: revenue by type and geography</t>
        </is>
      </c>
      <c r="B76" s="15" t="n"/>
      <c r="C76" s="15" t="n"/>
      <c r="D76" s="15" t="n"/>
      <c r="E76" s="15" t="n"/>
      <c r="F76" s="15" t="n"/>
      <c r="G76" s="15" t="n"/>
      <c r="H76" s="15" t="n"/>
      <c r="I76" s="15" t="n"/>
      <c r="J76" s="15" t="n"/>
      <c r="K76" s="15" t="n"/>
    </row>
    <row r="77">
      <c r="A77" s="38" t="inlineStr">
        <is>
          <t>B2B: Subscription</t>
        </is>
      </c>
      <c r="B77" s="3" t="n"/>
      <c r="C77" s="3" t="n"/>
      <c r="D77" s="3" t="n"/>
      <c r="E77" s="3" t="n"/>
      <c r="F77" s="30" t="n">
        <v>124</v>
      </c>
      <c r="G77" s="3" t="n"/>
      <c r="H77" s="3" t="n"/>
      <c r="I77" s="30" t="n">
        <v>131</v>
      </c>
      <c r="J77" s="3" t="n"/>
      <c r="K77" s="4" t="inlineStr">
        <is>
          <t>Slides_Q2-2026 p8</t>
        </is>
      </c>
    </row>
    <row r="78">
      <c r="A78" s="38" t="inlineStr">
        <is>
          <t>B2B: Subscription growth</t>
        </is>
      </c>
      <c r="B78" s="3" t="n"/>
      <c r="C78" s="3" t="n"/>
      <c r="D78" s="3" t="n"/>
      <c r="E78" s="3" t="n"/>
      <c r="F78" s="3" t="n"/>
      <c r="G78" s="3" t="n"/>
      <c r="H78" s="3" t="n"/>
      <c r="I78" s="41" t="n">
        <v>6</v>
      </c>
      <c r="J78" s="3" t="n"/>
      <c r="K78" s="4" t="inlineStr">
        <is>
          <t>Slides_Q2-2026 p8</t>
        </is>
      </c>
    </row>
    <row r="79">
      <c r="A79" s="38" t="inlineStr">
        <is>
          <t>B2B: Transactional</t>
        </is>
      </c>
      <c r="B79" s="3" t="n"/>
      <c r="C79" s="3" t="n"/>
      <c r="D79" s="3" t="n"/>
      <c r="E79" s="3" t="n"/>
      <c r="F79" s="30" t="n">
        <v>26</v>
      </c>
      <c r="G79" s="3" t="n"/>
      <c r="H79" s="3" t="n"/>
      <c r="I79" s="30" t="n">
        <v>25</v>
      </c>
      <c r="J79" s="3" t="n"/>
      <c r="K79" s="4" t="inlineStr">
        <is>
          <t>Slides_Q2-2026 p8</t>
        </is>
      </c>
    </row>
    <row r="80">
      <c r="A80" s="38" t="inlineStr">
        <is>
          <t>B2B: Transactional growth</t>
        </is>
      </c>
      <c r="B80" s="3" t="n"/>
      <c r="C80" s="3" t="n"/>
      <c r="D80" s="3" t="n"/>
      <c r="E80" s="3" t="n"/>
      <c r="F80" s="3" t="n"/>
      <c r="G80" s="3" t="n"/>
      <c r="H80" s="3" t="n"/>
      <c r="I80" s="41" t="n">
        <v>-4</v>
      </c>
      <c r="J80" s="3" t="n"/>
      <c r="K80" s="4" t="inlineStr">
        <is>
          <t>Slides_Q2-2026 p8</t>
        </is>
      </c>
    </row>
    <row r="81">
      <c r="A81" s="38" t="inlineStr">
        <is>
          <t>B2B: United States</t>
        </is>
      </c>
      <c r="B81" s="3" t="n"/>
      <c r="C81" s="3" t="n"/>
      <c r="D81" s="3" t="n"/>
      <c r="E81" s="3" t="n"/>
      <c r="F81" s="30" t="n">
        <v>119</v>
      </c>
      <c r="G81" s="3" t="n"/>
      <c r="H81" s="3" t="n"/>
      <c r="I81" s="30" t="n">
        <v>124</v>
      </c>
      <c r="J81" s="3" t="n"/>
      <c r="K81" s="4" t="inlineStr">
        <is>
          <t>Slides_Q2-2026 p8</t>
        </is>
      </c>
    </row>
    <row r="82">
      <c r="A82" s="38" t="inlineStr">
        <is>
          <t>B2B: United States growth</t>
        </is>
      </c>
      <c r="B82" s="3" t="n"/>
      <c r="C82" s="3" t="n"/>
      <c r="D82" s="3" t="n"/>
      <c r="E82" s="3" t="n"/>
      <c r="F82" s="3" t="n"/>
      <c r="G82" s="3" t="n"/>
      <c r="H82" s="3" t="n"/>
      <c r="I82" s="41" t="n">
        <v>4</v>
      </c>
      <c r="J82" s="3" t="n"/>
      <c r="K82" s="4" t="inlineStr">
        <is>
          <t>Slides_Q2-2026 p8</t>
        </is>
      </c>
    </row>
    <row r="83">
      <c r="A83" s="38" t="inlineStr">
        <is>
          <t>B2B: International</t>
        </is>
      </c>
      <c r="B83" s="3" t="n"/>
      <c r="C83" s="3" t="n"/>
      <c r="D83" s="3" t="n"/>
      <c r="E83" s="3" t="n"/>
      <c r="F83" s="30" t="n">
        <v>31</v>
      </c>
      <c r="G83" s="3" t="n"/>
      <c r="H83" s="3" t="n"/>
      <c r="I83" s="30" t="n">
        <v>32</v>
      </c>
      <c r="J83" s="3" t="n"/>
      <c r="K83" s="4" t="inlineStr">
        <is>
          <t>Slides_Q2-2026 p8</t>
        </is>
      </c>
    </row>
    <row r="84">
      <c r="A84" s="38" t="inlineStr">
        <is>
          <t>B2B: International growth</t>
        </is>
      </c>
      <c r="B84" s="3" t="n"/>
      <c r="C84" s="3" t="n"/>
      <c r="D84" s="3" t="n"/>
      <c r="E84" s="3" t="n"/>
      <c r="F84" s="3" t="n"/>
      <c r="G84" s="3" t="n"/>
      <c r="H84" s="3" t="n"/>
      <c r="I84" s="41" t="n">
        <v>3</v>
      </c>
      <c r="J84" s="3" t="n"/>
      <c r="K84" s="4" t="inlineStr">
        <is>
          <t>Slides_Q2-2026 p8</t>
        </is>
      </c>
    </row>
    <row r="85">
      <c r="A85" s="39" t="inlineStr">
        <is>
          <t>B2B: Total</t>
        </is>
      </c>
      <c r="B85" s="3" t="n"/>
      <c r="C85" s="3" t="n"/>
      <c r="D85" s="3" t="n"/>
      <c r="E85" s="3" t="n"/>
      <c r="F85" s="18" t="n">
        <v>150</v>
      </c>
      <c r="G85" s="3" t="n"/>
      <c r="H85" s="3" t="n"/>
      <c r="I85" s="18" t="n">
        <v>156</v>
      </c>
      <c r="J85" s="3" t="n"/>
      <c r="K85" s="4" t="inlineStr">
        <is>
          <t>Slides_Q2-2026 p8</t>
        </is>
      </c>
    </row>
    <row r="86">
      <c r="A86" s="14" t="inlineStr">
        <is>
          <t>Form10A_2026-05-27 · MD&amp;A Revenue (years ended December 31)</t>
        </is>
      </c>
      <c r="B86" s="15" t="n"/>
      <c r="C86" s="15" t="n"/>
      <c r="D86" s="15" t="n"/>
      <c r="E86" s="15" t="n"/>
      <c r="F86" s="15" t="n"/>
      <c r="G86" s="15" t="n"/>
      <c r="H86" s="15" t="n"/>
      <c r="I86" s="15" t="n"/>
      <c r="J86" s="15" t="n"/>
      <c r="K86" s="15" t="n"/>
    </row>
    <row r="87">
      <c r="A87" s="39" t="inlineStr">
        <is>
          <t>Revenue</t>
        </is>
      </c>
      <c r="B87" s="18" t="n">
        <v>1485</v>
      </c>
      <c r="C87" s="18" t="n">
        <v>1613</v>
      </c>
      <c r="D87" s="18" t="n">
        <v>1750</v>
      </c>
      <c r="E87" s="3" t="n"/>
      <c r="F87" s="3" t="n"/>
      <c r="G87" s="3" t="n"/>
      <c r="H87" s="3" t="n"/>
      <c r="I87" s="3" t="n"/>
      <c r="J87" s="3" t="n"/>
      <c r="K87" s="4" t="inlineStr">
        <is>
          <t>Form10A_2026-05-27 p349</t>
        </is>
      </c>
    </row>
    <row r="88">
      <c r="A88" s="38" t="inlineStr">
        <is>
          <t>Subscription revenue</t>
        </is>
      </c>
      <c r="B88" s="30" t="n">
        <v>1170</v>
      </c>
      <c r="C88" s="30" t="n">
        <v>1303</v>
      </c>
      <c r="D88" s="30" t="n">
        <v>1426</v>
      </c>
      <c r="E88" s="3" t="n"/>
      <c r="F88" s="3" t="n"/>
      <c r="G88" s="3" t="n"/>
      <c r="H88" s="3" t="n"/>
      <c r="I88" s="3" t="n"/>
      <c r="J88" s="3" t="n"/>
      <c r="K88" s="4" t="inlineStr">
        <is>
          <t>Form10A_2026-05-27 p349</t>
        </is>
      </c>
    </row>
    <row r="89">
      <c r="A89" s="38" t="inlineStr">
        <is>
          <t>Non - subscription revenue</t>
        </is>
      </c>
      <c r="B89" s="30" t="n">
        <v>315</v>
      </c>
      <c r="C89" s="30" t="n">
        <v>310</v>
      </c>
      <c r="D89" s="30" t="n">
        <v>324</v>
      </c>
      <c r="E89" s="3" t="n"/>
      <c r="F89" s="3" t="n"/>
      <c r="G89" s="3" t="n"/>
      <c r="H89" s="3" t="n"/>
      <c r="I89" s="3" t="n"/>
      <c r="J89" s="3" t="n"/>
      <c r="K89" s="4" t="inlineStr">
        <is>
          <t>Form10A_2026-05-27 p349</t>
        </is>
      </c>
    </row>
    <row r="90">
      <c r="A90" s="38" t="inlineStr">
        <is>
          <t>% of total revenue: Subscription revenue</t>
        </is>
      </c>
      <c r="B90" s="41" t="n">
        <v>79</v>
      </c>
      <c r="C90" s="41" t="n">
        <v>81</v>
      </c>
      <c r="D90" s="41" t="n">
        <v>81</v>
      </c>
      <c r="E90" s="3" t="n"/>
      <c r="F90" s="3" t="n"/>
      <c r="G90" s="3" t="n"/>
      <c r="H90" s="3" t="n"/>
      <c r="I90" s="3" t="n"/>
      <c r="J90" s="3" t="n"/>
      <c r="K90" s="4" t="inlineStr">
        <is>
          <t>Form10A_2026-05-27 p349</t>
        </is>
      </c>
    </row>
    <row r="91">
      <c r="A91" s="38" t="inlineStr">
        <is>
          <t>% of total revenue: Non - subscription revenue</t>
        </is>
      </c>
      <c r="B91" s="41" t="n">
        <v>21</v>
      </c>
      <c r="C91" s="41" t="n">
        <v>19</v>
      </c>
      <c r="D91" s="41" t="n">
        <v>19</v>
      </c>
      <c r="E91" s="3" t="n"/>
      <c r="F91" s="3" t="n"/>
      <c r="G91" s="3" t="n"/>
      <c r="H91" s="3" t="n"/>
      <c r="I91" s="3" t="n"/>
      <c r="J91" s="3" t="n"/>
      <c r="K91" s="4" t="inlineStr">
        <is>
          <t>Form10A_2026-05-27 p349</t>
        </is>
      </c>
    </row>
    <row r="92">
      <c r="A92" s="38" t="inlineStr">
        <is>
          <t>U.S. revenue</t>
        </is>
      </c>
      <c r="B92" s="30" t="n">
        <v>1224</v>
      </c>
      <c r="C92" s="30" t="n">
        <v>1329</v>
      </c>
      <c r="D92" s="30" t="n">
        <v>1454</v>
      </c>
      <c r="E92" s="3" t="n"/>
      <c r="F92" s="3" t="n"/>
      <c r="G92" s="3" t="n"/>
      <c r="H92" s="3" t="n"/>
      <c r="I92" s="3" t="n"/>
      <c r="J92" s="3" t="n"/>
      <c r="K92" s="4" t="inlineStr">
        <is>
          <t>Form10A_2026-05-27 p349</t>
        </is>
      </c>
    </row>
    <row r="93">
      <c r="A93" s="38" t="inlineStr">
        <is>
          <t>International revenue</t>
        </is>
      </c>
      <c r="B93" s="30" t="n">
        <v>261</v>
      </c>
      <c r="C93" s="30" t="n">
        <v>284</v>
      </c>
      <c r="D93" s="30" t="n">
        <v>296</v>
      </c>
      <c r="E93" s="3" t="n"/>
      <c r="F93" s="3" t="n"/>
      <c r="G93" s="3" t="n"/>
      <c r="H93" s="3" t="n"/>
      <c r="I93" s="3" t="n"/>
      <c r="J93" s="3" t="n"/>
      <c r="K93" s="4" t="inlineStr">
        <is>
          <t>Form10A_2026-05-27 p349</t>
        </is>
      </c>
    </row>
    <row r="94">
      <c r="A94" s="38" t="inlineStr">
        <is>
          <t>% of total revenue: U.S. revenue</t>
        </is>
      </c>
      <c r="B94" s="41" t="n">
        <v>82</v>
      </c>
      <c r="C94" s="41" t="n">
        <v>82</v>
      </c>
      <c r="D94" s="41" t="n">
        <v>83</v>
      </c>
      <c r="E94" s="3" t="n"/>
      <c r="F94" s="3" t="n"/>
      <c r="G94" s="3" t="n"/>
      <c r="H94" s="3" t="n"/>
      <c r="I94" s="3" t="n"/>
      <c r="J94" s="3" t="n"/>
      <c r="K94" s="4" t="inlineStr">
        <is>
          <t>Form10A_2026-05-27 p349</t>
        </is>
      </c>
    </row>
    <row r="95">
      <c r="A95" s="38" t="inlineStr">
        <is>
          <t>% of total revenue: International revenue</t>
        </is>
      </c>
      <c r="B95" s="41" t="n">
        <v>18</v>
      </c>
      <c r="C95" s="41" t="n">
        <v>18</v>
      </c>
      <c r="D95" s="41" t="n">
        <v>17</v>
      </c>
      <c r="E95" s="3" t="n"/>
      <c r="F95" s="3" t="n"/>
      <c r="G95" s="3" t="n"/>
      <c r="H95" s="3" t="n"/>
      <c r="I95" s="3" t="n"/>
      <c r="J95" s="3" t="n"/>
      <c r="K95" s="4" t="inlineStr">
        <is>
          <t>Form10A_2026-05-27 p349</t>
        </is>
      </c>
    </row>
    <row r="96">
      <c r="A96" s="14" t="inlineStr">
        <is>
          <t>Form10A_2026-05-27 · MD&amp;A Revenue % change (years ended December 31)</t>
        </is>
      </c>
      <c r="B96" s="15" t="n"/>
      <c r="C96" s="15" t="n"/>
      <c r="D96" s="15" t="n"/>
      <c r="E96" s="15" t="n"/>
      <c r="F96" s="15" t="n"/>
      <c r="G96" s="15" t="n"/>
      <c r="H96" s="15" t="n"/>
      <c r="I96" s="15" t="n"/>
      <c r="J96" s="15" t="n"/>
      <c r="K96" s="15" t="n"/>
    </row>
    <row r="97">
      <c r="A97" s="38" t="inlineStr">
        <is>
          <t>Revenue % Change</t>
        </is>
      </c>
      <c r="B97" s="3" t="n"/>
      <c r="C97" s="41" t="n">
        <v>9</v>
      </c>
      <c r="D97" s="41" t="n">
        <v>9</v>
      </c>
      <c r="E97" s="3" t="n"/>
      <c r="F97" s="3" t="n"/>
      <c r="G97" s="3" t="n"/>
      <c r="H97" s="3" t="n"/>
      <c r="I97" s="3" t="n"/>
      <c r="J97" s="3" t="n"/>
      <c r="K97" s="4" t="inlineStr">
        <is>
          <t>Form10A_2026-05-27 p349</t>
        </is>
      </c>
    </row>
    <row r="98">
      <c r="A98" s="38" t="inlineStr">
        <is>
          <t>Subscription revenue % Change</t>
        </is>
      </c>
      <c r="B98" s="3" t="n"/>
      <c r="C98" s="41" t="n">
        <v>11</v>
      </c>
      <c r="D98" s="41" t="n">
        <v>9</v>
      </c>
      <c r="E98" s="3" t="n"/>
      <c r="F98" s="3" t="n"/>
      <c r="G98" s="3" t="n"/>
      <c r="H98" s="3" t="n"/>
      <c r="I98" s="3" t="n"/>
      <c r="J98" s="3" t="n"/>
      <c r="K98" s="4" t="inlineStr">
        <is>
          <t>Form10A_2026-05-27 p349</t>
        </is>
      </c>
    </row>
    <row r="99">
      <c r="A99" s="38" t="inlineStr">
        <is>
          <t>Non - subscription revenue % Change</t>
        </is>
      </c>
      <c r="B99" s="3" t="n"/>
      <c r="C99" s="41" t="n">
        <v>-2</v>
      </c>
      <c r="D99" s="41" t="n">
        <v>5</v>
      </c>
      <c r="E99" s="3" t="n"/>
      <c r="F99" s="3" t="n"/>
      <c r="G99" s="3" t="n"/>
      <c r="H99" s="3" t="n"/>
      <c r="I99" s="3" t="n"/>
      <c r="J99" s="3" t="n"/>
      <c r="K99" s="4" t="inlineStr">
        <is>
          <t>Form10A_2026-05-27 p349</t>
        </is>
      </c>
    </row>
    <row r="100">
      <c r="A100" s="38" t="inlineStr">
        <is>
          <t>U.S. revenue % Change</t>
        </is>
      </c>
      <c r="B100" s="3" t="n"/>
      <c r="C100" s="41" t="n">
        <v>9</v>
      </c>
      <c r="D100" s="41" t="n">
        <v>9</v>
      </c>
      <c r="E100" s="3" t="n"/>
      <c r="F100" s="3" t="n"/>
      <c r="G100" s="3" t="n"/>
      <c r="H100" s="3" t="n"/>
      <c r="I100" s="3" t="n"/>
      <c r="J100" s="3" t="n"/>
      <c r="K100" s="4" t="inlineStr">
        <is>
          <t>Form10A_2026-05-27 p349</t>
        </is>
      </c>
    </row>
    <row r="101">
      <c r="A101" s="38" t="inlineStr">
        <is>
          <t>International revenue % Change</t>
        </is>
      </c>
      <c r="B101" s="3" t="n"/>
      <c r="C101" s="41" t="n">
        <v>9</v>
      </c>
      <c r="D101" s="41" t="n">
        <v>4</v>
      </c>
      <c r="E101" s="3" t="n"/>
      <c r="F101" s="3" t="n"/>
      <c r="G101" s="3" t="n"/>
      <c r="H101" s="3" t="n"/>
      <c r="I101" s="3" t="n"/>
      <c r="J101" s="3" t="n"/>
      <c r="K101" s="4" t="inlineStr">
        <is>
          <t>Form10A_2026-05-27 p349</t>
        </is>
      </c>
    </row>
    <row r="102">
      <c r="A102" s="14" t="inlineStr">
        <is>
          <t>Form10A_2026-05-27 · Interim Note 7 revenue disaggregated by revenue type</t>
        </is>
      </c>
      <c r="B102" s="15" t="n"/>
      <c r="C102" s="15" t="n"/>
      <c r="D102" s="15" t="n"/>
      <c r="E102" s="15" t="n"/>
      <c r="F102" s="15" t="n"/>
      <c r="G102" s="15" t="n"/>
      <c r="H102" s="15" t="n"/>
      <c r="I102" s="15" t="n"/>
      <c r="J102" s="15" t="n"/>
      <c r="K102" s="15" t="n"/>
    </row>
    <row r="103">
      <c r="A103" s="38" t="inlineStr">
        <is>
          <t>CARFAX: Subscription</t>
        </is>
      </c>
      <c r="B103" s="3" t="n"/>
      <c r="C103" s="3" t="n"/>
      <c r="D103" s="3" t="n"/>
      <c r="E103" s="30" t="n">
        <v>225</v>
      </c>
      <c r="F103" s="3" t="n"/>
      <c r="G103" s="3" t="n"/>
      <c r="H103" s="30" t="n">
        <v>242</v>
      </c>
      <c r="I103" s="3" t="n"/>
      <c r="J103" s="3" t="n"/>
      <c r="K103" s="4" t="inlineStr">
        <is>
          <t>Form10A_2026-05-27 p432</t>
        </is>
      </c>
    </row>
    <row r="104">
      <c r="A104" s="38" t="inlineStr">
        <is>
          <t>CARFAX: Non - subscription</t>
        </is>
      </c>
      <c r="B104" s="3" t="n"/>
      <c r="C104" s="3" t="n"/>
      <c r="D104" s="3" t="n"/>
      <c r="E104" s="30" t="n">
        <v>50</v>
      </c>
      <c r="F104" s="3" t="n"/>
      <c r="G104" s="3" t="n"/>
      <c r="H104" s="30" t="n">
        <v>56</v>
      </c>
      <c r="I104" s="3" t="n"/>
      <c r="J104" s="3" t="n"/>
      <c r="K104" s="4" t="inlineStr">
        <is>
          <t>Form10A_2026-05-27 p432</t>
        </is>
      </c>
    </row>
    <row r="105">
      <c r="A105" s="39" t="inlineStr">
        <is>
          <t>CARFAX: Total revenue</t>
        </is>
      </c>
      <c r="B105" s="3" t="n"/>
      <c r="C105" s="3" t="n"/>
      <c r="D105" s="3" t="n"/>
      <c r="E105" s="18" t="n">
        <v>275</v>
      </c>
      <c r="F105" s="3" t="n"/>
      <c r="G105" s="3" t="n"/>
      <c r="H105" s="18" t="n">
        <v>298</v>
      </c>
      <c r="I105" s="3" t="n"/>
      <c r="J105" s="3" t="n"/>
      <c r="K105" s="4" t="inlineStr">
        <is>
          <t>Form10A_2026-05-27 p432</t>
        </is>
      </c>
    </row>
    <row r="106">
      <c r="A106" s="38" t="inlineStr">
        <is>
          <t>CARFAX: Services transferred at a point in time</t>
        </is>
      </c>
      <c r="B106" s="3" t="n"/>
      <c r="C106" s="3" t="n"/>
      <c r="D106" s="3" t="n"/>
      <c r="E106" s="30" t="n">
        <v>50</v>
      </c>
      <c r="F106" s="3" t="n"/>
      <c r="G106" s="3" t="n"/>
      <c r="H106" s="30" t="n">
        <v>56</v>
      </c>
      <c r="I106" s="3" t="n"/>
      <c r="J106" s="3" t="n"/>
      <c r="K106" s="4" t="inlineStr">
        <is>
          <t>Form10A_2026-05-27 p432</t>
        </is>
      </c>
    </row>
    <row r="107">
      <c r="A107" s="38" t="inlineStr">
        <is>
          <t>CARFAX: Services transferred over time</t>
        </is>
      </c>
      <c r="B107" s="3" t="n"/>
      <c r="C107" s="3" t="n"/>
      <c r="D107" s="3" t="n"/>
      <c r="E107" s="30" t="n">
        <v>225</v>
      </c>
      <c r="F107" s="3" t="n"/>
      <c r="G107" s="3" t="n"/>
      <c r="H107" s="30" t="n">
        <v>242</v>
      </c>
      <c r="I107" s="3" t="n"/>
      <c r="J107" s="3" t="n"/>
      <c r="K107" s="4" t="inlineStr">
        <is>
          <t>Form10A_2026-05-27 p432</t>
        </is>
      </c>
    </row>
    <row r="108">
      <c r="A108" s="38" t="inlineStr">
        <is>
          <t>B2B: Subscription</t>
        </is>
      </c>
      <c r="B108" s="3" t="n"/>
      <c r="C108" s="3" t="n"/>
      <c r="D108" s="3" t="n"/>
      <c r="E108" s="30" t="n">
        <v>118</v>
      </c>
      <c r="F108" s="3" t="n"/>
      <c r="G108" s="3" t="n"/>
      <c r="H108" s="30" t="n">
        <v>130</v>
      </c>
      <c r="I108" s="3" t="n"/>
      <c r="J108" s="3" t="n"/>
      <c r="K108" s="4" t="inlineStr">
        <is>
          <t>Form10A_2026-05-27 p432</t>
        </is>
      </c>
    </row>
    <row r="109">
      <c r="A109" s="38" t="inlineStr">
        <is>
          <t>B2B: Non - subscription</t>
        </is>
      </c>
      <c r="B109" s="3" t="n"/>
      <c r="C109" s="3" t="n"/>
      <c r="D109" s="3" t="n"/>
      <c r="E109" s="30" t="n">
        <v>27</v>
      </c>
      <c r="F109" s="3" t="n"/>
      <c r="G109" s="3" t="n"/>
      <c r="H109" s="30" t="n">
        <v>27</v>
      </c>
      <c r="I109" s="3" t="n"/>
      <c r="J109" s="3" t="n"/>
      <c r="K109" s="4" t="inlineStr">
        <is>
          <t>Form10A_2026-05-27 p432</t>
        </is>
      </c>
    </row>
    <row r="110">
      <c r="A110" s="39" t="inlineStr">
        <is>
          <t>B2B: Total revenue</t>
        </is>
      </c>
      <c r="B110" s="3" t="n"/>
      <c r="C110" s="3" t="n"/>
      <c r="D110" s="3" t="n"/>
      <c r="E110" s="18" t="n">
        <v>145</v>
      </c>
      <c r="F110" s="3" t="n"/>
      <c r="G110" s="3" t="n"/>
      <c r="H110" s="18" t="n">
        <v>157</v>
      </c>
      <c r="I110" s="3" t="n"/>
      <c r="J110" s="3" t="n"/>
      <c r="K110" s="4" t="inlineStr">
        <is>
          <t>Form10A_2026-05-27 p432</t>
        </is>
      </c>
    </row>
    <row r="111">
      <c r="A111" s="38" t="inlineStr">
        <is>
          <t>B2B: Services transferred at a point in time</t>
        </is>
      </c>
      <c r="B111" s="3" t="n"/>
      <c r="C111" s="3" t="n"/>
      <c r="D111" s="3" t="n"/>
      <c r="E111" s="30" t="n">
        <v>27</v>
      </c>
      <c r="F111" s="3" t="n"/>
      <c r="G111" s="3" t="n"/>
      <c r="H111" s="30" t="n">
        <v>27</v>
      </c>
      <c r="I111" s="3" t="n"/>
      <c r="J111" s="3" t="n"/>
      <c r="K111" s="4" t="inlineStr">
        <is>
          <t>Form10A_2026-05-27 p432</t>
        </is>
      </c>
    </row>
    <row r="112">
      <c r="A112" s="38" t="inlineStr">
        <is>
          <t>B2B: Services transferred over time</t>
        </is>
      </c>
      <c r="B112" s="3" t="n"/>
      <c r="C112" s="3" t="n"/>
      <c r="D112" s="3" t="n"/>
      <c r="E112" s="30" t="n">
        <v>118</v>
      </c>
      <c r="F112" s="3" t="n"/>
      <c r="G112" s="3" t="n"/>
      <c r="H112" s="30" t="n">
        <v>130</v>
      </c>
      <c r="I112" s="3" t="n"/>
      <c r="J112" s="3" t="n"/>
      <c r="K112" s="4" t="inlineStr">
        <is>
          <t>Form10A_2026-05-27 p432</t>
        </is>
      </c>
    </row>
    <row r="113">
      <c r="A113" s="38" t="inlineStr">
        <is>
          <t>Total: Subscription</t>
        </is>
      </c>
      <c r="B113" s="3" t="n"/>
      <c r="C113" s="3" t="n"/>
      <c r="D113" s="3" t="n"/>
      <c r="E113" s="30" t="n">
        <v>343</v>
      </c>
      <c r="F113" s="3" t="n"/>
      <c r="G113" s="3" t="n"/>
      <c r="H113" s="30" t="n">
        <v>372</v>
      </c>
      <c r="I113" s="3" t="n"/>
      <c r="J113" s="3" t="n"/>
      <c r="K113" s="4" t="inlineStr">
        <is>
          <t>Form10A_2026-05-27 p432</t>
        </is>
      </c>
    </row>
    <row r="114">
      <c r="A114" s="38" t="inlineStr">
        <is>
          <t>Total: Non - subscription</t>
        </is>
      </c>
      <c r="B114" s="3" t="n"/>
      <c r="C114" s="3" t="n"/>
      <c r="D114" s="3" t="n"/>
      <c r="E114" s="30" t="n">
        <v>77</v>
      </c>
      <c r="F114" s="3" t="n"/>
      <c r="G114" s="3" t="n"/>
      <c r="H114" s="30" t="n">
        <v>83</v>
      </c>
      <c r="I114" s="3" t="n"/>
      <c r="J114" s="3" t="n"/>
      <c r="K114" s="4" t="inlineStr">
        <is>
          <t>Form10A_2026-05-27 p432</t>
        </is>
      </c>
    </row>
    <row r="115">
      <c r="A115" s="39" t="inlineStr">
        <is>
          <t>Total: Total revenue</t>
        </is>
      </c>
      <c r="B115" s="3" t="n"/>
      <c r="C115" s="3" t="n"/>
      <c r="D115" s="3" t="n"/>
      <c r="E115" s="18" t="n">
        <v>420</v>
      </c>
      <c r="F115" s="3" t="n"/>
      <c r="G115" s="3" t="n"/>
      <c r="H115" s="18" t="n">
        <v>455</v>
      </c>
      <c r="I115" s="3" t="n"/>
      <c r="J115" s="3" t="n"/>
      <c r="K115" s="4" t="inlineStr">
        <is>
          <t>Form10A_2026-05-27 p432</t>
        </is>
      </c>
    </row>
    <row r="116">
      <c r="A116" s="38" t="inlineStr">
        <is>
          <t>Total: Services transferred at a point in time</t>
        </is>
      </c>
      <c r="B116" s="3" t="n"/>
      <c r="C116" s="3" t="n"/>
      <c r="D116" s="3" t="n"/>
      <c r="E116" s="30" t="n">
        <v>77</v>
      </c>
      <c r="F116" s="3" t="n"/>
      <c r="G116" s="3" t="n"/>
      <c r="H116" s="30" t="n">
        <v>83</v>
      </c>
      <c r="I116" s="3" t="n"/>
      <c r="J116" s="3" t="n"/>
      <c r="K116" s="4" t="inlineStr">
        <is>
          <t>Form10A_2026-05-27 p432</t>
        </is>
      </c>
    </row>
    <row r="117">
      <c r="A117" s="38" t="inlineStr">
        <is>
          <t>Total: Services transferred over time</t>
        </is>
      </c>
      <c r="B117" s="3" t="n"/>
      <c r="C117" s="3" t="n"/>
      <c r="D117" s="3" t="n"/>
      <c r="E117" s="30" t="n">
        <v>343</v>
      </c>
      <c r="F117" s="3" t="n"/>
      <c r="G117" s="3" t="n"/>
      <c r="H117" s="30" t="n">
        <v>372</v>
      </c>
      <c r="I117" s="3" t="n"/>
      <c r="J117" s="3" t="n"/>
      <c r="K117" s="4" t="inlineStr">
        <is>
          <t>Form10A_2026-05-27 p432</t>
        </is>
      </c>
    </row>
    <row r="118">
      <c r="A118" s="14" t="inlineStr">
        <is>
          <t>Form10A_2026-05-27 · Interim Note 7 revenue by geographic region</t>
        </is>
      </c>
      <c r="B118" s="15" t="n"/>
      <c r="C118" s="15" t="n"/>
      <c r="D118" s="15" t="n"/>
      <c r="E118" s="15" t="n"/>
      <c r="F118" s="15" t="n"/>
      <c r="G118" s="15" t="n"/>
      <c r="H118" s="15" t="n"/>
      <c r="I118" s="15" t="n"/>
      <c r="J118" s="15" t="n"/>
      <c r="K118" s="15" t="n"/>
    </row>
    <row r="119">
      <c r="A119" s="38" t="inlineStr">
        <is>
          <t>U.S.</t>
        </is>
      </c>
      <c r="B119" s="3" t="n"/>
      <c r="C119" s="3" t="n"/>
      <c r="D119" s="3" t="n"/>
      <c r="E119" s="30" t="n">
        <v>350</v>
      </c>
      <c r="F119" s="3" t="n"/>
      <c r="G119" s="3" t="n"/>
      <c r="H119" s="30" t="n">
        <v>376</v>
      </c>
      <c r="I119" s="3" t="n"/>
      <c r="J119" s="3" t="n"/>
      <c r="K119" s="4" t="inlineStr">
        <is>
          <t>Form10A_2026-05-27 p433</t>
        </is>
      </c>
    </row>
    <row r="120">
      <c r="A120" s="38" t="inlineStr">
        <is>
          <t>International</t>
        </is>
      </c>
      <c r="B120" s="3" t="n"/>
      <c r="C120" s="3" t="n"/>
      <c r="D120" s="3" t="n"/>
      <c r="E120" s="30" t="n">
        <v>70</v>
      </c>
      <c r="F120" s="3" t="n"/>
      <c r="G120" s="3" t="n"/>
      <c r="H120" s="30" t="n">
        <v>79</v>
      </c>
      <c r="I120" s="3" t="n"/>
      <c r="J120" s="3" t="n"/>
      <c r="K120" s="4" t="inlineStr">
        <is>
          <t>Form10A_2026-05-27 p433</t>
        </is>
      </c>
    </row>
    <row r="121">
      <c r="A121" s="39" t="inlineStr">
        <is>
          <t>Total</t>
        </is>
      </c>
      <c r="B121" s="3" t="n"/>
      <c r="C121" s="3" t="n"/>
      <c r="D121" s="3" t="n"/>
      <c r="E121" s="18" t="n">
        <v>420</v>
      </c>
      <c r="F121" s="3" t="n"/>
      <c r="G121" s="3" t="n"/>
      <c r="H121" s="18" t="n">
        <v>455</v>
      </c>
      <c r="I121" s="3" t="n"/>
      <c r="J121" s="3" t="n"/>
      <c r="K121" s="4" t="inlineStr">
        <is>
          <t>Form10A_2026-05-27 p433</t>
        </is>
      </c>
    </row>
    <row r="122">
      <c r="A122" s="14" t="inlineStr">
        <is>
          <t>Form10A_2026-05-27 · Audited Note 8 revenue disaggregated by revenue type</t>
        </is>
      </c>
      <c r="B122" s="15" t="n"/>
      <c r="C122" s="15" t="n"/>
      <c r="D122" s="15" t="n"/>
      <c r="E122" s="15" t="n"/>
      <c r="F122" s="15" t="n"/>
      <c r="G122" s="15" t="n"/>
      <c r="H122" s="15" t="n"/>
      <c r="I122" s="15" t="n"/>
      <c r="J122" s="15" t="n"/>
      <c r="K122" s="15" t="n"/>
    </row>
    <row r="123">
      <c r="A123" s="38" t="inlineStr">
        <is>
          <t>CARFAX: Subscription</t>
        </is>
      </c>
      <c r="B123" s="30" t="n">
        <v>748</v>
      </c>
      <c r="C123" s="30" t="n">
        <v>843</v>
      </c>
      <c r="D123" s="30" t="n">
        <v>927</v>
      </c>
      <c r="E123" s="3" t="n"/>
      <c r="F123" s="3" t="n"/>
      <c r="G123" s="3" t="n"/>
      <c r="H123" s="3" t="n"/>
      <c r="I123" s="3" t="n"/>
      <c r="J123" s="3" t="n"/>
      <c r="K123" s="4" t="inlineStr">
        <is>
          <t>Form10A_2026-05-27 p462; Form10A_2026-05-27 p463</t>
        </is>
      </c>
    </row>
    <row r="124">
      <c r="A124" s="38" t="inlineStr">
        <is>
          <t>CARFAX: Non - subscription</t>
        </is>
      </c>
      <c r="B124" s="30" t="n">
        <v>180</v>
      </c>
      <c r="C124" s="30" t="n">
        <v>196</v>
      </c>
      <c r="D124" s="30" t="n">
        <v>215</v>
      </c>
      <c r="E124" s="3" t="n"/>
      <c r="F124" s="3" t="n"/>
      <c r="G124" s="3" t="n"/>
      <c r="H124" s="3" t="n"/>
      <c r="I124" s="3" t="n"/>
      <c r="J124" s="3" t="n"/>
      <c r="K124" s="4" t="inlineStr">
        <is>
          <t>Form10A_2026-05-27 p462; Form10A_2026-05-27 p463</t>
        </is>
      </c>
    </row>
    <row r="125">
      <c r="A125" s="39" t="inlineStr">
        <is>
          <t>CARFAX: Total revenue</t>
        </is>
      </c>
      <c r="B125" s="18" t="n">
        <v>928</v>
      </c>
      <c r="C125" s="18" t="n">
        <v>1039</v>
      </c>
      <c r="D125" s="18" t="n">
        <v>1142</v>
      </c>
      <c r="E125" s="3" t="n"/>
      <c r="F125" s="3" t="n"/>
      <c r="G125" s="3" t="n"/>
      <c r="H125" s="3" t="n"/>
      <c r="I125" s="3" t="n"/>
      <c r="J125" s="3" t="n"/>
      <c r="K125" s="4" t="inlineStr">
        <is>
          <t>Form10A_2026-05-27 p462; Form10A_2026-05-27 p463</t>
        </is>
      </c>
    </row>
    <row r="126">
      <c r="A126" s="38" t="inlineStr">
        <is>
          <t>CARFAX: Services transferred at a point in time</t>
        </is>
      </c>
      <c r="B126" s="30" t="n">
        <v>180</v>
      </c>
      <c r="C126" s="30" t="n">
        <v>196</v>
      </c>
      <c r="D126" s="30" t="n">
        <v>215</v>
      </c>
      <c r="E126" s="3" t="n"/>
      <c r="F126" s="3" t="n"/>
      <c r="G126" s="3" t="n"/>
      <c r="H126" s="3" t="n"/>
      <c r="I126" s="3" t="n"/>
      <c r="J126" s="3" t="n"/>
      <c r="K126" s="4" t="inlineStr">
        <is>
          <t>Form10A_2026-05-27 p462; Form10A_2026-05-27 p463</t>
        </is>
      </c>
    </row>
    <row r="127">
      <c r="A127" s="38" t="inlineStr">
        <is>
          <t>CARFAX: Services transferred over time</t>
        </is>
      </c>
      <c r="B127" s="30" t="n">
        <v>748</v>
      </c>
      <c r="C127" s="30" t="n">
        <v>843</v>
      </c>
      <c r="D127" s="30" t="n">
        <v>927</v>
      </c>
      <c r="E127" s="3" t="n"/>
      <c r="F127" s="3" t="n"/>
      <c r="G127" s="3" t="n"/>
      <c r="H127" s="3" t="n"/>
      <c r="I127" s="3" t="n"/>
      <c r="J127" s="3" t="n"/>
      <c r="K127" s="4" t="inlineStr">
        <is>
          <t>Form10A_2026-05-27 p462; Form10A_2026-05-27 p463</t>
        </is>
      </c>
    </row>
    <row r="128">
      <c r="A128" s="38" t="inlineStr">
        <is>
          <t>B2B: Subscription</t>
        </is>
      </c>
      <c r="B128" s="30" t="n">
        <v>422</v>
      </c>
      <c r="C128" s="30" t="n">
        <v>460</v>
      </c>
      <c r="D128" s="30" t="n">
        <v>499</v>
      </c>
      <c r="E128" s="3" t="n"/>
      <c r="F128" s="3" t="n"/>
      <c r="G128" s="3" t="n"/>
      <c r="H128" s="3" t="n"/>
      <c r="I128" s="3" t="n"/>
      <c r="J128" s="3" t="n"/>
      <c r="K128" s="4" t="inlineStr">
        <is>
          <t>Form10A_2026-05-27 p462; Form10A_2026-05-27 p463</t>
        </is>
      </c>
    </row>
    <row r="129">
      <c r="A129" s="38" t="inlineStr">
        <is>
          <t>B2B: Non - subscription</t>
        </is>
      </c>
      <c r="B129" s="30" t="n">
        <v>135</v>
      </c>
      <c r="C129" s="30" t="n">
        <v>114</v>
      </c>
      <c r="D129" s="30" t="n">
        <v>109</v>
      </c>
      <c r="E129" s="3" t="n"/>
      <c r="F129" s="3" t="n"/>
      <c r="G129" s="3" t="n"/>
      <c r="H129" s="3" t="n"/>
      <c r="I129" s="3" t="n"/>
      <c r="J129" s="3" t="n"/>
      <c r="K129" s="4" t="inlineStr">
        <is>
          <t>Form10A_2026-05-27 p462; Form10A_2026-05-27 p463</t>
        </is>
      </c>
    </row>
    <row r="130">
      <c r="A130" s="39" t="inlineStr">
        <is>
          <t>B2B: Total revenue</t>
        </is>
      </c>
      <c r="B130" s="18" t="n">
        <v>557</v>
      </c>
      <c r="C130" s="18" t="n">
        <v>574</v>
      </c>
      <c r="D130" s="18" t="n">
        <v>608</v>
      </c>
      <c r="E130" s="3" t="n"/>
      <c r="F130" s="3" t="n"/>
      <c r="G130" s="3" t="n"/>
      <c r="H130" s="3" t="n"/>
      <c r="I130" s="3" t="n"/>
      <c r="J130" s="3" t="n"/>
      <c r="K130" s="4" t="inlineStr">
        <is>
          <t>Form10A_2026-05-27 p462; Form10A_2026-05-27 p463</t>
        </is>
      </c>
    </row>
    <row r="131">
      <c r="A131" s="38" t="inlineStr">
        <is>
          <t>B2B: Services transferred at a point in time</t>
        </is>
      </c>
      <c r="B131" s="30" t="n">
        <v>135</v>
      </c>
      <c r="C131" s="30" t="n">
        <v>114</v>
      </c>
      <c r="D131" s="30" t="n">
        <v>109</v>
      </c>
      <c r="E131" s="3" t="n"/>
      <c r="F131" s="3" t="n"/>
      <c r="G131" s="3" t="n"/>
      <c r="H131" s="3" t="n"/>
      <c r="I131" s="3" t="n"/>
      <c r="J131" s="3" t="n"/>
      <c r="K131" s="4" t="inlineStr">
        <is>
          <t>Form10A_2026-05-27 p462; Form10A_2026-05-27 p463</t>
        </is>
      </c>
    </row>
    <row r="132">
      <c r="A132" s="38" t="inlineStr">
        <is>
          <t>B2B: Services transferred over time</t>
        </is>
      </c>
      <c r="B132" s="30" t="n">
        <v>422</v>
      </c>
      <c r="C132" s="30" t="n">
        <v>460</v>
      </c>
      <c r="D132" s="30" t="n">
        <v>499</v>
      </c>
      <c r="E132" s="3" t="n"/>
      <c r="F132" s="3" t="n"/>
      <c r="G132" s="3" t="n"/>
      <c r="H132" s="3" t="n"/>
      <c r="I132" s="3" t="n"/>
      <c r="J132" s="3" t="n"/>
      <c r="K132" s="4" t="inlineStr">
        <is>
          <t>Form10A_2026-05-27 p462; Form10A_2026-05-27 p463</t>
        </is>
      </c>
    </row>
    <row r="133">
      <c r="A133" s="38" t="inlineStr">
        <is>
          <t>Total: Subscription</t>
        </is>
      </c>
      <c r="B133" s="30" t="n">
        <v>1170</v>
      </c>
      <c r="C133" s="30" t="n">
        <v>1303</v>
      </c>
      <c r="D133" s="30" t="n">
        <v>1426</v>
      </c>
      <c r="E133" s="3" t="n"/>
      <c r="F133" s="3" t="n"/>
      <c r="G133" s="3" t="n"/>
      <c r="H133" s="3" t="n"/>
      <c r="I133" s="3" t="n"/>
      <c r="J133" s="3" t="n"/>
      <c r="K133" s="4" t="inlineStr">
        <is>
          <t>Form10A_2026-05-27 p462; Form10A_2026-05-27 p463</t>
        </is>
      </c>
    </row>
    <row r="134">
      <c r="A134" s="38" t="inlineStr">
        <is>
          <t>Total: Non - subscription</t>
        </is>
      </c>
      <c r="B134" s="30" t="n">
        <v>315</v>
      </c>
      <c r="C134" s="30" t="n">
        <v>310</v>
      </c>
      <c r="D134" s="30" t="n">
        <v>324</v>
      </c>
      <c r="E134" s="3" t="n"/>
      <c r="F134" s="3" t="n"/>
      <c r="G134" s="3" t="n"/>
      <c r="H134" s="3" t="n"/>
      <c r="I134" s="3" t="n"/>
      <c r="J134" s="3" t="n"/>
      <c r="K134" s="4" t="inlineStr">
        <is>
          <t>Form10A_2026-05-27 p462; Form10A_2026-05-27 p463</t>
        </is>
      </c>
    </row>
    <row r="135">
      <c r="A135" s="39" t="inlineStr">
        <is>
          <t>Total: Total revenue</t>
        </is>
      </c>
      <c r="B135" s="18" t="n">
        <v>1485</v>
      </c>
      <c r="C135" s="18" t="n">
        <v>1613</v>
      </c>
      <c r="D135" s="18" t="n">
        <v>1750</v>
      </c>
      <c r="E135" s="3" t="n"/>
      <c r="F135" s="3" t="n"/>
      <c r="G135" s="3" t="n"/>
      <c r="H135" s="3" t="n"/>
      <c r="I135" s="3" t="n"/>
      <c r="J135" s="3" t="n"/>
      <c r="K135" s="4" t="inlineStr">
        <is>
          <t>Form10A_2026-05-27 p462; Form10A_2026-05-27 p463</t>
        </is>
      </c>
    </row>
    <row r="136">
      <c r="A136" s="38" t="inlineStr">
        <is>
          <t>Total: Services transferred at a point in time</t>
        </is>
      </c>
      <c r="B136" s="30" t="n">
        <v>315</v>
      </c>
      <c r="C136" s="30" t="n">
        <v>310</v>
      </c>
      <c r="D136" s="30" t="n">
        <v>324</v>
      </c>
      <c r="E136" s="3" t="n"/>
      <c r="F136" s="3" t="n"/>
      <c r="G136" s="3" t="n"/>
      <c r="H136" s="3" t="n"/>
      <c r="I136" s="3" t="n"/>
      <c r="J136" s="3" t="n"/>
      <c r="K136" s="4" t="inlineStr">
        <is>
          <t>Form10A_2026-05-27 p462; Form10A_2026-05-27 p463</t>
        </is>
      </c>
    </row>
    <row r="137">
      <c r="A137" s="38" t="inlineStr">
        <is>
          <t>Total: Services transferred over time</t>
        </is>
      </c>
      <c r="B137" s="30" t="n">
        <v>1170</v>
      </c>
      <c r="C137" s="30" t="n">
        <v>1303</v>
      </c>
      <c r="D137" s="30" t="n">
        <v>1426</v>
      </c>
      <c r="E137" s="3" t="n"/>
      <c r="F137" s="3" t="n"/>
      <c r="G137" s="3" t="n"/>
      <c r="H137" s="3" t="n"/>
      <c r="I137" s="3" t="n"/>
      <c r="J137" s="3" t="n"/>
      <c r="K137" s="4" t="inlineStr">
        <is>
          <t>Form10A_2026-05-27 p462; Form10A_2026-05-27 p463</t>
        </is>
      </c>
    </row>
    <row r="138">
      <c r="A138" s="14" t="inlineStr">
        <is>
          <t>Form10A_2026-05-27 · Audited Note 8 revenue by geographic region</t>
        </is>
      </c>
      <c r="B138" s="15" t="n"/>
      <c r="C138" s="15" t="n"/>
      <c r="D138" s="15" t="n"/>
      <c r="E138" s="15" t="n"/>
      <c r="F138" s="15" t="n"/>
      <c r="G138" s="15" t="n"/>
      <c r="H138" s="15" t="n"/>
      <c r="I138" s="15" t="n"/>
      <c r="J138" s="15" t="n"/>
      <c r="K138" s="15" t="n"/>
    </row>
    <row r="139">
      <c r="A139" s="38" t="inlineStr">
        <is>
          <t>U.S.</t>
        </is>
      </c>
      <c r="B139" s="30" t="n">
        <v>1224</v>
      </c>
      <c r="C139" s="30" t="n">
        <v>1329</v>
      </c>
      <c r="D139" s="30" t="n">
        <v>1454</v>
      </c>
      <c r="E139" s="3" t="n"/>
      <c r="F139" s="3" t="n"/>
      <c r="G139" s="3" t="n"/>
      <c r="H139" s="3" t="n"/>
      <c r="I139" s="3" t="n"/>
      <c r="J139" s="3" t="n"/>
      <c r="K139" s="4" t="inlineStr">
        <is>
          <t>Form10A_2026-05-27 p463</t>
        </is>
      </c>
    </row>
    <row r="140">
      <c r="A140" s="38" t="inlineStr">
        <is>
          <t>International</t>
        </is>
      </c>
      <c r="B140" s="30" t="n">
        <v>261</v>
      </c>
      <c r="C140" s="30" t="n">
        <v>284</v>
      </c>
      <c r="D140" s="30" t="n">
        <v>296</v>
      </c>
      <c r="E140" s="3" t="n"/>
      <c r="F140" s="3" t="n"/>
      <c r="G140" s="3" t="n"/>
      <c r="H140" s="3" t="n"/>
      <c r="I140" s="3" t="n"/>
      <c r="J140" s="3" t="n"/>
      <c r="K140" s="4" t="inlineStr">
        <is>
          <t>Form10A_2026-05-27 p463</t>
        </is>
      </c>
    </row>
    <row r="141">
      <c r="A141" s="39" t="inlineStr">
        <is>
          <t>Total</t>
        </is>
      </c>
      <c r="B141" s="18" t="n">
        <v>1485</v>
      </c>
      <c r="C141" s="18" t="n">
        <v>1613</v>
      </c>
      <c r="D141" s="18" t="n">
        <v>1750</v>
      </c>
      <c r="E141" s="3" t="n"/>
      <c r="F141" s="3" t="n"/>
      <c r="G141" s="3" t="n"/>
      <c r="H141" s="3" t="n"/>
      <c r="I141" s="3" t="n"/>
      <c r="J141" s="3" t="n"/>
      <c r="K141" s="4" t="inlineStr">
        <is>
          <t>Form10A_2026-05-27 p463</t>
        </is>
      </c>
    </row>
    <row r="142">
      <c r="A142" s="14" t="inlineStr">
        <is>
          <t>10Q_Q2-2026 · Definitions (10-Q MD&amp;A)</t>
        </is>
      </c>
      <c r="B142" s="15" t="n"/>
      <c r="C142" s="15" t="n"/>
      <c r="D142" s="15" t="n"/>
      <c r="E142" s="15" t="n"/>
      <c r="F142" s="15" t="n"/>
      <c r="G142" s="15" t="n"/>
      <c r="H142" s="15" t="n"/>
      <c r="I142" s="15" t="n"/>
      <c r="J142" s="15" t="n"/>
      <c r="K142" s="15" t="n"/>
    </row>
    <row r="143">
      <c r="A143" s="38" t="inlineStr">
        <is>
          <t>Definition: Subscription / Non-subscription revenue</t>
        </is>
      </c>
      <c r="B143" s="3" t="n"/>
      <c r="C143" s="3" t="n"/>
      <c r="D143" s="3" t="n"/>
      <c r="E143" s="3" t="n"/>
      <c r="F143" s="3" t="n"/>
      <c r="G143" s="3" t="n"/>
      <c r="H143" s="3" t="n"/>
      <c r="I143" s="42" t="inlineStr">
        <is>
          <t>Subscription revenue is recognized ratably. Non-subscription revenue includes transactional sales of data that are non-cyclical in nature and that are usually tied to underlying business metrics such as vehicle manufacturers, marketing spend, or safety recall activity.</t>
        </is>
      </c>
      <c r="J143" s="3" t="n"/>
      <c r="K143" s="4" t="inlineStr">
        <is>
          <t>10Q_Q2-2026 p23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5" customWidth="1" min="11" max="11"/>
    <col hidden="1" width="13" customWidth="1" min="26" max="26"/>
  </cols>
  <sheetData>
    <row r="1" ht="20" customHeight="1">
      <c r="A1" s="1" t="inlineStr">
        <is>
          <t>Non-GAAP / APMs — as printed per document</t>
        </is>
      </c>
      <c r="B1" s="2" t="n"/>
      <c r="C1" s="2" t="n"/>
      <c r="D1" s="2" t="n"/>
      <c r="E1" s="2" t="n"/>
      <c r="F1" s="2" t="n"/>
      <c r="G1" s="2" t="n"/>
      <c r="H1" s="2" t="n"/>
      <c r="I1" s="2" t="n"/>
      <c r="J1" s="2" t="n"/>
      <c r="K1" s="2" t="n"/>
    </row>
    <row r="2">
      <c r="A2" s="4" t="inlineStr">
        <is>
          <t>Adjusted EBITDA definition: 10 exclusions (Form 10, 10/A) vs 6 (10-Q, 8-K). 8-K Exhibit 5 add-back lines corrupted in source text — 10-Q used. Unaudited.</t>
        </is>
      </c>
      <c r="B2" s="3" t="n"/>
      <c r="C2" s="3" t="n"/>
      <c r="D2" s="3" t="n"/>
      <c r="E2" s="3" t="n"/>
      <c r="F2" s="3" t="n"/>
      <c r="G2" s="3" t="n"/>
      <c r="H2" s="3" t="n"/>
      <c r="I2" s="3" t="n"/>
      <c r="J2" s="3" t="n"/>
      <c r="K2" s="3" t="n"/>
    </row>
    <row r="3">
      <c r="A3" s="3" t="n"/>
      <c r="B3" s="3" t="n"/>
      <c r="C3" s="3" t="n"/>
      <c r="D3" s="3" t="n"/>
      <c r="E3" s="3" t="n"/>
      <c r="F3" s="3" t="n"/>
      <c r="G3" s="3" t="n"/>
      <c r="H3" s="3" t="n"/>
      <c r="I3" s="3" t="n"/>
      <c r="J3" s="3" t="n"/>
      <c r="K3" s="3" t="n"/>
    </row>
    <row r="4">
      <c r="A4" s="9" t="inlineStr">
        <is>
          <t>Line item (verbatim caption)</t>
        </is>
      </c>
      <c r="B4" s="29" t="inlineStr">
        <is>
          <t>FY2023</t>
        </is>
      </c>
      <c r="C4" s="29" t="inlineStr">
        <is>
          <t>FY2024</t>
        </is>
      </c>
      <c r="D4" s="29" t="inlineStr">
        <is>
          <t>FY2025</t>
        </is>
      </c>
      <c r="E4" s="29" t="inlineStr">
        <is>
          <t>Q1-2025</t>
        </is>
      </c>
      <c r="F4" s="29" t="inlineStr">
        <is>
          <t>Q2-2025</t>
        </is>
      </c>
      <c r="G4" s="29" t="inlineStr">
        <is>
          <t>6M-2025</t>
        </is>
      </c>
      <c r="H4" s="29" t="inlineStr">
        <is>
          <t>Q1-2026</t>
        </is>
      </c>
      <c r="I4" s="29" t="inlineStr">
        <is>
          <t>Q2-2026</t>
        </is>
      </c>
      <c r="J4" s="29" t="inlineStr">
        <is>
          <t>6M-2026</t>
        </is>
      </c>
      <c r="K4" s="29" t="inlineStr">
        <is>
          <t>Source (doc p.)</t>
        </is>
      </c>
    </row>
    <row r="5">
      <c r="A5" s="14" t="inlineStr">
        <is>
          <t>10Q_Q2-2026 · Note 7 reconciliation of GAAP Net income to Adjusted EBITDA</t>
        </is>
      </c>
      <c r="B5" s="15" t="n"/>
      <c r="C5" s="15" t="n"/>
      <c r="D5" s="15" t="n"/>
      <c r="E5" s="15" t="n"/>
      <c r="F5" s="15" t="n"/>
      <c r="G5" s="15" t="n"/>
      <c r="H5" s="15" t="n"/>
      <c r="I5" s="15" t="n"/>
      <c r="J5" s="15" t="n"/>
      <c r="K5" s="15" t="n"/>
    </row>
    <row r="6">
      <c r="A6" s="38" t="inlineStr">
        <is>
          <t>Net income</t>
        </is>
      </c>
      <c r="B6" s="3" t="n"/>
      <c r="C6" s="3" t="n"/>
      <c r="D6" s="3" t="n"/>
      <c r="E6" s="3" t="n"/>
      <c r="F6" s="30" t="n">
        <v>65</v>
      </c>
      <c r="G6" s="30" t="n">
        <v>123</v>
      </c>
      <c r="H6" s="3" t="n"/>
      <c r="I6" s="30" t="n">
        <v>53</v>
      </c>
      <c r="J6" s="30" t="n">
        <v>108</v>
      </c>
      <c r="K6" s="4" t="inlineStr">
        <is>
          <t>10Q_Q2-2026 p15</t>
        </is>
      </c>
    </row>
    <row r="7">
      <c r="A7" s="38" t="inlineStr">
        <is>
          <t>Interest expense, net</t>
        </is>
      </c>
      <c r="B7" s="3" t="n"/>
      <c r="C7" s="3" t="n"/>
      <c r="D7" s="3" t="n"/>
      <c r="E7" s="3" t="n"/>
      <c r="F7" s="30" t="n">
        <v>4</v>
      </c>
      <c r="G7" s="30" t="n">
        <v>7</v>
      </c>
      <c r="H7" s="3" t="n"/>
      <c r="I7" s="30" t="n">
        <v>7</v>
      </c>
      <c r="J7" s="30" t="n">
        <v>10</v>
      </c>
      <c r="K7" s="4" t="inlineStr">
        <is>
          <t>10Q_Q2-2026 p15</t>
        </is>
      </c>
    </row>
    <row r="8">
      <c r="A8" s="38" t="inlineStr">
        <is>
          <t>Provision for taxes on income</t>
        </is>
      </c>
      <c r="B8" s="3" t="n"/>
      <c r="C8" s="3" t="n"/>
      <c r="D8" s="3" t="n"/>
      <c r="E8" s="3" t="n"/>
      <c r="F8" s="30" t="n">
        <v>27</v>
      </c>
      <c r="G8" s="30" t="n">
        <v>50</v>
      </c>
      <c r="H8" s="3" t="n"/>
      <c r="I8" s="30" t="n">
        <v>22</v>
      </c>
      <c r="J8" s="30" t="n">
        <v>45</v>
      </c>
      <c r="K8" s="4" t="inlineStr">
        <is>
          <t>10Q_Q2-2026 p15</t>
        </is>
      </c>
    </row>
    <row r="9">
      <c r="A9" s="38" t="inlineStr">
        <is>
          <t>Depreciation and amortization</t>
        </is>
      </c>
      <c r="B9" s="3" t="n"/>
      <c r="C9" s="3" t="n"/>
      <c r="D9" s="3" t="n"/>
      <c r="E9" s="3" t="n"/>
      <c r="F9" s="30" t="n">
        <v>77</v>
      </c>
      <c r="G9" s="30" t="n">
        <v>155</v>
      </c>
      <c r="H9" s="3" t="n"/>
      <c r="I9" s="30" t="n">
        <v>77</v>
      </c>
      <c r="J9" s="30" t="n">
        <v>155</v>
      </c>
      <c r="K9" s="4" t="inlineStr">
        <is>
          <t>10Q_Q2-2026 p15</t>
        </is>
      </c>
    </row>
    <row r="10">
      <c r="A10" s="38" t="inlineStr">
        <is>
          <t>Stock-based compensation</t>
        </is>
      </c>
      <c r="B10" s="3" t="n"/>
      <c r="C10" s="3" t="n"/>
      <c r="D10" s="3" t="n"/>
      <c r="E10" s="3" t="n"/>
      <c r="F10" s="30" t="n">
        <v>4</v>
      </c>
      <c r="G10" s="30" t="n">
        <v>9</v>
      </c>
      <c r="H10" s="3" t="n"/>
      <c r="I10" s="30" t="n">
        <v>5</v>
      </c>
      <c r="J10" s="30" t="n">
        <v>9</v>
      </c>
      <c r="K10" s="4" t="inlineStr">
        <is>
          <t>10Q_Q2-2026 p15</t>
        </is>
      </c>
    </row>
    <row r="11">
      <c r="A11" s="38" t="inlineStr">
        <is>
          <t>Transaction costs</t>
        </is>
      </c>
      <c r="B11" s="3" t="n"/>
      <c r="C11" s="3" t="n"/>
      <c r="D11" s="3" t="n"/>
      <c r="E11" s="3" t="n"/>
      <c r="F11" s="30" t="n">
        <v>2</v>
      </c>
      <c r="G11" s="30" t="n">
        <v>2</v>
      </c>
      <c r="H11" s="3" t="n"/>
      <c r="I11" s="30" t="n">
        <v>36</v>
      </c>
      <c r="J11" s="30" t="n">
        <v>57</v>
      </c>
      <c r="K11" s="4" t="inlineStr">
        <is>
          <t>10Q_Q2-2026 p15</t>
        </is>
      </c>
    </row>
    <row r="12">
      <c r="A12" s="38" t="inlineStr">
        <is>
          <t>Employee severance charges and other</t>
        </is>
      </c>
      <c r="B12" s="3" t="n"/>
      <c r="C12" s="3" t="n"/>
      <c r="D12" s="3" t="n"/>
      <c r="E12" s="3" t="n"/>
      <c r="F12" s="30" t="n">
        <v>9</v>
      </c>
      <c r="G12" s="30" t="n">
        <v>11</v>
      </c>
      <c r="H12" s="3" t="n"/>
      <c r="I12" s="30" t="n">
        <v>2</v>
      </c>
      <c r="J12" s="30" t="n">
        <v>2</v>
      </c>
      <c r="K12" s="4" t="inlineStr">
        <is>
          <t>10Q_Q2-2026 p15</t>
        </is>
      </c>
    </row>
    <row r="13">
      <c r="A13" s="39" t="inlineStr">
        <is>
          <t>Adjusted EBITDA</t>
        </is>
      </c>
      <c r="B13" s="3" t="n"/>
      <c r="C13" s="3" t="n"/>
      <c r="D13" s="3" t="n"/>
      <c r="E13" s="3" t="n"/>
      <c r="F13" s="18" t="n">
        <v>188</v>
      </c>
      <c r="G13" s="18" t="n">
        <v>357</v>
      </c>
      <c r="H13" s="3" t="n"/>
      <c r="I13" s="18" t="n">
        <v>202</v>
      </c>
      <c r="J13" s="18" t="n">
        <v>386</v>
      </c>
      <c r="K13" s="4" t="inlineStr">
        <is>
          <t>10Q_Q2-2026 p15</t>
        </is>
      </c>
    </row>
    <row r="14">
      <c r="A14" s="14" t="inlineStr">
        <is>
          <t>10Q_Q2-2026 · MD&amp;A Non-GAAP reconciliation of Net income to Adjusted EBITDA by segment</t>
        </is>
      </c>
      <c r="B14" s="15" t="n"/>
      <c r="C14" s="15" t="n"/>
      <c r="D14" s="15" t="n"/>
      <c r="E14" s="15" t="n"/>
      <c r="F14" s="15" t="n"/>
      <c r="G14" s="15" t="n"/>
      <c r="H14" s="15" t="n"/>
      <c r="I14" s="15" t="n"/>
      <c r="J14" s="15" t="n"/>
      <c r="K14" s="15" t="n"/>
    </row>
    <row r="15">
      <c r="A15" s="38" t="inlineStr">
        <is>
          <t>Total: Net income (GAAP)</t>
        </is>
      </c>
      <c r="B15" s="3" t="n"/>
      <c r="C15" s="3" t="n"/>
      <c r="D15" s="3" t="n"/>
      <c r="E15" s="3" t="n"/>
      <c r="F15" s="30" t="n">
        <v>65</v>
      </c>
      <c r="G15" s="30" t="n">
        <v>123</v>
      </c>
      <c r="H15" s="3" t="n"/>
      <c r="I15" s="30" t="n">
        <v>53</v>
      </c>
      <c r="J15" s="30" t="n">
        <v>108</v>
      </c>
      <c r="K15" s="4" t="inlineStr">
        <is>
          <t>10Q_Q2-2026 p24; 10Q_Q2-2026 p25</t>
        </is>
      </c>
    </row>
    <row r="16">
      <c r="A16" s="38" t="inlineStr">
        <is>
          <t>Total: Interest expense, net</t>
        </is>
      </c>
      <c r="B16" s="3" t="n"/>
      <c r="C16" s="3" t="n"/>
      <c r="D16" s="3" t="n"/>
      <c r="E16" s="3" t="n"/>
      <c r="F16" s="30" t="n">
        <v>4</v>
      </c>
      <c r="G16" s="30" t="n">
        <v>7</v>
      </c>
      <c r="H16" s="3" t="n"/>
      <c r="I16" s="30" t="n">
        <v>7</v>
      </c>
      <c r="J16" s="30" t="n">
        <v>10</v>
      </c>
      <c r="K16" s="4" t="inlineStr">
        <is>
          <t>10Q_Q2-2026 p24; 10Q_Q2-2026 p25</t>
        </is>
      </c>
    </row>
    <row r="17">
      <c r="A17" s="38" t="inlineStr">
        <is>
          <t>Total: Provision for income taxes</t>
        </is>
      </c>
      <c r="B17" s="3" t="n"/>
      <c r="C17" s="3" t="n"/>
      <c r="D17" s="3" t="n"/>
      <c r="E17" s="3" t="n"/>
      <c r="F17" s="30" t="n">
        <v>27</v>
      </c>
      <c r="G17" s="30" t="n">
        <v>50</v>
      </c>
      <c r="H17" s="3" t="n"/>
      <c r="I17" s="30" t="n">
        <v>22</v>
      </c>
      <c r="J17" s="30" t="n">
        <v>45</v>
      </c>
      <c r="K17" s="4" t="inlineStr">
        <is>
          <t>10Q_Q2-2026 p24; 10Q_Q2-2026 p25</t>
        </is>
      </c>
    </row>
    <row r="18">
      <c r="A18" s="38" t="inlineStr">
        <is>
          <t>CARFAX: Operating profit (GAAP)</t>
        </is>
      </c>
      <c r="B18" s="3" t="n"/>
      <c r="C18" s="3" t="n"/>
      <c r="D18" s="3" t="n"/>
      <c r="E18" s="3" t="n"/>
      <c r="F18" s="30" t="n">
        <v>89</v>
      </c>
      <c r="G18" s="30" t="n">
        <v>166</v>
      </c>
      <c r="H18" s="3" t="n"/>
      <c r="I18" s="30" t="n">
        <v>101</v>
      </c>
      <c r="J18" s="30" t="n">
        <v>190</v>
      </c>
      <c r="K18" s="4" t="inlineStr">
        <is>
          <t>10Q_Q2-2026 p24; 10Q_Q2-2026 p25</t>
        </is>
      </c>
    </row>
    <row r="19">
      <c r="A19" s="38" t="inlineStr">
        <is>
          <t>CARFAX: Adjusted to add: Amortization of intangibles</t>
        </is>
      </c>
      <c r="B19" s="3" t="n"/>
      <c r="C19" s="3" t="n"/>
      <c r="D19" s="3" t="n"/>
      <c r="E19" s="3" t="n"/>
      <c r="F19" s="30" t="n">
        <v>48</v>
      </c>
      <c r="G19" s="30" t="n">
        <v>95</v>
      </c>
      <c r="H19" s="3" t="n"/>
      <c r="I19" s="30" t="n">
        <v>48</v>
      </c>
      <c r="J19" s="30" t="n">
        <v>95</v>
      </c>
      <c r="K19" s="4" t="inlineStr">
        <is>
          <t>10Q_Q2-2026 p24; 10Q_Q2-2026 p25</t>
        </is>
      </c>
    </row>
    <row r="20">
      <c r="A20" s="38" t="inlineStr">
        <is>
          <t>CARFAX: Adjusted to add: Depreciation</t>
        </is>
      </c>
      <c r="B20" s="3" t="n"/>
      <c r="C20" s="3" t="n"/>
      <c r="D20" s="3" t="n"/>
      <c r="E20" s="3" t="n"/>
      <c r="F20" s="30" t="n">
        <v>2</v>
      </c>
      <c r="G20" s="30" t="n">
        <v>5</v>
      </c>
      <c r="H20" s="3" t="n"/>
      <c r="I20" s="30" t="n">
        <v>2</v>
      </c>
      <c r="J20" s="30" t="n">
        <v>5</v>
      </c>
      <c r="K20" s="4" t="inlineStr">
        <is>
          <t>10Q_Q2-2026 p24; 10Q_Q2-2026 p25</t>
        </is>
      </c>
    </row>
    <row r="21">
      <c r="A21" s="38" t="inlineStr">
        <is>
          <t>CARFAX: Adjusted to add: Stock-based compensation</t>
        </is>
      </c>
      <c r="B21" s="3" t="n"/>
      <c r="C21" s="3" t="n"/>
      <c r="D21" s="3" t="n"/>
      <c r="E21" s="3" t="n"/>
      <c r="F21" s="30" t="n">
        <v>2</v>
      </c>
      <c r="G21" s="30" t="n">
        <v>5</v>
      </c>
      <c r="H21" s="3" t="n"/>
      <c r="I21" s="30" t="n">
        <v>2</v>
      </c>
      <c r="J21" s="30" t="n">
        <v>3</v>
      </c>
      <c r="K21" s="4" t="inlineStr">
        <is>
          <t>10Q_Q2-2026 p24; 10Q_Q2-2026 p25</t>
        </is>
      </c>
    </row>
    <row r="22">
      <c r="A22" s="38" t="inlineStr">
        <is>
          <t>CARFAX: Adjusted to add: Transaction costs</t>
        </is>
      </c>
      <c r="B22" s="3" t="n"/>
      <c r="C22" s="3" t="n"/>
      <c r="D22" s="3" t="n"/>
      <c r="E22" s="3" t="n"/>
      <c r="F22" s="30" t="n">
        <v>0</v>
      </c>
      <c r="G22" s="30" t="n">
        <v>0</v>
      </c>
      <c r="H22" s="3" t="n"/>
      <c r="I22" s="30" t="n">
        <v>0</v>
      </c>
      <c r="J22" s="30" t="n">
        <v>0</v>
      </c>
      <c r="K22" s="4" t="inlineStr">
        <is>
          <t>10Q_Q2-2026 p24; 10Q_Q2-2026 p25</t>
        </is>
      </c>
    </row>
    <row r="23">
      <c r="A23" s="38" t="inlineStr">
        <is>
          <t>CARFAX: Adjusted to add: Employee severance charges and other</t>
        </is>
      </c>
      <c r="B23" s="3" t="n"/>
      <c r="C23" s="3" t="n"/>
      <c r="D23" s="3" t="n"/>
      <c r="E23" s="3" t="n"/>
      <c r="F23" s="30" t="n">
        <v>1</v>
      </c>
      <c r="G23" s="30" t="n">
        <v>1</v>
      </c>
      <c r="H23" s="3" t="n"/>
      <c r="I23" s="30" t="n">
        <v>0</v>
      </c>
      <c r="J23" s="30" t="n">
        <v>0</v>
      </c>
      <c r="K23" s="4" t="inlineStr">
        <is>
          <t>10Q_Q2-2026 p24; 10Q_Q2-2026 p25</t>
        </is>
      </c>
    </row>
    <row r="24">
      <c r="A24" s="39" t="inlineStr">
        <is>
          <t>CARFAX: Adjusted EBITDA</t>
        </is>
      </c>
      <c r="B24" s="3" t="n"/>
      <c r="C24" s="3" t="n"/>
      <c r="D24" s="3" t="n"/>
      <c r="E24" s="3" t="n"/>
      <c r="F24" s="18" t="n">
        <v>142</v>
      </c>
      <c r="G24" s="18" t="n">
        <v>272</v>
      </c>
      <c r="H24" s="3" t="n"/>
      <c r="I24" s="18" t="n">
        <v>153</v>
      </c>
      <c r="J24" s="18" t="n">
        <v>293</v>
      </c>
      <c r="K24" s="4" t="inlineStr">
        <is>
          <t>10Q_Q2-2026 p24; 10Q_Q2-2026 p25</t>
        </is>
      </c>
    </row>
    <row r="25">
      <c r="A25" s="38" t="inlineStr">
        <is>
          <t>CARFAX: % Adjusted EBITDA margin</t>
        </is>
      </c>
      <c r="B25" s="3" t="n"/>
      <c r="C25" s="3" t="n"/>
      <c r="D25" s="3" t="n"/>
      <c r="E25" s="3" t="n"/>
      <c r="F25" s="41" t="n">
        <v>49</v>
      </c>
      <c r="G25" s="41" t="n">
        <v>48</v>
      </c>
      <c r="H25" s="3" t="n"/>
      <c r="I25" s="41" t="n">
        <v>49</v>
      </c>
      <c r="J25" s="41" t="n">
        <v>48</v>
      </c>
      <c r="K25" s="4" t="inlineStr">
        <is>
          <t>10Q_Q2-2026 p24; 10Q_Q2-2026 p25</t>
        </is>
      </c>
    </row>
    <row r="26">
      <c r="A26" s="38" t="inlineStr">
        <is>
          <t>B2B: Operating profit (GAAP)</t>
        </is>
      </c>
      <c r="B26" s="3" t="n"/>
      <c r="C26" s="3" t="n"/>
      <c r="D26" s="3" t="n"/>
      <c r="E26" s="3" t="n"/>
      <c r="F26" s="30" t="n">
        <v>16</v>
      </c>
      <c r="G26" s="30" t="n">
        <v>30</v>
      </c>
      <c r="H26" s="3" t="n"/>
      <c r="I26" s="30" t="n">
        <v>3</v>
      </c>
      <c r="J26" s="30" t="n">
        <v>8</v>
      </c>
      <c r="K26" s="4" t="inlineStr">
        <is>
          <t>10Q_Q2-2026 p24; 10Q_Q2-2026 p25</t>
        </is>
      </c>
    </row>
    <row r="27">
      <c r="A27" s="38" t="inlineStr">
        <is>
          <t>B2B: Adjusted to add: Amortization of intangibles</t>
        </is>
      </c>
      <c r="B27" s="3" t="n"/>
      <c r="C27" s="3" t="n"/>
      <c r="D27" s="3" t="n"/>
      <c r="E27" s="3" t="n"/>
      <c r="F27" s="30" t="n">
        <v>26</v>
      </c>
      <c r="G27" s="30" t="n">
        <v>53</v>
      </c>
      <c r="H27" s="3" t="n"/>
      <c r="I27" s="30" t="n">
        <v>26</v>
      </c>
      <c r="J27" s="30" t="n">
        <v>53</v>
      </c>
      <c r="K27" s="4" t="inlineStr">
        <is>
          <t>10Q_Q2-2026 p24; 10Q_Q2-2026 p25</t>
        </is>
      </c>
    </row>
    <row r="28">
      <c r="A28" s="38" t="inlineStr">
        <is>
          <t>B2B: Adjusted to add: Depreciation</t>
        </is>
      </c>
      <c r="B28" s="3" t="n"/>
      <c r="C28" s="3" t="n"/>
      <c r="D28" s="3" t="n"/>
      <c r="E28" s="3" t="n"/>
      <c r="F28" s="30" t="n">
        <v>1</v>
      </c>
      <c r="G28" s="30" t="n">
        <v>2</v>
      </c>
      <c r="H28" s="3" t="n"/>
      <c r="I28" s="30" t="n">
        <v>1</v>
      </c>
      <c r="J28" s="30" t="n">
        <v>2</v>
      </c>
      <c r="K28" s="4" t="inlineStr">
        <is>
          <t>10Q_Q2-2026 p24; 10Q_Q2-2026 p25</t>
        </is>
      </c>
    </row>
    <row r="29">
      <c r="A29" s="38" t="inlineStr">
        <is>
          <t>B2B: Adjusted to add: Stock-based compensation</t>
        </is>
      </c>
      <c r="B29" s="3" t="n"/>
      <c r="C29" s="3" t="n"/>
      <c r="D29" s="3" t="n"/>
      <c r="E29" s="3" t="n"/>
      <c r="F29" s="30" t="n">
        <v>2</v>
      </c>
      <c r="G29" s="30" t="n">
        <v>4</v>
      </c>
      <c r="H29" s="3" t="n"/>
      <c r="I29" s="30" t="n">
        <v>3</v>
      </c>
      <c r="J29" s="30" t="n">
        <v>6</v>
      </c>
      <c r="K29" s="4" t="inlineStr">
        <is>
          <t>10Q_Q2-2026 p24; 10Q_Q2-2026 p25</t>
        </is>
      </c>
    </row>
    <row r="30">
      <c r="A30" s="38" t="inlineStr">
        <is>
          <t>B2B: Adjusted to add: Transaction costs</t>
        </is>
      </c>
      <c r="B30" s="3" t="n"/>
      <c r="C30" s="3" t="n"/>
      <c r="D30" s="3" t="n"/>
      <c r="E30" s="3" t="n"/>
      <c r="F30" s="30" t="n">
        <v>0</v>
      </c>
      <c r="G30" s="30" t="n">
        <v>0</v>
      </c>
      <c r="H30" s="3" t="n"/>
      <c r="I30" s="30" t="n">
        <v>20</v>
      </c>
      <c r="J30" s="30" t="n">
        <v>33</v>
      </c>
      <c r="K30" s="4" t="inlineStr">
        <is>
          <t>10Q_Q2-2026 p24; 10Q_Q2-2026 p25</t>
        </is>
      </c>
    </row>
    <row r="31">
      <c r="A31" s="38" t="inlineStr">
        <is>
          <t>B2B: Adjusted to add: Employee severance charges and other</t>
        </is>
      </c>
      <c r="B31" s="3" t="n"/>
      <c r="C31" s="3" t="n"/>
      <c r="D31" s="3" t="n"/>
      <c r="E31" s="3" t="n"/>
      <c r="F31" s="30" t="n">
        <v>4</v>
      </c>
      <c r="G31" s="30" t="n">
        <v>4</v>
      </c>
      <c r="H31" s="3" t="n"/>
      <c r="I31" s="30" t="n">
        <v>0</v>
      </c>
      <c r="J31" s="30" t="n">
        <v>0</v>
      </c>
      <c r="K31" s="4" t="inlineStr">
        <is>
          <t>10Q_Q2-2026 p24; 10Q_Q2-2026 p25</t>
        </is>
      </c>
    </row>
    <row r="32">
      <c r="A32" s="39" t="inlineStr">
        <is>
          <t>B2B: Adjusted EBITDA</t>
        </is>
      </c>
      <c r="B32" s="3" t="n"/>
      <c r="C32" s="3" t="n"/>
      <c r="D32" s="3" t="n"/>
      <c r="E32" s="3" t="n"/>
      <c r="F32" s="18" t="n">
        <v>49</v>
      </c>
      <c r="G32" s="18" t="n">
        <v>93</v>
      </c>
      <c r="H32" s="3" t="n"/>
      <c r="I32" s="18" t="n">
        <v>53</v>
      </c>
      <c r="J32" s="18" t="n">
        <v>102</v>
      </c>
      <c r="K32" s="4" t="inlineStr">
        <is>
          <t>10Q_Q2-2026 p24; 10Q_Q2-2026 p25</t>
        </is>
      </c>
    </row>
    <row r="33">
      <c r="A33" s="38" t="inlineStr">
        <is>
          <t>B2B: % Adjusted EBITDA margin</t>
        </is>
      </c>
      <c r="B33" s="3" t="n"/>
      <c r="C33" s="3" t="n"/>
      <c r="D33" s="3" t="n"/>
      <c r="E33" s="3" t="n"/>
      <c r="F33" s="41" t="n">
        <v>33</v>
      </c>
      <c r="G33" s="41" t="n">
        <v>32</v>
      </c>
      <c r="H33" s="3" t="n"/>
      <c r="I33" s="41" t="n">
        <v>34</v>
      </c>
      <c r="J33" s="41" t="n">
        <v>33</v>
      </c>
      <c r="K33" s="4" t="inlineStr">
        <is>
          <t>10Q_Q2-2026 p24; 10Q_Q2-2026 p25</t>
        </is>
      </c>
    </row>
    <row r="34">
      <c r="A34" s="38" t="inlineStr">
        <is>
          <t>Corporate: Operating profit (GAAP)</t>
        </is>
      </c>
      <c r="B34" s="3" t="n"/>
      <c r="C34" s="3" t="n"/>
      <c r="D34" s="3" t="n"/>
      <c r="E34" s="3" t="n"/>
      <c r="F34" s="30" t="n">
        <v>-9</v>
      </c>
      <c r="G34" s="30" t="n">
        <v>-16</v>
      </c>
      <c r="H34" s="3" t="n"/>
      <c r="I34" s="30" t="n">
        <v>-22</v>
      </c>
      <c r="J34" s="30" t="n">
        <v>-35</v>
      </c>
      <c r="K34" s="4" t="inlineStr">
        <is>
          <t>10Q_Q2-2026 p24; 10Q_Q2-2026 p25</t>
        </is>
      </c>
    </row>
    <row r="35">
      <c r="A35" s="38" t="inlineStr">
        <is>
          <t>Corporate: Adjusted to add: Amortization of intangibles</t>
        </is>
      </c>
      <c r="B35" s="3" t="n"/>
      <c r="C35" s="3" t="n"/>
      <c r="D35" s="3" t="n"/>
      <c r="E35" s="3" t="n"/>
      <c r="F35" s="30" t="n">
        <v>0</v>
      </c>
      <c r="G35" s="30" t="n">
        <v>0</v>
      </c>
      <c r="H35" s="3" t="n"/>
      <c r="I35" s="30" t="n">
        <v>0</v>
      </c>
      <c r="J35" s="30" t="n">
        <v>0</v>
      </c>
      <c r="K35" s="4" t="inlineStr">
        <is>
          <t>10Q_Q2-2026 p24; 10Q_Q2-2026 p25</t>
        </is>
      </c>
    </row>
    <row r="36">
      <c r="A36" s="38" t="inlineStr">
        <is>
          <t>Corporate: Adjusted to add: Depreciation</t>
        </is>
      </c>
      <c r="B36" s="3" t="n"/>
      <c r="C36" s="3" t="n"/>
      <c r="D36" s="3" t="n"/>
      <c r="E36" s="3" t="n"/>
      <c r="F36" s="30" t="n">
        <v>0</v>
      </c>
      <c r="G36" s="30" t="n">
        <v>0</v>
      </c>
      <c r="H36" s="3" t="n"/>
      <c r="I36" s="30" t="n">
        <v>0</v>
      </c>
      <c r="J36" s="30" t="n">
        <v>0</v>
      </c>
      <c r="K36" s="4" t="inlineStr">
        <is>
          <t>10Q_Q2-2026 p24; 10Q_Q2-2026 p25</t>
        </is>
      </c>
    </row>
    <row r="37">
      <c r="A37" s="38" t="inlineStr">
        <is>
          <t>Corporate: Adjusted to add: Stock-based compensation</t>
        </is>
      </c>
      <c r="B37" s="3" t="n"/>
      <c r="C37" s="3" t="n"/>
      <c r="D37" s="3" t="n"/>
      <c r="E37" s="3" t="n"/>
      <c r="F37" s="30" t="n">
        <v>0</v>
      </c>
      <c r="G37" s="30" t="n">
        <v>0</v>
      </c>
      <c r="H37" s="3" t="n"/>
      <c r="I37" s="30" t="n">
        <v>0</v>
      </c>
      <c r="J37" s="30" t="n">
        <v>0</v>
      </c>
      <c r="K37" s="4" t="inlineStr">
        <is>
          <t>10Q_Q2-2026 p24; 10Q_Q2-2026 p25</t>
        </is>
      </c>
    </row>
    <row r="38">
      <c r="A38" s="38" t="inlineStr">
        <is>
          <t>Corporate: Adjusted to add: Transaction costs</t>
        </is>
      </c>
      <c r="B38" s="3" t="n"/>
      <c r="C38" s="3" t="n"/>
      <c r="D38" s="3" t="n"/>
      <c r="E38" s="3" t="n"/>
      <c r="F38" s="30" t="n">
        <v>2</v>
      </c>
      <c r="G38" s="30" t="n">
        <v>2</v>
      </c>
      <c r="H38" s="3" t="n"/>
      <c r="I38" s="30" t="n">
        <v>16</v>
      </c>
      <c r="J38" s="30" t="n">
        <v>24</v>
      </c>
      <c r="K38" s="4" t="inlineStr">
        <is>
          <t>10Q_Q2-2026 p24; 10Q_Q2-2026 p25</t>
        </is>
      </c>
    </row>
    <row r="39">
      <c r="A39" s="38" t="inlineStr">
        <is>
          <t>Corporate: Adjusted to add: Employee severance charges and other</t>
        </is>
      </c>
      <c r="B39" s="3" t="n"/>
      <c r="C39" s="3" t="n"/>
      <c r="D39" s="3" t="n"/>
      <c r="E39" s="3" t="n"/>
      <c r="F39" s="30" t="n">
        <v>4</v>
      </c>
      <c r="G39" s="30" t="n">
        <v>6</v>
      </c>
      <c r="H39" s="3" t="n"/>
      <c r="I39" s="30" t="n">
        <v>2</v>
      </c>
      <c r="J39" s="30" t="n">
        <v>2</v>
      </c>
      <c r="K39" s="4" t="inlineStr">
        <is>
          <t>10Q_Q2-2026 p24; 10Q_Q2-2026 p25</t>
        </is>
      </c>
    </row>
    <row r="40">
      <c r="A40" s="39" t="inlineStr">
        <is>
          <t>Corporate: Adjusted EBITDA</t>
        </is>
      </c>
      <c r="B40" s="3" t="n"/>
      <c r="C40" s="3" t="n"/>
      <c r="D40" s="3" t="n"/>
      <c r="E40" s="3" t="n"/>
      <c r="F40" s="18" t="n">
        <v>-3</v>
      </c>
      <c r="G40" s="18" t="n">
        <v>-8</v>
      </c>
      <c r="H40" s="3" t="n"/>
      <c r="I40" s="18" t="n">
        <v>-4</v>
      </c>
      <c r="J40" s="18" t="n">
        <v>-9</v>
      </c>
      <c r="K40" s="4" t="inlineStr">
        <is>
          <t>10Q_Q2-2026 p24; 10Q_Q2-2026 p25</t>
        </is>
      </c>
    </row>
    <row r="41">
      <c r="A41" s="38" t="inlineStr">
        <is>
          <t>Total: Operating profit (GAAP)</t>
        </is>
      </c>
      <c r="B41" s="3" t="n"/>
      <c r="C41" s="3" t="n"/>
      <c r="D41" s="3" t="n"/>
      <c r="E41" s="3" t="n"/>
      <c r="F41" s="30" t="n">
        <v>96</v>
      </c>
      <c r="G41" s="30" t="n">
        <v>180</v>
      </c>
      <c r="H41" s="3" t="n"/>
      <c r="I41" s="30" t="n">
        <v>82</v>
      </c>
      <c r="J41" s="30" t="n">
        <v>163</v>
      </c>
      <c r="K41" s="4" t="inlineStr">
        <is>
          <t>10Q_Q2-2026 p24; 10Q_Q2-2026 p25</t>
        </is>
      </c>
    </row>
    <row r="42">
      <c r="A42" s="38" t="inlineStr">
        <is>
          <t>Total: Adjusted to add: Amortization of intangibles</t>
        </is>
      </c>
      <c r="B42" s="3" t="n"/>
      <c r="C42" s="3" t="n"/>
      <c r="D42" s="3" t="n"/>
      <c r="E42" s="3" t="n"/>
      <c r="F42" s="30" t="n">
        <v>74</v>
      </c>
      <c r="G42" s="30" t="n">
        <v>148</v>
      </c>
      <c r="H42" s="3" t="n"/>
      <c r="I42" s="30" t="n">
        <v>74</v>
      </c>
      <c r="J42" s="30" t="n">
        <v>148</v>
      </c>
      <c r="K42" s="4" t="inlineStr">
        <is>
          <t>10Q_Q2-2026 p24; 10Q_Q2-2026 p25</t>
        </is>
      </c>
    </row>
    <row r="43">
      <c r="A43" s="38" t="inlineStr">
        <is>
          <t>Total: Adjusted to add: Depreciation</t>
        </is>
      </c>
      <c r="B43" s="3" t="n"/>
      <c r="C43" s="3" t="n"/>
      <c r="D43" s="3" t="n"/>
      <c r="E43" s="3" t="n"/>
      <c r="F43" s="30" t="n">
        <v>3</v>
      </c>
      <c r="G43" s="30" t="n">
        <v>7</v>
      </c>
      <c r="H43" s="3" t="n"/>
      <c r="I43" s="30" t="n">
        <v>3</v>
      </c>
      <c r="J43" s="30" t="n">
        <v>7</v>
      </c>
      <c r="K43" s="4" t="inlineStr">
        <is>
          <t>10Q_Q2-2026 p24; 10Q_Q2-2026 p25</t>
        </is>
      </c>
    </row>
    <row r="44">
      <c r="A44" s="38" t="inlineStr">
        <is>
          <t>Total: Adjusted to add: Stock-based compensation</t>
        </is>
      </c>
      <c r="B44" s="3" t="n"/>
      <c r="C44" s="3" t="n"/>
      <c r="D44" s="3" t="n"/>
      <c r="E44" s="3" t="n"/>
      <c r="F44" s="30" t="n">
        <v>4</v>
      </c>
      <c r="G44" s="30" t="n">
        <v>9</v>
      </c>
      <c r="H44" s="3" t="n"/>
      <c r="I44" s="30" t="n">
        <v>5</v>
      </c>
      <c r="J44" s="30" t="n">
        <v>9</v>
      </c>
      <c r="K44" s="4" t="inlineStr">
        <is>
          <t>10Q_Q2-2026 p24; 10Q_Q2-2026 p25</t>
        </is>
      </c>
    </row>
    <row r="45">
      <c r="A45" s="38" t="inlineStr">
        <is>
          <t>Total: Adjusted to add: Transaction costs</t>
        </is>
      </c>
      <c r="B45" s="3" t="n"/>
      <c r="C45" s="3" t="n"/>
      <c r="D45" s="3" t="n"/>
      <c r="E45" s="3" t="n"/>
      <c r="F45" s="30" t="n">
        <v>2</v>
      </c>
      <c r="G45" s="30" t="n">
        <v>2</v>
      </c>
      <c r="H45" s="3" t="n"/>
      <c r="I45" s="30" t="n">
        <v>36</v>
      </c>
      <c r="J45" s="30" t="n">
        <v>57</v>
      </c>
      <c r="K45" s="4" t="inlineStr">
        <is>
          <t>10Q_Q2-2026 p24; 10Q_Q2-2026 p25</t>
        </is>
      </c>
    </row>
    <row r="46">
      <c r="A46" s="38" t="inlineStr">
        <is>
          <t>Total: Adjusted to add: Employee severance charges and other</t>
        </is>
      </c>
      <c r="B46" s="3" t="n"/>
      <c r="C46" s="3" t="n"/>
      <c r="D46" s="3" t="n"/>
      <c r="E46" s="3" t="n"/>
      <c r="F46" s="30" t="n">
        <v>9</v>
      </c>
      <c r="G46" s="30" t="n">
        <v>11</v>
      </c>
      <c r="H46" s="3" t="n"/>
      <c r="I46" s="30" t="n">
        <v>2</v>
      </c>
      <c r="J46" s="30" t="n">
        <v>2</v>
      </c>
      <c r="K46" s="4" t="inlineStr">
        <is>
          <t>10Q_Q2-2026 p24; 10Q_Q2-2026 p25</t>
        </is>
      </c>
    </row>
    <row r="47">
      <c r="A47" s="39" t="inlineStr">
        <is>
          <t>Total: Adjusted EBITDA</t>
        </is>
      </c>
      <c r="B47" s="3" t="n"/>
      <c r="C47" s="3" t="n"/>
      <c r="D47" s="3" t="n"/>
      <c r="E47" s="3" t="n"/>
      <c r="F47" s="18" t="n">
        <v>188</v>
      </c>
      <c r="G47" s="18" t="n">
        <v>357</v>
      </c>
      <c r="H47" s="3" t="n"/>
      <c r="I47" s="18" t="n">
        <v>202</v>
      </c>
      <c r="J47" s="18" t="n">
        <v>386</v>
      </c>
      <c r="K47" s="4" t="inlineStr">
        <is>
          <t>10Q_Q2-2026 p24; 10Q_Q2-2026 p25</t>
        </is>
      </c>
    </row>
    <row r="48">
      <c r="A48" s="38" t="inlineStr">
        <is>
          <t>Total: % Adjusted EBITDA margin</t>
        </is>
      </c>
      <c r="B48" s="3" t="n"/>
      <c r="C48" s="3" t="n"/>
      <c r="D48" s="3" t="n"/>
      <c r="E48" s="3" t="n"/>
      <c r="F48" s="41" t="n">
        <v>43</v>
      </c>
      <c r="G48" s="41" t="n">
        <v>42</v>
      </c>
      <c r="H48" s="3" t="n"/>
      <c r="I48" s="41" t="n">
        <v>43</v>
      </c>
      <c r="J48" s="41" t="n">
        <v>42</v>
      </c>
      <c r="K48" s="4" t="inlineStr">
        <is>
          <t>10Q_Q2-2026 p24; 10Q_Q2-2026 p25</t>
        </is>
      </c>
    </row>
    <row r="49">
      <c r="A49" s="14" t="inlineStr">
        <is>
          <t>10Q_Q2-2026 · MD&amp;A Non-GAAP reconciliation by segment</t>
        </is>
      </c>
      <c r="B49" s="15" t="n"/>
      <c r="C49" s="15" t="n"/>
      <c r="D49" s="15" t="n"/>
      <c r="E49" s="15" t="n"/>
      <c r="F49" s="15" t="n"/>
      <c r="G49" s="15" t="n"/>
      <c r="H49" s="15" t="n"/>
      <c r="I49" s="15" t="n"/>
      <c r="J49" s="15" t="n"/>
      <c r="K49" s="15" t="n"/>
    </row>
    <row r="50">
      <c r="A50" s="38" t="inlineStr">
        <is>
          <t>Corporate: % Adjusted EBITDA margin (printed N/M)</t>
        </is>
      </c>
      <c r="B50" s="3" t="n"/>
      <c r="C50" s="3" t="n"/>
      <c r="D50" s="3" t="n"/>
      <c r="E50" s="3" t="n"/>
      <c r="F50" s="42" t="inlineStr">
        <is>
          <t>N/M</t>
        </is>
      </c>
      <c r="G50" s="42" t="inlineStr">
        <is>
          <t>N/M</t>
        </is>
      </c>
      <c r="H50" s="3" t="n"/>
      <c r="I50" s="42" t="inlineStr">
        <is>
          <t>N/M</t>
        </is>
      </c>
      <c r="J50" s="42" t="inlineStr">
        <is>
          <t>N/M</t>
        </is>
      </c>
      <c r="K50" s="4" t="inlineStr">
        <is>
          <t>10Q_Q2-2026 p25</t>
        </is>
      </c>
    </row>
    <row r="51">
      <c r="A51" s="14" t="inlineStr">
        <is>
          <t>10Q_Q2-2026 · MD&amp;A Free cash flow reconciliation (six months)</t>
        </is>
      </c>
      <c r="B51" s="15" t="n"/>
      <c r="C51" s="15" t="n"/>
      <c r="D51" s="15" t="n"/>
      <c r="E51" s="15" t="n"/>
      <c r="F51" s="15" t="n"/>
      <c r="G51" s="15" t="n"/>
      <c r="H51" s="15" t="n"/>
      <c r="I51" s="15" t="n"/>
      <c r="J51" s="15" t="n"/>
      <c r="K51" s="15" t="n"/>
    </row>
    <row r="52">
      <c r="A52" s="38" t="inlineStr">
        <is>
          <t>Cash provided by operating activities</t>
        </is>
      </c>
      <c r="B52" s="3" t="n"/>
      <c r="C52" s="3" t="n"/>
      <c r="D52" s="3" t="n"/>
      <c r="E52" s="3" t="n"/>
      <c r="F52" s="3" t="n"/>
      <c r="G52" s="30" t="n">
        <v>233</v>
      </c>
      <c r="H52" s="3" t="n"/>
      <c r="I52" s="3" t="n"/>
      <c r="J52" s="30" t="n">
        <v>189</v>
      </c>
      <c r="K52" s="4" t="inlineStr">
        <is>
          <t>10Q_Q2-2026 p26</t>
        </is>
      </c>
    </row>
    <row r="53">
      <c r="A53" s="38" t="inlineStr">
        <is>
          <t>Capital expenditures</t>
        </is>
      </c>
      <c r="B53" s="3" t="n"/>
      <c r="C53" s="3" t="n"/>
      <c r="D53" s="3" t="n"/>
      <c r="E53" s="3" t="n"/>
      <c r="F53" s="3" t="n"/>
      <c r="G53" s="30" t="n">
        <v>-8</v>
      </c>
      <c r="H53" s="3" t="n"/>
      <c r="I53" s="3" t="n"/>
      <c r="J53" s="30" t="n">
        <v>-12</v>
      </c>
      <c r="K53" s="4" t="inlineStr">
        <is>
          <t>10Q_Q2-2026 p26</t>
        </is>
      </c>
    </row>
    <row r="54">
      <c r="A54" s="39" t="inlineStr">
        <is>
          <t>Free cash flow</t>
        </is>
      </c>
      <c r="B54" s="3" t="n"/>
      <c r="C54" s="3" t="n"/>
      <c r="D54" s="3" t="n"/>
      <c r="E54" s="3" t="n"/>
      <c r="F54" s="3" t="n"/>
      <c r="G54" s="18" t="n">
        <v>225</v>
      </c>
      <c r="H54" s="3" t="n"/>
      <c r="I54" s="3" t="n"/>
      <c r="J54" s="18" t="n">
        <v>177</v>
      </c>
      <c r="K54" s="4" t="inlineStr">
        <is>
          <t>10Q_Q2-2026 p26</t>
        </is>
      </c>
    </row>
    <row r="55">
      <c r="A55" s="14" t="inlineStr">
        <is>
          <t>10Q_Q2-2026 · MD&amp;A Results of operations</t>
        </is>
      </c>
      <c r="B55" s="15" t="n"/>
      <c r="C55" s="15" t="n"/>
      <c r="D55" s="15" t="n"/>
      <c r="E55" s="15" t="n"/>
      <c r="F55" s="15" t="n"/>
      <c r="G55" s="15" t="n"/>
      <c r="H55" s="15" t="n"/>
      <c r="I55" s="15" t="n"/>
      <c r="J55" s="15" t="n"/>
      <c r="K55" s="15" t="n"/>
    </row>
    <row r="56">
      <c r="A56" s="38" t="inlineStr">
        <is>
          <t>Adjusted EBITDA</t>
        </is>
      </c>
      <c r="B56" s="3" t="n"/>
      <c r="C56" s="3" t="n"/>
      <c r="D56" s="3" t="n"/>
      <c r="E56" s="3" t="n"/>
      <c r="F56" s="30" t="n">
        <v>188</v>
      </c>
      <c r="G56" s="30" t="n">
        <v>357</v>
      </c>
      <c r="H56" s="3" t="n"/>
      <c r="I56" s="30" t="n">
        <v>202</v>
      </c>
      <c r="J56" s="30" t="n">
        <v>386</v>
      </c>
      <c r="K56" s="4" t="inlineStr">
        <is>
          <t>10Q_Q2-2026 p26</t>
        </is>
      </c>
    </row>
    <row r="57">
      <c r="A57" s="38" t="inlineStr">
        <is>
          <t>Adjusted EBITDA - Change $</t>
        </is>
      </c>
      <c r="B57" s="3" t="n"/>
      <c r="C57" s="3" t="n"/>
      <c r="D57" s="3" t="n"/>
      <c r="E57" s="3" t="n"/>
      <c r="F57" s="3" t="n"/>
      <c r="G57" s="3" t="n"/>
      <c r="H57" s="3" t="n"/>
      <c r="I57" s="30" t="n">
        <v>14</v>
      </c>
      <c r="J57" s="30" t="n">
        <v>29</v>
      </c>
      <c r="K57" s="4" t="inlineStr">
        <is>
          <t>10Q_Q2-2026 p26</t>
        </is>
      </c>
    </row>
    <row r="58">
      <c r="A58" s="38" t="inlineStr">
        <is>
          <t>Adjusted EBITDA - Change %</t>
        </is>
      </c>
      <c r="B58" s="3" t="n"/>
      <c r="C58" s="3" t="n"/>
      <c r="D58" s="3" t="n"/>
      <c r="E58" s="3" t="n"/>
      <c r="F58" s="3" t="n"/>
      <c r="G58" s="3" t="n"/>
      <c r="H58" s="3" t="n"/>
      <c r="I58" s="41" t="n">
        <v>7</v>
      </c>
      <c r="J58" s="41" t="n">
        <v>8</v>
      </c>
      <c r="K58" s="4" t="inlineStr">
        <is>
          <t>10Q_Q2-2026 p26</t>
        </is>
      </c>
    </row>
    <row r="59">
      <c r="A59" s="38" t="inlineStr">
        <is>
          <t>%Net income margin</t>
        </is>
      </c>
      <c r="B59" s="3" t="n"/>
      <c r="C59" s="3" t="n"/>
      <c r="D59" s="3" t="n"/>
      <c r="E59" s="3" t="n"/>
      <c r="F59" s="41" t="n">
        <v>15</v>
      </c>
      <c r="G59" s="41" t="n">
        <v>14</v>
      </c>
      <c r="H59" s="3" t="n"/>
      <c r="I59" s="41" t="n">
        <v>11</v>
      </c>
      <c r="J59" s="41" t="n">
        <v>12</v>
      </c>
      <c r="K59" s="4" t="inlineStr">
        <is>
          <t>10Q_Q2-2026 p26</t>
        </is>
      </c>
    </row>
    <row r="60">
      <c r="A60" s="38" t="inlineStr">
        <is>
          <t>%Adjusted EBITDA margin</t>
        </is>
      </c>
      <c r="B60" s="3" t="n"/>
      <c r="C60" s="3" t="n"/>
      <c r="D60" s="3" t="n"/>
      <c r="E60" s="3" t="n"/>
      <c r="F60" s="41" t="n">
        <v>43</v>
      </c>
      <c r="G60" s="41" t="n">
        <v>42</v>
      </c>
      <c r="H60" s="3" t="n"/>
      <c r="I60" s="41" t="n">
        <v>43</v>
      </c>
      <c r="J60" s="41" t="n">
        <v>42</v>
      </c>
      <c r="K60" s="4" t="inlineStr">
        <is>
          <t>10Q_Q2-2026 p26</t>
        </is>
      </c>
    </row>
    <row r="61">
      <c r="A61" s="14" t="inlineStr">
        <is>
          <t>8K_2026-08-07 · Financial Summary table (Profitability / Non-GAAP / Cash flow)</t>
        </is>
      </c>
      <c r="B61" s="15" t="n"/>
      <c r="C61" s="15" t="n"/>
      <c r="D61" s="15" t="n"/>
      <c r="E61" s="15" t="n"/>
      <c r="F61" s="15" t="n"/>
      <c r="G61" s="15" t="n"/>
      <c r="H61" s="15" t="n"/>
      <c r="I61" s="15" t="n"/>
      <c r="J61" s="15" t="n"/>
      <c r="K61" s="15" t="n"/>
    </row>
    <row r="62">
      <c r="A62" s="38" t="inlineStr">
        <is>
          <t>Operating profit</t>
        </is>
      </c>
      <c r="B62" s="3" t="n"/>
      <c r="C62" s="3" t="n"/>
      <c r="D62" s="3" t="n"/>
      <c r="E62" s="3" t="n"/>
      <c r="F62" s="30" t="n">
        <v>96</v>
      </c>
      <c r="G62" s="30" t="n">
        <v>180</v>
      </c>
      <c r="H62" s="3" t="n"/>
      <c r="I62" s="30" t="n">
        <v>82</v>
      </c>
      <c r="J62" s="30" t="n">
        <v>163</v>
      </c>
      <c r="K62" s="4" t="inlineStr">
        <is>
          <t>8K_2026-08-07 p2</t>
        </is>
      </c>
    </row>
    <row r="63">
      <c r="A63" s="38" t="inlineStr">
        <is>
          <t>Net income</t>
        </is>
      </c>
      <c r="B63" s="3" t="n"/>
      <c r="C63" s="3" t="n"/>
      <c r="D63" s="3" t="n"/>
      <c r="E63" s="3" t="n"/>
      <c r="F63" s="30" t="n">
        <v>65</v>
      </c>
      <c r="G63" s="30" t="n">
        <v>123</v>
      </c>
      <c r="H63" s="3" t="n"/>
      <c r="I63" s="30" t="n">
        <v>53</v>
      </c>
      <c r="J63" s="30" t="n">
        <v>108</v>
      </c>
      <c r="K63" s="4" t="inlineStr">
        <is>
          <t>8K_2026-08-07 p2</t>
        </is>
      </c>
    </row>
    <row r="64">
      <c r="A64" s="38" t="inlineStr">
        <is>
          <t>Net income margin</t>
        </is>
      </c>
      <c r="B64" s="3" t="n"/>
      <c r="C64" s="3" t="n"/>
      <c r="D64" s="3" t="n"/>
      <c r="E64" s="3" t="n"/>
      <c r="F64" s="41" t="n">
        <v>15</v>
      </c>
      <c r="G64" s="41" t="n">
        <v>14</v>
      </c>
      <c r="H64" s="3" t="n"/>
      <c r="I64" s="41" t="n">
        <v>11</v>
      </c>
      <c r="J64" s="41" t="n">
        <v>12</v>
      </c>
      <c r="K64" s="4" t="inlineStr">
        <is>
          <t>8K_2026-08-07 p2</t>
        </is>
      </c>
    </row>
    <row r="65">
      <c r="A65" s="38" t="inlineStr">
        <is>
          <t>Diluted EPS</t>
        </is>
      </c>
      <c r="B65" s="3" t="n"/>
      <c r="C65" s="3" t="n"/>
      <c r="D65" s="3" t="n"/>
      <c r="E65" s="3" t="n"/>
      <c r="F65" s="32" t="n">
        <v>0.22</v>
      </c>
      <c r="G65" s="32" t="n">
        <v>0.42</v>
      </c>
      <c r="H65" s="3" t="n"/>
      <c r="I65" s="32" t="n">
        <v>0.18</v>
      </c>
      <c r="J65" s="32" t="n">
        <v>0.37</v>
      </c>
      <c r="K65" s="4" t="inlineStr">
        <is>
          <t>8K_2026-08-07 p2</t>
        </is>
      </c>
    </row>
    <row r="66">
      <c r="A66" s="38" t="inlineStr">
        <is>
          <t>Adjusted EBITDA</t>
        </is>
      </c>
      <c r="B66" s="3" t="n"/>
      <c r="C66" s="3" t="n"/>
      <c r="D66" s="3" t="n"/>
      <c r="E66" s="3" t="n"/>
      <c r="F66" s="30" t="n">
        <v>188</v>
      </c>
      <c r="G66" s="30" t="n">
        <v>357</v>
      </c>
      <c r="H66" s="3" t="n"/>
      <c r="I66" s="30" t="n">
        <v>202</v>
      </c>
      <c r="J66" s="30" t="n">
        <v>386</v>
      </c>
      <c r="K66" s="4" t="inlineStr">
        <is>
          <t>8K_2026-08-07 p2</t>
        </is>
      </c>
    </row>
    <row r="67">
      <c r="A67" s="38" t="inlineStr">
        <is>
          <t>Adjusted EBITDA %Chg</t>
        </is>
      </c>
      <c r="B67" s="3" t="n"/>
      <c r="C67" s="3" t="n"/>
      <c r="D67" s="3" t="n"/>
      <c r="E67" s="3" t="n"/>
      <c r="F67" s="3" t="n"/>
      <c r="G67" s="3" t="n"/>
      <c r="H67" s="3" t="n"/>
      <c r="I67" s="41" t="n">
        <v>7</v>
      </c>
      <c r="J67" s="41" t="n">
        <v>8</v>
      </c>
      <c r="K67" s="4" t="inlineStr">
        <is>
          <t>8K_2026-08-07 p2</t>
        </is>
      </c>
    </row>
    <row r="68">
      <c r="A68" s="38" t="inlineStr">
        <is>
          <t>Adjusted EBITDAmargin</t>
        </is>
      </c>
      <c r="B68" s="3" t="n"/>
      <c r="C68" s="3" t="n"/>
      <c r="D68" s="3" t="n"/>
      <c r="E68" s="3" t="n"/>
      <c r="F68" s="41" t="n">
        <v>43</v>
      </c>
      <c r="G68" s="41" t="n">
        <v>42</v>
      </c>
      <c r="H68" s="3" t="n"/>
      <c r="I68" s="41" t="n">
        <v>43</v>
      </c>
      <c r="J68" s="41" t="n">
        <v>42</v>
      </c>
      <c r="K68" s="4" t="inlineStr">
        <is>
          <t>8K_2026-08-07 p2</t>
        </is>
      </c>
    </row>
    <row r="69">
      <c r="A69" s="38" t="inlineStr">
        <is>
          <t>Net cash provided by operating activities</t>
        </is>
      </c>
      <c r="B69" s="3" t="n"/>
      <c r="C69" s="3" t="n"/>
      <c r="D69" s="3" t="n"/>
      <c r="E69" s="3" t="n"/>
      <c r="F69" s="30" t="n">
        <v>166</v>
      </c>
      <c r="G69" s="30" t="n">
        <v>233</v>
      </c>
      <c r="H69" s="3" t="n"/>
      <c r="I69" s="30" t="n">
        <v>135</v>
      </c>
      <c r="J69" s="30" t="n">
        <v>189</v>
      </c>
      <c r="K69" s="4" t="inlineStr">
        <is>
          <t>8K_2026-08-07 p2</t>
        </is>
      </c>
    </row>
    <row r="70">
      <c r="A70" s="38" t="inlineStr">
        <is>
          <t>Free cash flow</t>
        </is>
      </c>
      <c r="B70" s="3" t="n"/>
      <c r="C70" s="3" t="n"/>
      <c r="D70" s="3" t="n"/>
      <c r="E70" s="3" t="n"/>
      <c r="F70" s="30" t="n">
        <v>163</v>
      </c>
      <c r="G70" s="30" t="n">
        <v>225</v>
      </c>
      <c r="H70" s="3" t="n"/>
      <c r="I70" s="30" t="n">
        <v>129</v>
      </c>
      <c r="J70" s="30" t="n">
        <v>177</v>
      </c>
      <c r="K70" s="4" t="inlineStr">
        <is>
          <t>8K_2026-08-07 p2</t>
        </is>
      </c>
    </row>
    <row r="71">
      <c r="A71" s="38" t="inlineStr">
        <is>
          <t>Free cash flow %Chg</t>
        </is>
      </c>
      <c r="B71" s="3" t="n"/>
      <c r="C71" s="3" t="n"/>
      <c r="D71" s="3" t="n"/>
      <c r="E71" s="3" t="n"/>
      <c r="F71" s="3" t="n"/>
      <c r="G71" s="3" t="n"/>
      <c r="H71" s="3" t="n"/>
      <c r="I71" s="41" t="n">
        <v>-21</v>
      </c>
      <c r="J71" s="41" t="n">
        <v>-21</v>
      </c>
      <c r="K71" s="4" t="inlineStr">
        <is>
          <t>8K_2026-08-07 p2</t>
        </is>
      </c>
    </row>
    <row r="72">
      <c r="A72" s="14" t="inlineStr">
        <is>
          <t>8K_2026-08-07 · Exhibit 5 Non-GAAP Financial Information by segment (add-back lines text-corrupted; not extracted from 8-K - use 10Q pp.24-25)</t>
        </is>
      </c>
      <c r="B72" s="15" t="n"/>
      <c r="C72" s="15" t="n"/>
      <c r="D72" s="15" t="n"/>
      <c r="E72" s="15" t="n"/>
      <c r="F72" s="15" t="n"/>
      <c r="G72" s="15" t="n"/>
      <c r="H72" s="15" t="n"/>
      <c r="I72" s="15" t="n"/>
      <c r="J72" s="15" t="n"/>
      <c r="K72" s="15" t="n"/>
    </row>
    <row r="73">
      <c r="A73" s="38" t="inlineStr">
        <is>
          <t>CARFAX: Operating profit ( GAAP )</t>
        </is>
      </c>
      <c r="B73" s="3" t="n"/>
      <c r="C73" s="3" t="n"/>
      <c r="D73" s="3" t="n"/>
      <c r="E73" s="3" t="n"/>
      <c r="F73" s="30" t="n">
        <v>89</v>
      </c>
      <c r="G73" s="30" t="n">
        <v>166</v>
      </c>
      <c r="H73" s="3" t="n"/>
      <c r="I73" s="30" t="n">
        <v>101</v>
      </c>
      <c r="J73" s="30" t="n">
        <v>190</v>
      </c>
      <c r="K73" s="4" t="inlineStr">
        <is>
          <t>8K_2026-08-07 p10; 8K_2026-08-07 p9</t>
        </is>
      </c>
    </row>
    <row r="74">
      <c r="A74" s="38" t="inlineStr">
        <is>
          <t>CARFAX: Adjusted EBITDA</t>
        </is>
      </c>
      <c r="B74" s="3" t="n"/>
      <c r="C74" s="3" t="n"/>
      <c r="D74" s="3" t="n"/>
      <c r="E74" s="3" t="n"/>
      <c r="F74" s="30" t="n">
        <v>142</v>
      </c>
      <c r="G74" s="30" t="n">
        <v>272</v>
      </c>
      <c r="H74" s="3" t="n"/>
      <c r="I74" s="30" t="n">
        <v>153</v>
      </c>
      <c r="J74" s="30" t="n">
        <v>293</v>
      </c>
      <c r="K74" s="4" t="inlineStr">
        <is>
          <t>8K_2026-08-07 p10; 8K_2026-08-07 p9</t>
        </is>
      </c>
    </row>
    <row r="75">
      <c r="A75" s="38" t="inlineStr">
        <is>
          <t>CARFAX: % Adjusted EBITDA margin</t>
        </is>
      </c>
      <c r="B75" s="3" t="n"/>
      <c r="C75" s="3" t="n"/>
      <c r="D75" s="3" t="n"/>
      <c r="E75" s="3" t="n"/>
      <c r="F75" s="41" t="n">
        <v>49</v>
      </c>
      <c r="G75" s="41" t="n">
        <v>48</v>
      </c>
      <c r="H75" s="3" t="n"/>
      <c r="I75" s="41" t="n">
        <v>49</v>
      </c>
      <c r="J75" s="41" t="n">
        <v>48</v>
      </c>
      <c r="K75" s="4" t="inlineStr">
        <is>
          <t>8K_2026-08-07 p10; 8K_2026-08-07 p9</t>
        </is>
      </c>
    </row>
    <row r="76">
      <c r="A76" s="38" t="inlineStr">
        <is>
          <t>B2B: Operating profit ( GAAP )</t>
        </is>
      </c>
      <c r="B76" s="3" t="n"/>
      <c r="C76" s="3" t="n"/>
      <c r="D76" s="3" t="n"/>
      <c r="E76" s="3" t="n"/>
      <c r="F76" s="30" t="n">
        <v>16</v>
      </c>
      <c r="G76" s="30" t="n">
        <v>30</v>
      </c>
      <c r="H76" s="3" t="n"/>
      <c r="I76" s="30" t="n">
        <v>3</v>
      </c>
      <c r="J76" s="30" t="n">
        <v>8</v>
      </c>
      <c r="K76" s="4" t="inlineStr">
        <is>
          <t>8K_2026-08-07 p10; 8K_2026-08-07 p9</t>
        </is>
      </c>
    </row>
    <row r="77">
      <c r="A77" s="38" t="inlineStr">
        <is>
          <t>B2B: Adjusted EBITDA</t>
        </is>
      </c>
      <c r="B77" s="3" t="n"/>
      <c r="C77" s="3" t="n"/>
      <c r="D77" s="3" t="n"/>
      <c r="E77" s="3" t="n"/>
      <c r="F77" s="30" t="n">
        <v>49</v>
      </c>
      <c r="G77" s="30" t="n">
        <v>93</v>
      </c>
      <c r="H77" s="3" t="n"/>
      <c r="I77" s="30" t="n">
        <v>53</v>
      </c>
      <c r="J77" s="30" t="n">
        <v>102</v>
      </c>
      <c r="K77" s="4" t="inlineStr">
        <is>
          <t>8K_2026-08-07 p10; 8K_2026-08-07 p9</t>
        </is>
      </c>
    </row>
    <row r="78">
      <c r="A78" s="38" t="inlineStr">
        <is>
          <t>B2B: % Adjusted EBITDA margin</t>
        </is>
      </c>
      <c r="B78" s="3" t="n"/>
      <c r="C78" s="3" t="n"/>
      <c r="D78" s="3" t="n"/>
      <c r="E78" s="3" t="n"/>
      <c r="F78" s="41" t="n">
        <v>33</v>
      </c>
      <c r="G78" s="41" t="n">
        <v>32</v>
      </c>
      <c r="H78" s="3" t="n"/>
      <c r="I78" s="41" t="n">
        <v>34</v>
      </c>
      <c r="J78" s="41" t="n">
        <v>33</v>
      </c>
      <c r="K78" s="4" t="inlineStr">
        <is>
          <t>8K_2026-08-07 p10; 8K_2026-08-07 p9</t>
        </is>
      </c>
    </row>
    <row r="79">
      <c r="A79" s="38" t="inlineStr">
        <is>
          <t>Corporate: Operating profit ( GAAP )</t>
        </is>
      </c>
      <c r="B79" s="3" t="n"/>
      <c r="C79" s="3" t="n"/>
      <c r="D79" s="3" t="n"/>
      <c r="E79" s="3" t="n"/>
      <c r="F79" s="30" t="n">
        <v>-9</v>
      </c>
      <c r="G79" s="30" t="n">
        <v>-16</v>
      </c>
      <c r="H79" s="3" t="n"/>
      <c r="I79" s="30" t="n">
        <v>-22</v>
      </c>
      <c r="J79" s="30" t="n">
        <v>-35</v>
      </c>
      <c r="K79" s="4" t="inlineStr">
        <is>
          <t>8K_2026-08-07 p10; 8K_2026-08-07 p9</t>
        </is>
      </c>
    </row>
    <row r="80">
      <c r="A80" s="38" t="inlineStr">
        <is>
          <t>Corporate: Adjusted EBITDA</t>
        </is>
      </c>
      <c r="B80" s="3" t="n"/>
      <c r="C80" s="3" t="n"/>
      <c r="D80" s="3" t="n"/>
      <c r="E80" s="3" t="n"/>
      <c r="F80" s="30" t="n">
        <v>-3</v>
      </c>
      <c r="G80" s="30" t="n">
        <v>-8</v>
      </c>
      <c r="H80" s="3" t="n"/>
      <c r="I80" s="30" t="n">
        <v>-4</v>
      </c>
      <c r="J80" s="30" t="n">
        <v>-9</v>
      </c>
      <c r="K80" s="4" t="inlineStr">
        <is>
          <t>8K_2026-08-07 p10; 8K_2026-08-07 p9</t>
        </is>
      </c>
    </row>
    <row r="81">
      <c r="A81" s="38" t="inlineStr">
        <is>
          <t>Total: Operating profit ( GAAP )</t>
        </is>
      </c>
      <c r="B81" s="3" t="n"/>
      <c r="C81" s="3" t="n"/>
      <c r="D81" s="3" t="n"/>
      <c r="E81" s="3" t="n"/>
      <c r="F81" s="30" t="n">
        <v>96</v>
      </c>
      <c r="G81" s="30" t="n">
        <v>180</v>
      </c>
      <c r="H81" s="3" t="n"/>
      <c r="I81" s="30" t="n">
        <v>82</v>
      </c>
      <c r="J81" s="30" t="n">
        <v>163</v>
      </c>
      <c r="K81" s="4" t="inlineStr">
        <is>
          <t>8K_2026-08-07 p10; 8K_2026-08-07 p9</t>
        </is>
      </c>
    </row>
    <row r="82">
      <c r="A82" s="38" t="inlineStr">
        <is>
          <t>Total: Adjusted EBITDA</t>
        </is>
      </c>
      <c r="B82" s="3" t="n"/>
      <c r="C82" s="3" t="n"/>
      <c r="D82" s="3" t="n"/>
      <c r="E82" s="3" t="n"/>
      <c r="F82" s="30" t="n">
        <v>188</v>
      </c>
      <c r="G82" s="30" t="n">
        <v>357</v>
      </c>
      <c r="H82" s="3" t="n"/>
      <c r="I82" s="30" t="n">
        <v>202</v>
      </c>
      <c r="J82" s="30" t="n">
        <v>386</v>
      </c>
      <c r="K82" s="4" t="inlineStr">
        <is>
          <t>8K_2026-08-07 p10; 8K_2026-08-07 p9</t>
        </is>
      </c>
    </row>
    <row r="83">
      <c r="A83" s="38" t="inlineStr">
        <is>
          <t>Total: % Adjusted EBITDA margin</t>
        </is>
      </c>
      <c r="B83" s="3" t="n"/>
      <c r="C83" s="3" t="n"/>
      <c r="D83" s="3" t="n"/>
      <c r="E83" s="3" t="n"/>
      <c r="F83" s="41" t="n">
        <v>43</v>
      </c>
      <c r="G83" s="41" t="n">
        <v>42</v>
      </c>
      <c r="H83" s="3" t="n"/>
      <c r="I83" s="41" t="n">
        <v>43</v>
      </c>
      <c r="J83" s="41" t="n">
        <v>42</v>
      </c>
      <c r="K83" s="4" t="inlineStr">
        <is>
          <t>8K_2026-08-07 p10; 8K_2026-08-07 p9</t>
        </is>
      </c>
    </row>
    <row r="84">
      <c r="A84" s="14" t="inlineStr">
        <is>
          <t>8K_2026-08-07 · Exhibit 5 Computation of Free Cash Flow</t>
        </is>
      </c>
      <c r="B84" s="15" t="n"/>
      <c r="C84" s="15" t="n"/>
      <c r="D84" s="15" t="n"/>
      <c r="E84" s="15" t="n"/>
      <c r="F84" s="15" t="n"/>
      <c r="G84" s="15" t="n"/>
      <c r="H84" s="15" t="n"/>
      <c r="I84" s="15" t="n"/>
      <c r="J84" s="15" t="n"/>
      <c r="K84" s="15" t="n"/>
    </row>
    <row r="85">
      <c r="A85" s="38" t="inlineStr">
        <is>
          <t>Cash provided by operating activities</t>
        </is>
      </c>
      <c r="B85" s="3" t="n"/>
      <c r="C85" s="3" t="n"/>
      <c r="D85" s="3" t="n"/>
      <c r="E85" s="3" t="n"/>
      <c r="F85" s="30" t="n">
        <v>166</v>
      </c>
      <c r="G85" s="30" t="n">
        <v>233</v>
      </c>
      <c r="H85" s="3" t="n"/>
      <c r="I85" s="30" t="n">
        <v>135</v>
      </c>
      <c r="J85" s="30" t="n">
        <v>189</v>
      </c>
      <c r="K85" s="4" t="inlineStr">
        <is>
          <t>8K_2026-08-07 p10</t>
        </is>
      </c>
    </row>
    <row r="86">
      <c r="A86" s="38" t="inlineStr">
        <is>
          <t>Capital expenditures</t>
        </is>
      </c>
      <c r="B86" s="3" t="n"/>
      <c r="C86" s="3" t="n"/>
      <c r="D86" s="3" t="n"/>
      <c r="E86" s="3" t="n"/>
      <c r="F86" s="30" t="n">
        <v>-3</v>
      </c>
      <c r="G86" s="30" t="n">
        <v>-8</v>
      </c>
      <c r="H86" s="3" t="n"/>
      <c r="I86" s="30" t="n">
        <v>-6</v>
      </c>
      <c r="J86" s="30" t="n">
        <v>-12</v>
      </c>
      <c r="K86" s="4" t="inlineStr">
        <is>
          <t>8K_2026-08-07 p10</t>
        </is>
      </c>
    </row>
    <row r="87">
      <c r="A87" s="39" t="inlineStr">
        <is>
          <t>Free cash flow</t>
        </is>
      </c>
      <c r="B87" s="3" t="n"/>
      <c r="C87" s="3" t="n"/>
      <c r="D87" s="3" t="n"/>
      <c r="E87" s="3" t="n"/>
      <c r="F87" s="18" t="n">
        <v>163</v>
      </c>
      <c r="G87" s="18" t="n">
        <v>225</v>
      </c>
      <c r="H87" s="3" t="n"/>
      <c r="I87" s="18" t="n">
        <v>129</v>
      </c>
      <c r="J87" s="18" t="n">
        <v>177</v>
      </c>
      <c r="K87" s="4" t="inlineStr">
        <is>
          <t>8K_2026-08-07 p10</t>
        </is>
      </c>
    </row>
    <row r="88">
      <c r="A88" s="14" t="inlineStr">
        <is>
          <t>Slides_Q2-2026 · Second quarter and first half 2026 adjusted EBITDA</t>
        </is>
      </c>
      <c r="B88" s="15" t="n"/>
      <c r="C88" s="15" t="n"/>
      <c r="D88" s="15" t="n"/>
      <c r="E88" s="15" t="n"/>
      <c r="F88" s="15" t="n"/>
      <c r="G88" s="15" t="n"/>
      <c r="H88" s="15" t="n"/>
      <c r="I88" s="15" t="n"/>
      <c r="J88" s="15" t="n"/>
      <c r="K88" s="15" t="n"/>
    </row>
    <row r="89">
      <c r="A89" s="38" t="inlineStr">
        <is>
          <t>Adjusted EBITDA</t>
        </is>
      </c>
      <c r="B89" s="3" t="n"/>
      <c r="C89" s="3" t="n"/>
      <c r="D89" s="3" t="n"/>
      <c r="E89" s="3" t="n"/>
      <c r="F89" s="30" t="n">
        <v>188</v>
      </c>
      <c r="G89" s="30" t="n">
        <v>357</v>
      </c>
      <c r="H89" s="3" t="n"/>
      <c r="I89" s="30" t="n">
        <v>202</v>
      </c>
      <c r="J89" s="30" t="n">
        <v>386</v>
      </c>
      <c r="K89" s="4" t="inlineStr">
        <is>
          <t>Slides_Q2-2026 p6</t>
        </is>
      </c>
    </row>
    <row r="90">
      <c r="A90" s="38" t="inlineStr">
        <is>
          <t>Adjusted EBITDA growth</t>
        </is>
      </c>
      <c r="B90" s="3" t="n"/>
      <c r="C90" s="3" t="n"/>
      <c r="D90" s="3" t="n"/>
      <c r="E90" s="3" t="n"/>
      <c r="F90" s="3" t="n"/>
      <c r="G90" s="3" t="n"/>
      <c r="H90" s="3" t="n"/>
      <c r="I90" s="41" t="n">
        <v>7</v>
      </c>
      <c r="J90" s="41" t="n">
        <v>8</v>
      </c>
      <c r="K90" s="4" t="inlineStr">
        <is>
          <t>Slides_Q2-2026 p6</t>
        </is>
      </c>
    </row>
    <row r="91">
      <c r="A91" s="38" t="inlineStr">
        <is>
          <t>Adjusted EBITDA margin (~)</t>
        </is>
      </c>
      <c r="B91" s="3" t="n"/>
      <c r="C91" s="3" t="n"/>
      <c r="D91" s="3" t="n"/>
      <c r="E91" s="3" t="n"/>
      <c r="F91" s="41" t="n">
        <v>43</v>
      </c>
      <c r="G91" s="41" t="n">
        <v>42</v>
      </c>
      <c r="H91" s="3" t="n"/>
      <c r="I91" s="41" t="n">
        <v>43</v>
      </c>
      <c r="J91" s="41" t="n">
        <v>42</v>
      </c>
      <c r="K91" s="4" t="inlineStr">
        <is>
          <t>Slides_Q2-2026 p6</t>
        </is>
      </c>
    </row>
    <row r="92">
      <c r="A92" s="14" t="inlineStr">
        <is>
          <t>Slides_Q2-2026 · Q2 and first half 2026 results</t>
        </is>
      </c>
      <c r="B92" s="15" t="n"/>
      <c r="C92" s="15" t="n"/>
      <c r="D92" s="15" t="n"/>
      <c r="E92" s="15" t="n"/>
      <c r="F92" s="15" t="n"/>
      <c r="G92" s="15" t="n"/>
      <c r="H92" s="15" t="n"/>
      <c r="I92" s="15" t="n"/>
      <c r="J92" s="15" t="n"/>
      <c r="K92" s="15" t="n"/>
    </row>
    <row r="93">
      <c r="A93" s="38" t="inlineStr">
        <is>
          <t>Operating profit</t>
        </is>
      </c>
      <c r="B93" s="3" t="n"/>
      <c r="C93" s="3" t="n"/>
      <c r="D93" s="3" t="n"/>
      <c r="E93" s="3" t="n"/>
      <c r="F93" s="30" t="n">
        <v>96</v>
      </c>
      <c r="G93" s="30" t="n">
        <v>180</v>
      </c>
      <c r="H93" s="3" t="n"/>
      <c r="I93" s="30" t="n">
        <v>82</v>
      </c>
      <c r="J93" s="30" t="n">
        <v>163</v>
      </c>
      <c r="K93" s="4" t="inlineStr">
        <is>
          <t>Slides_Q2-2026 p11</t>
        </is>
      </c>
    </row>
    <row r="94">
      <c r="A94" s="38" t="inlineStr">
        <is>
          <t>Net Income</t>
        </is>
      </c>
      <c r="B94" s="3" t="n"/>
      <c r="C94" s="3" t="n"/>
      <c r="D94" s="3" t="n"/>
      <c r="E94" s="3" t="n"/>
      <c r="F94" s="30" t="n">
        <v>65</v>
      </c>
      <c r="G94" s="30" t="n">
        <v>123</v>
      </c>
      <c r="H94" s="3" t="n"/>
      <c r="I94" s="30" t="n">
        <v>53</v>
      </c>
      <c r="J94" s="30" t="n">
        <v>108</v>
      </c>
      <c r="K94" s="4" t="inlineStr">
        <is>
          <t>Slides_Q2-2026 p11</t>
        </is>
      </c>
    </row>
    <row r="95">
      <c r="A95" s="38" t="inlineStr">
        <is>
          <t>Net income margin</t>
        </is>
      </c>
      <c r="B95" s="3" t="n"/>
      <c r="C95" s="3" t="n"/>
      <c r="D95" s="3" t="n"/>
      <c r="E95" s="3" t="n"/>
      <c r="F95" s="41" t="n">
        <v>15</v>
      </c>
      <c r="G95" s="41" t="n">
        <v>14</v>
      </c>
      <c r="H95" s="3" t="n"/>
      <c r="I95" s="41" t="n">
        <v>11</v>
      </c>
      <c r="J95" s="41" t="n">
        <v>12</v>
      </c>
      <c r="K95" s="4" t="inlineStr">
        <is>
          <t>Slides_Q2-2026 p11</t>
        </is>
      </c>
    </row>
    <row r="96">
      <c r="A96" s="38" t="inlineStr">
        <is>
          <t>Diluted EPS</t>
        </is>
      </c>
      <c r="B96" s="3" t="n"/>
      <c r="C96" s="3" t="n"/>
      <c r="D96" s="3" t="n"/>
      <c r="E96" s="3" t="n"/>
      <c r="F96" s="32" t="n">
        <v>0.22</v>
      </c>
      <c r="G96" s="32" t="n">
        <v>0.42</v>
      </c>
      <c r="H96" s="3" t="n"/>
      <c r="I96" s="32" t="n">
        <v>0.18</v>
      </c>
      <c r="J96" s="32" t="n">
        <v>0.37</v>
      </c>
      <c r="K96" s="4" t="inlineStr">
        <is>
          <t>Slides_Q2-2026 p11</t>
        </is>
      </c>
    </row>
    <row r="97">
      <c r="A97" s="38" t="inlineStr">
        <is>
          <t>Adjusted EBITDA</t>
        </is>
      </c>
      <c r="B97" s="3" t="n"/>
      <c r="C97" s="3" t="n"/>
      <c r="D97" s="3" t="n"/>
      <c r="E97" s="3" t="n"/>
      <c r="F97" s="30" t="n">
        <v>188</v>
      </c>
      <c r="G97" s="30" t="n">
        <v>357</v>
      </c>
      <c r="H97" s="3" t="n"/>
      <c r="I97" s="30" t="n">
        <v>202</v>
      </c>
      <c r="J97" s="30" t="n">
        <v>386</v>
      </c>
      <c r="K97" s="4" t="inlineStr">
        <is>
          <t>Slides_Q2-2026 p11</t>
        </is>
      </c>
    </row>
    <row r="98">
      <c r="A98" s="38" t="inlineStr">
        <is>
          <t>Adjusted EBITDA margin</t>
        </is>
      </c>
      <c r="B98" s="3" t="n"/>
      <c r="C98" s="3" t="n"/>
      <c r="D98" s="3" t="n"/>
      <c r="E98" s="3" t="n"/>
      <c r="F98" s="41" t="n">
        <v>43</v>
      </c>
      <c r="G98" s="41" t="n">
        <v>42</v>
      </c>
      <c r="H98" s="3" t="n"/>
      <c r="I98" s="41" t="n">
        <v>43</v>
      </c>
      <c r="J98" s="41" t="n">
        <v>42</v>
      </c>
      <c r="K98" s="4" t="inlineStr">
        <is>
          <t>Slides_Q2-2026 p11</t>
        </is>
      </c>
    </row>
    <row r="99">
      <c r="A99" s="38" t="inlineStr">
        <is>
          <t>Net cash provided by operating activities</t>
        </is>
      </c>
      <c r="B99" s="3" t="n"/>
      <c r="C99" s="3" t="n"/>
      <c r="D99" s="3" t="n"/>
      <c r="E99" s="3" t="n"/>
      <c r="F99" s="30" t="n">
        <v>166</v>
      </c>
      <c r="G99" s="30" t="n">
        <v>233</v>
      </c>
      <c r="H99" s="3" t="n"/>
      <c r="I99" s="30" t="n">
        <v>135</v>
      </c>
      <c r="J99" s="30" t="n">
        <v>189</v>
      </c>
      <c r="K99" s="4" t="inlineStr">
        <is>
          <t>Slides_Q2-2026 p11</t>
        </is>
      </c>
    </row>
    <row r="100">
      <c r="A100" s="38" t="inlineStr">
        <is>
          <t>Free cash flow</t>
        </is>
      </c>
      <c r="B100" s="3" t="n"/>
      <c r="C100" s="3" t="n"/>
      <c r="D100" s="3" t="n"/>
      <c r="E100" s="3" t="n"/>
      <c r="F100" s="30" t="n">
        <v>163</v>
      </c>
      <c r="G100" s="30" t="n">
        <v>225</v>
      </c>
      <c r="H100" s="3" t="n"/>
      <c r="I100" s="30" t="n">
        <v>129</v>
      </c>
      <c r="J100" s="30" t="n">
        <v>177</v>
      </c>
      <c r="K100" s="4" t="inlineStr">
        <is>
          <t>Slides_Q2-2026 p11</t>
        </is>
      </c>
    </row>
    <row r="101">
      <c r="A101" s="14" t="inlineStr">
        <is>
          <t>Slides_Q2-2026 · Non-GAAP financial measures reconciliation</t>
        </is>
      </c>
      <c r="B101" s="15" t="n"/>
      <c r="C101" s="15" t="n"/>
      <c r="D101" s="15" t="n"/>
      <c r="E101" s="15" t="n"/>
      <c r="F101" s="15" t="n"/>
      <c r="G101" s="15" t="n"/>
      <c r="H101" s="15" t="n"/>
      <c r="I101" s="15" t="n"/>
      <c r="J101" s="15" t="n"/>
      <c r="K101" s="15" t="n"/>
    </row>
    <row r="102">
      <c r="A102" s="38" t="inlineStr">
        <is>
          <t>Net income</t>
        </is>
      </c>
      <c r="B102" s="3" t="n"/>
      <c r="C102" s="3" t="n"/>
      <c r="D102" s="3" t="n"/>
      <c r="E102" s="3" t="n"/>
      <c r="F102" s="30" t="n">
        <v>65</v>
      </c>
      <c r="G102" s="30" t="n">
        <v>123</v>
      </c>
      <c r="H102" s="3" t="n"/>
      <c r="I102" s="30" t="n">
        <v>53</v>
      </c>
      <c r="J102" s="30" t="n">
        <v>108</v>
      </c>
      <c r="K102" s="4" t="inlineStr">
        <is>
          <t>Slides_Q2-2026 p13</t>
        </is>
      </c>
    </row>
    <row r="103">
      <c r="A103" s="38" t="inlineStr">
        <is>
          <t>Interest, net</t>
        </is>
      </c>
      <c r="B103" s="3" t="n"/>
      <c r="C103" s="3" t="n"/>
      <c r="D103" s="3" t="n"/>
      <c r="E103" s="3" t="n"/>
      <c r="F103" s="30" t="n">
        <v>4</v>
      </c>
      <c r="G103" s="30" t="n">
        <v>7</v>
      </c>
      <c r="H103" s="3" t="n"/>
      <c r="I103" s="30" t="n">
        <v>7</v>
      </c>
      <c r="J103" s="30" t="n">
        <v>10</v>
      </c>
      <c r="K103" s="4" t="inlineStr">
        <is>
          <t>Slides_Q2-2026 p13</t>
        </is>
      </c>
    </row>
    <row r="104">
      <c r="A104" s="38" t="inlineStr">
        <is>
          <t>Provision for income taxes</t>
        </is>
      </c>
      <c r="B104" s="3" t="n"/>
      <c r="C104" s="3" t="n"/>
      <c r="D104" s="3" t="n"/>
      <c r="E104" s="3" t="n"/>
      <c r="F104" s="30" t="n">
        <v>27</v>
      </c>
      <c r="G104" s="30" t="n">
        <v>50</v>
      </c>
      <c r="H104" s="3" t="n"/>
      <c r="I104" s="30" t="n">
        <v>22</v>
      </c>
      <c r="J104" s="30" t="n">
        <v>45</v>
      </c>
      <c r="K104" s="4" t="inlineStr">
        <is>
          <t>Slides_Q2-2026 p13</t>
        </is>
      </c>
    </row>
    <row r="105">
      <c r="A105" s="38" t="inlineStr">
        <is>
          <t>Depreciation and amortization</t>
        </is>
      </c>
      <c r="B105" s="3" t="n"/>
      <c r="C105" s="3" t="n"/>
      <c r="D105" s="3" t="n"/>
      <c r="E105" s="3" t="n"/>
      <c r="F105" s="30" t="n">
        <v>77</v>
      </c>
      <c r="G105" s="30" t="n">
        <v>155</v>
      </c>
      <c r="H105" s="3" t="n"/>
      <c r="I105" s="30" t="n">
        <v>77</v>
      </c>
      <c r="J105" s="30" t="n">
        <v>155</v>
      </c>
      <c r="K105" s="4" t="inlineStr">
        <is>
          <t>Slides_Q2-2026 p13</t>
        </is>
      </c>
    </row>
    <row r="106">
      <c r="A106" s="38" t="inlineStr">
        <is>
          <t>Stock - based compensation</t>
        </is>
      </c>
      <c r="B106" s="3" t="n"/>
      <c r="C106" s="3" t="n"/>
      <c r="D106" s="3" t="n"/>
      <c r="E106" s="3" t="n"/>
      <c r="F106" s="30" t="n">
        <v>4</v>
      </c>
      <c r="G106" s="30" t="n">
        <v>6</v>
      </c>
      <c r="H106" s="3" t="n"/>
      <c r="I106" s="30" t="n">
        <v>5</v>
      </c>
      <c r="J106" s="30" t="n">
        <v>9</v>
      </c>
      <c r="K106" s="4" t="inlineStr">
        <is>
          <t>Slides_Q2-2026 p13</t>
        </is>
      </c>
    </row>
    <row r="107">
      <c r="A107" s="38" t="inlineStr">
        <is>
          <t>Transaction costs</t>
        </is>
      </c>
      <c r="B107" s="3" t="n"/>
      <c r="C107" s="3" t="n"/>
      <c r="D107" s="3" t="n"/>
      <c r="E107" s="3" t="n"/>
      <c r="F107" s="30" t="n">
        <v>2</v>
      </c>
      <c r="G107" s="30" t="n">
        <v>2</v>
      </c>
      <c r="H107" s="3" t="n"/>
      <c r="I107" s="30" t="n">
        <v>36</v>
      </c>
      <c r="J107" s="30" t="n">
        <v>57</v>
      </c>
      <c r="K107" s="4" t="inlineStr">
        <is>
          <t>Slides_Q2-2026 p13</t>
        </is>
      </c>
    </row>
    <row r="108">
      <c r="A108" s="38" t="inlineStr">
        <is>
          <t>Employee severance charges and other</t>
        </is>
      </c>
      <c r="B108" s="3" t="n"/>
      <c r="C108" s="3" t="n"/>
      <c r="D108" s="3" t="n"/>
      <c r="E108" s="3" t="n"/>
      <c r="F108" s="30" t="n">
        <v>9</v>
      </c>
      <c r="G108" s="30" t="n">
        <v>11</v>
      </c>
      <c r="H108" s="3" t="n"/>
      <c r="I108" s="30" t="n">
        <v>2</v>
      </c>
      <c r="J108" s="30" t="n">
        <v>2</v>
      </c>
      <c r="K108" s="4" t="inlineStr">
        <is>
          <t>Slides_Q2-2026 p13</t>
        </is>
      </c>
    </row>
    <row r="109">
      <c r="A109" s="39" t="inlineStr">
        <is>
          <t>Adjusted EBITDA</t>
        </is>
      </c>
      <c r="B109" s="3" t="n"/>
      <c r="C109" s="3" t="n"/>
      <c r="D109" s="3" t="n"/>
      <c r="E109" s="3" t="n"/>
      <c r="F109" s="18" t="n">
        <v>188</v>
      </c>
      <c r="G109" s="18" t="n">
        <v>357</v>
      </c>
      <c r="H109" s="3" t="n"/>
      <c r="I109" s="18" t="n">
        <v>202</v>
      </c>
      <c r="J109" s="18" t="n">
        <v>386</v>
      </c>
      <c r="K109" s="4" t="inlineStr">
        <is>
          <t>Slides_Q2-2026 p13</t>
        </is>
      </c>
    </row>
    <row r="110">
      <c r="A110" s="38" t="inlineStr">
        <is>
          <t>% Net income margin</t>
        </is>
      </c>
      <c r="B110" s="3" t="n"/>
      <c r="C110" s="3" t="n"/>
      <c r="D110" s="3" t="n"/>
      <c r="E110" s="3" t="n"/>
      <c r="F110" s="41" t="n">
        <v>15</v>
      </c>
      <c r="G110" s="41" t="n">
        <v>14</v>
      </c>
      <c r="H110" s="3" t="n"/>
      <c r="I110" s="41" t="n">
        <v>11</v>
      </c>
      <c r="J110" s="41" t="n">
        <v>12</v>
      </c>
      <c r="K110" s="4" t="inlineStr">
        <is>
          <t>Slides_Q2-2026 p13</t>
        </is>
      </c>
    </row>
    <row r="111">
      <c r="A111" s="38" t="inlineStr">
        <is>
          <t>% Adjusted EBITDA margin</t>
        </is>
      </c>
      <c r="B111" s="3" t="n"/>
      <c r="C111" s="3" t="n"/>
      <c r="D111" s="3" t="n"/>
      <c r="E111" s="3" t="n"/>
      <c r="F111" s="41" t="n">
        <v>43</v>
      </c>
      <c r="G111" s="41" t="n">
        <v>42</v>
      </c>
      <c r="H111" s="3" t="n"/>
      <c r="I111" s="41" t="n">
        <v>43</v>
      </c>
      <c r="J111" s="41" t="n">
        <v>42</v>
      </c>
      <c r="K111" s="4" t="inlineStr">
        <is>
          <t>Slides_Q2-2026 p13</t>
        </is>
      </c>
    </row>
    <row r="112">
      <c r="A112" s="14" t="inlineStr">
        <is>
          <t>Slides_Q2-2026 · Non-GAAP financial measures reconciliation (FCF)</t>
        </is>
      </c>
      <c r="B112" s="15" t="n"/>
      <c r="C112" s="15" t="n"/>
      <c r="D112" s="15" t="n"/>
      <c r="E112" s="15" t="n"/>
      <c r="F112" s="15" t="n"/>
      <c r="G112" s="15" t="n"/>
      <c r="H112" s="15" t="n"/>
      <c r="I112" s="15" t="n"/>
      <c r="J112" s="15" t="n"/>
      <c r="K112" s="15" t="n"/>
    </row>
    <row r="113">
      <c r="A113" s="38" t="inlineStr">
        <is>
          <t>Cash provided by operating activities</t>
        </is>
      </c>
      <c r="B113" s="3" t="n"/>
      <c r="C113" s="3" t="n"/>
      <c r="D113" s="3" t="n"/>
      <c r="E113" s="3" t="n"/>
      <c r="F113" s="30" t="n">
        <v>166</v>
      </c>
      <c r="G113" s="30" t="n">
        <v>233</v>
      </c>
      <c r="H113" s="3" t="n"/>
      <c r="I113" s="30" t="n">
        <v>135</v>
      </c>
      <c r="J113" s="30" t="n">
        <v>189</v>
      </c>
      <c r="K113" s="4" t="inlineStr">
        <is>
          <t>Slides_Q2-2026 p14</t>
        </is>
      </c>
    </row>
    <row r="114">
      <c r="A114" s="38" t="inlineStr">
        <is>
          <t>Capital expenditures</t>
        </is>
      </c>
      <c r="B114" s="3" t="n"/>
      <c r="C114" s="3" t="n"/>
      <c r="D114" s="3" t="n"/>
      <c r="E114" s="3" t="n"/>
      <c r="F114" s="30" t="n">
        <v>-3</v>
      </c>
      <c r="G114" s="30" t="n">
        <v>-8</v>
      </c>
      <c r="H114" s="3" t="n"/>
      <c r="I114" s="30" t="n">
        <v>-6</v>
      </c>
      <c r="J114" s="30" t="n">
        <v>-12</v>
      </c>
      <c r="K114" s="4" t="inlineStr">
        <is>
          <t>Slides_Q2-2026 p14</t>
        </is>
      </c>
    </row>
    <row r="115">
      <c r="A115" s="39" t="inlineStr">
        <is>
          <t>Free cash flow</t>
        </is>
      </c>
      <c r="B115" s="3" t="n"/>
      <c r="C115" s="3" t="n"/>
      <c r="D115" s="3" t="n"/>
      <c r="E115" s="3" t="n"/>
      <c r="F115" s="18" t="n">
        <v>163</v>
      </c>
      <c r="G115" s="18" t="n">
        <v>225</v>
      </c>
      <c r="H115" s="3" t="n"/>
      <c r="I115" s="18" t="n">
        <v>129</v>
      </c>
      <c r="J115" s="18" t="n">
        <v>177</v>
      </c>
      <c r="K115" s="4" t="inlineStr">
        <is>
          <t>Slides_Q2-2026 p14</t>
        </is>
      </c>
    </row>
    <row r="116">
      <c r="A116" s="14" t="inlineStr">
        <is>
          <t>Form10A_2026-05-27 · MD&amp;A reconciliation of net income to Adjusted EBITDA (clean rows only; add-back rows text-corrupted)</t>
        </is>
      </c>
      <c r="B116" s="15" t="n"/>
      <c r="C116" s="15" t="n"/>
      <c r="D116" s="15" t="n"/>
      <c r="E116" s="15" t="n"/>
      <c r="F116" s="15" t="n"/>
      <c r="G116" s="15" t="n"/>
      <c r="H116" s="15" t="n"/>
      <c r="I116" s="15" t="n"/>
      <c r="J116" s="15" t="n"/>
      <c r="K116" s="15" t="n"/>
    </row>
    <row r="117">
      <c r="A117" s="38" t="inlineStr">
        <is>
          <t>Net income</t>
        </is>
      </c>
      <c r="B117" s="30" t="n">
        <v>163</v>
      </c>
      <c r="C117" s="30" t="n">
        <v>208</v>
      </c>
      <c r="D117" s="30" t="n">
        <v>220</v>
      </c>
      <c r="E117" s="30" t="n">
        <v>58</v>
      </c>
      <c r="F117" s="3" t="n"/>
      <c r="G117" s="3" t="n"/>
      <c r="H117" s="30" t="n">
        <v>55</v>
      </c>
      <c r="I117" s="3" t="n"/>
      <c r="J117" s="3" t="n"/>
      <c r="K117" s="4" t="inlineStr">
        <is>
          <t>Form10A_2026-05-27 p357</t>
        </is>
      </c>
    </row>
    <row r="118">
      <c r="A118" s="39" t="inlineStr">
        <is>
          <t>Adjusted EBITDA</t>
        </is>
      </c>
      <c r="B118" s="18" t="n">
        <v>598</v>
      </c>
      <c r="C118" s="18" t="n">
        <v>658</v>
      </c>
      <c r="D118" s="18" t="n">
        <v>711</v>
      </c>
      <c r="E118" s="18" t="n">
        <v>169</v>
      </c>
      <c r="F118" s="3" t="n"/>
      <c r="G118" s="3" t="n"/>
      <c r="H118" s="18" t="n">
        <v>184</v>
      </c>
      <c r="I118" s="3" t="n"/>
      <c r="J118" s="3" t="n"/>
      <c r="K118" s="4" t="inlineStr">
        <is>
          <t>Form10A_2026-05-27 p358</t>
        </is>
      </c>
    </row>
    <row r="119">
      <c r="A119" s="38" t="inlineStr">
        <is>
          <t>Interest, net</t>
        </is>
      </c>
      <c r="B119" s="30" t="n">
        <v>17</v>
      </c>
      <c r="C119" s="30" t="n">
        <v>15</v>
      </c>
      <c r="D119" s="30" t="n">
        <v>13</v>
      </c>
      <c r="E119" s="30" t="n">
        <v>3</v>
      </c>
      <c r="F119" s="3" t="n"/>
      <c r="G119" s="3" t="n"/>
      <c r="H119" s="30" t="n">
        <v>3</v>
      </c>
      <c r="I119" s="3" t="n"/>
      <c r="J119" s="3" t="n"/>
      <c r="K119" s="4" t="inlineStr">
        <is>
          <t>Form10A_2026-05-27 p357</t>
        </is>
      </c>
    </row>
    <row r="120">
      <c r="A120" s="38" t="inlineStr">
        <is>
          <t>% Net income margin</t>
        </is>
      </c>
      <c r="B120" s="41" t="n">
        <v>11</v>
      </c>
      <c r="C120" s="41" t="n">
        <v>13</v>
      </c>
      <c r="D120" s="41" t="n">
        <v>13</v>
      </c>
      <c r="E120" s="41" t="n">
        <v>14</v>
      </c>
      <c r="F120" s="3" t="n"/>
      <c r="G120" s="3" t="n"/>
      <c r="H120" s="41" t="n">
        <v>12</v>
      </c>
      <c r="I120" s="3" t="n"/>
      <c r="J120" s="3" t="n"/>
      <c r="K120" s="4" t="inlineStr">
        <is>
          <t>Form10A_2026-05-27 p358</t>
        </is>
      </c>
    </row>
    <row r="121">
      <c r="A121" s="38" t="inlineStr">
        <is>
          <t>Provision for taxes on income</t>
        </is>
      </c>
      <c r="B121" s="30" t="n">
        <v>61</v>
      </c>
      <c r="C121" s="30" t="n">
        <v>76</v>
      </c>
      <c r="D121" s="30" t="n">
        <v>106</v>
      </c>
      <c r="E121" s="30" t="n">
        <v>23</v>
      </c>
      <c r="F121" s="3" t="n"/>
      <c r="G121" s="3" t="n"/>
      <c r="H121" s="30" t="n">
        <v>23</v>
      </c>
      <c r="I121" s="3" t="n"/>
      <c r="J121" s="3" t="n"/>
      <c r="K121" s="4" t="inlineStr">
        <is>
          <t>Form10A_2026-05-27 p357</t>
        </is>
      </c>
    </row>
    <row r="122">
      <c r="A122" s="38" t="inlineStr">
        <is>
          <t>% Adjusted EBITDA margin</t>
        </is>
      </c>
      <c r="B122" s="41" t="n">
        <v>40</v>
      </c>
      <c r="C122" s="41" t="n">
        <v>41</v>
      </c>
      <c r="D122" s="41" t="n">
        <v>41</v>
      </c>
      <c r="E122" s="41" t="n">
        <v>40</v>
      </c>
      <c r="F122" s="3" t="n"/>
      <c r="G122" s="3" t="n"/>
      <c r="H122" s="41" t="n">
        <v>40</v>
      </c>
      <c r="I122" s="3" t="n"/>
      <c r="J122" s="3" t="n"/>
      <c r="K122" s="4" t="inlineStr">
        <is>
          <t>Form10A_2026-05-27 p358</t>
        </is>
      </c>
    </row>
    <row r="123">
      <c r="A123" s="38" t="inlineStr">
        <is>
          <t>Depreciation and amortization</t>
        </is>
      </c>
      <c r="B123" s="30" t="n">
        <v>307</v>
      </c>
      <c r="C123" s="30" t="n">
        <v>309</v>
      </c>
      <c r="D123" s="30" t="n">
        <v>310</v>
      </c>
      <c r="E123" s="30" t="n">
        <v>78</v>
      </c>
      <c r="F123" s="3" t="n"/>
      <c r="G123" s="3" t="n"/>
      <c r="H123" s="30" t="n">
        <v>78</v>
      </c>
      <c r="I123" s="3" t="n"/>
      <c r="J123" s="3" t="n"/>
      <c r="K123" s="4" t="inlineStr">
        <is>
          <t>Form10A_2026-05-27 p357</t>
        </is>
      </c>
    </row>
    <row r="124">
      <c r="A124" s="14" t="inlineStr">
        <is>
          <t>Form10A_2026-05-27 · MD&amp;A reconciliation of net income to Adjusted EBITDA - add-backs cross-checked to segment tables pp.359-360 (see NOTES)</t>
        </is>
      </c>
      <c r="B124" s="15" t="n"/>
      <c r="C124" s="15" t="n"/>
      <c r="D124" s="15" t="n"/>
      <c r="E124" s="15" t="n"/>
      <c r="F124" s="15" t="n"/>
      <c r="G124" s="15" t="n"/>
      <c r="H124" s="15" t="n"/>
      <c r="I124" s="15" t="n"/>
      <c r="J124" s="15" t="n"/>
      <c r="K124" s="15" t="n"/>
    </row>
    <row r="125">
      <c r="A125" s="38" t="inlineStr">
        <is>
          <t>Stock - based compensation</t>
        </is>
      </c>
      <c r="B125" s="30" t="n">
        <v>20</v>
      </c>
      <c r="C125" s="30" t="n">
        <v>28</v>
      </c>
      <c r="D125" s="30" t="n">
        <v>22</v>
      </c>
      <c r="E125" s="30" t="n">
        <v>5</v>
      </c>
      <c r="F125" s="3" t="n"/>
      <c r="G125" s="3" t="n"/>
      <c r="H125" s="30" t="n">
        <v>4</v>
      </c>
      <c r="I125" s="3" t="n"/>
      <c r="J125" s="3" t="n"/>
      <c r="K125" s="4" t="inlineStr">
        <is>
          <t>Form10A_2026-05-27 p358</t>
        </is>
      </c>
    </row>
    <row r="126">
      <c r="A126" s="38" t="inlineStr">
        <is>
          <t>Transaction costs</t>
        </is>
      </c>
      <c r="B126" s="3" t="n"/>
      <c r="C126" s="3" t="n"/>
      <c r="D126" s="30" t="n">
        <v>21</v>
      </c>
      <c r="E126" s="3" t="n"/>
      <c r="F126" s="3" t="n"/>
      <c r="G126" s="3" t="n"/>
      <c r="H126" s="30" t="n">
        <v>21</v>
      </c>
      <c r="I126" s="3" t="n"/>
      <c r="J126" s="3" t="n"/>
      <c r="K126" s="4" t="inlineStr">
        <is>
          <t>Form10A_2026-05-27 p358</t>
        </is>
      </c>
    </row>
    <row r="127">
      <c r="A127" s="14" t="inlineStr">
        <is>
          <t>Form10A_2026-05-27 · MD&amp;A Adjusted operating profit and Segment Adjusted EBITDA reconciliation by segment</t>
        </is>
      </c>
      <c r="B127" s="15" t="n"/>
      <c r="C127" s="15" t="n"/>
      <c r="D127" s="15" t="n"/>
      <c r="E127" s="15" t="n"/>
      <c r="F127" s="15" t="n"/>
      <c r="G127" s="15" t="n"/>
      <c r="H127" s="15" t="n"/>
      <c r="I127" s="15" t="n"/>
      <c r="J127" s="15" t="n"/>
      <c r="K127" s="15" t="n"/>
    </row>
    <row r="128">
      <c r="A128" s="38" t="inlineStr">
        <is>
          <t>CARFAX: Operating profit</t>
        </is>
      </c>
      <c r="B128" s="30" t="n">
        <v>210</v>
      </c>
      <c r="C128" s="30" t="n">
        <v>259</v>
      </c>
      <c r="D128" s="30" t="n">
        <v>322</v>
      </c>
      <c r="E128" s="30" t="n">
        <v>77</v>
      </c>
      <c r="F128" s="3" t="n"/>
      <c r="G128" s="3" t="n"/>
      <c r="H128" s="30" t="n">
        <v>89</v>
      </c>
      <c r="I128" s="3" t="n"/>
      <c r="J128" s="3" t="n"/>
      <c r="K128" s="4" t="inlineStr">
        <is>
          <t>Form10A_2026-05-27 p359; Form10A_2026-05-27 p360</t>
        </is>
      </c>
    </row>
    <row r="129">
      <c r="A129" s="38" t="inlineStr">
        <is>
          <t>CARFAX: Amortization of intangibles</t>
        </is>
      </c>
      <c r="B129" s="30" t="n">
        <v>190</v>
      </c>
      <c r="C129" s="30" t="n">
        <v>190</v>
      </c>
      <c r="D129" s="30" t="n">
        <v>189</v>
      </c>
      <c r="E129" s="30" t="n">
        <v>47</v>
      </c>
      <c r="F129" s="3" t="n"/>
      <c r="G129" s="3" t="n"/>
      <c r="H129" s="30" t="n">
        <v>47</v>
      </c>
      <c r="I129" s="3" t="n"/>
      <c r="J129" s="3" t="n"/>
      <c r="K129" s="4" t="inlineStr">
        <is>
          <t>Form10A_2026-05-27 p359; Form10A_2026-05-27 p360</t>
        </is>
      </c>
    </row>
    <row r="130">
      <c r="A130" s="38" t="inlineStr">
        <is>
          <t>CARFAX: Adjusted operating profit</t>
        </is>
      </c>
      <c r="B130" s="30" t="n">
        <v>400</v>
      </c>
      <c r="C130" s="30" t="n">
        <v>449</v>
      </c>
      <c r="D130" s="30" t="n">
        <v>514</v>
      </c>
      <c r="E130" s="30" t="n">
        <v>124</v>
      </c>
      <c r="F130" s="3" t="n"/>
      <c r="G130" s="3" t="n"/>
      <c r="H130" s="30" t="n">
        <v>136</v>
      </c>
      <c r="I130" s="3" t="n"/>
      <c r="J130" s="3" t="n"/>
      <c r="K130" s="4" t="inlineStr">
        <is>
          <t>Form10A_2026-05-27 p359; Form10A_2026-05-27 p360</t>
        </is>
      </c>
    </row>
    <row r="131">
      <c r="A131" s="38" t="inlineStr">
        <is>
          <t>CARFAX: Employee severance charges</t>
        </is>
      </c>
      <c r="B131" s="3" t="n"/>
      <c r="C131" s="3" t="n"/>
      <c r="D131" s="30" t="n">
        <v>2</v>
      </c>
      <c r="E131" s="3" t="n"/>
      <c r="F131" s="3" t="n"/>
      <c r="G131" s="3" t="n"/>
      <c r="H131" s="3" t="n"/>
      <c r="I131" s="3" t="n"/>
      <c r="J131" s="3" t="n"/>
      <c r="K131" s="4" t="inlineStr">
        <is>
          <t>Form10A_2026-05-27 p359</t>
        </is>
      </c>
    </row>
    <row r="132">
      <c r="A132" s="38" t="inlineStr">
        <is>
          <t>CARFAX: Depreciation</t>
        </is>
      </c>
      <c r="B132" s="30" t="n">
        <v>8</v>
      </c>
      <c r="C132" s="30" t="n">
        <v>9</v>
      </c>
      <c r="D132" s="30" t="n">
        <v>9</v>
      </c>
      <c r="E132" s="30" t="n">
        <v>3</v>
      </c>
      <c r="F132" s="3" t="n"/>
      <c r="G132" s="3" t="n"/>
      <c r="H132" s="30" t="n">
        <v>3</v>
      </c>
      <c r="I132" s="3" t="n"/>
      <c r="J132" s="3" t="n"/>
      <c r="K132" s="4" t="inlineStr">
        <is>
          <t>Form10A_2026-05-27 p359; Form10A_2026-05-27 p360</t>
        </is>
      </c>
    </row>
    <row r="133">
      <c r="A133" s="38" t="inlineStr">
        <is>
          <t>CARFAX: Stock - based compensation</t>
        </is>
      </c>
      <c r="B133" s="30" t="n">
        <v>14</v>
      </c>
      <c r="C133" s="30" t="n">
        <v>18</v>
      </c>
      <c r="D133" s="30" t="n">
        <v>13</v>
      </c>
      <c r="E133" s="30" t="n">
        <v>3</v>
      </c>
      <c r="F133" s="3" t="n"/>
      <c r="G133" s="3" t="n"/>
      <c r="H133" s="30" t="n">
        <v>1</v>
      </c>
      <c r="I133" s="3" t="n"/>
      <c r="J133" s="3" t="n"/>
      <c r="K133" s="4" t="inlineStr">
        <is>
          <t>Form10A_2026-05-27 p359; Form10A_2026-05-27 p360</t>
        </is>
      </c>
    </row>
    <row r="134">
      <c r="A134" s="38" t="inlineStr">
        <is>
          <t>CARFAX: Segment Adjusted EBITDA</t>
        </is>
      </c>
      <c r="B134" s="30" t="n">
        <v>422</v>
      </c>
      <c r="C134" s="30" t="n">
        <v>476</v>
      </c>
      <c r="D134" s="30" t="n">
        <v>536</v>
      </c>
      <c r="E134" s="30" t="n">
        <v>130</v>
      </c>
      <c r="F134" s="3" t="n"/>
      <c r="G134" s="3" t="n"/>
      <c r="H134" s="30" t="n">
        <v>140</v>
      </c>
      <c r="I134" s="3" t="n"/>
      <c r="J134" s="3" t="n"/>
      <c r="K134" s="4" t="inlineStr">
        <is>
          <t>Form10A_2026-05-27 p359; Form10A_2026-05-27 p360</t>
        </is>
      </c>
    </row>
    <row r="135">
      <c r="A135" s="38" t="inlineStr">
        <is>
          <t>CARFAX: % Operating profit margin</t>
        </is>
      </c>
      <c r="B135" s="41" t="n">
        <v>23</v>
      </c>
      <c r="C135" s="41" t="n">
        <v>25</v>
      </c>
      <c r="D135" s="3" t="n"/>
      <c r="E135" s="41" t="n">
        <v>28</v>
      </c>
      <c r="F135" s="3" t="n"/>
      <c r="G135" s="3" t="n"/>
      <c r="H135" s="41" t="n">
        <v>30</v>
      </c>
      <c r="I135" s="3" t="n"/>
      <c r="J135" s="3" t="n"/>
      <c r="K135" s="4" t="inlineStr">
        <is>
          <t>Form10A_2026-05-27 p359; Form10A_2026-05-27 p360</t>
        </is>
      </c>
    </row>
    <row r="136">
      <c r="A136" s="38" t="inlineStr">
        <is>
          <t>CARFAX: % Adjusted operating profit margin</t>
        </is>
      </c>
      <c r="B136" s="41" t="n">
        <v>43</v>
      </c>
      <c r="C136" s="41" t="n">
        <v>43</v>
      </c>
      <c r="D136" s="41" t="n">
        <v>45</v>
      </c>
      <c r="E136" s="41" t="n">
        <v>45</v>
      </c>
      <c r="F136" s="3" t="n"/>
      <c r="G136" s="3" t="n"/>
      <c r="H136" s="41" t="n">
        <v>46</v>
      </c>
      <c r="I136" s="3" t="n"/>
      <c r="J136" s="3" t="n"/>
      <c r="K136" s="4" t="inlineStr">
        <is>
          <t>Form10A_2026-05-27 p359; Form10A_2026-05-27 p360</t>
        </is>
      </c>
    </row>
    <row r="137">
      <c r="A137" s="38" t="inlineStr">
        <is>
          <t>CARFAX: % Segment Adjusted EBITDA margin</t>
        </is>
      </c>
      <c r="B137" s="41" t="n">
        <v>45</v>
      </c>
      <c r="C137" s="41" t="n">
        <v>46</v>
      </c>
      <c r="D137" s="41" t="n">
        <v>47</v>
      </c>
      <c r="E137" s="41" t="n">
        <v>47</v>
      </c>
      <c r="F137" s="3" t="n"/>
      <c r="G137" s="3" t="n"/>
      <c r="H137" s="41" t="n">
        <v>47</v>
      </c>
      <c r="I137" s="3" t="n"/>
      <c r="J137" s="3" t="n"/>
      <c r="K137" s="4" t="inlineStr">
        <is>
          <t>Form10A_2026-05-27 p359; Form10A_2026-05-27 p360</t>
        </is>
      </c>
    </row>
    <row r="138">
      <c r="A138" s="38" t="inlineStr">
        <is>
          <t>B2B: Operating profit</t>
        </is>
      </c>
      <c r="B138" s="30" t="n">
        <v>61</v>
      </c>
      <c r="C138" s="30" t="n">
        <v>69</v>
      </c>
      <c r="D138" s="30" t="n">
        <v>62</v>
      </c>
      <c r="E138" s="30" t="n">
        <v>14</v>
      </c>
      <c r="F138" s="3" t="n"/>
      <c r="G138" s="3" t="n"/>
      <c r="H138" s="30" t="n">
        <v>5</v>
      </c>
      <c r="I138" s="3" t="n"/>
      <c r="J138" s="3" t="n"/>
      <c r="K138" s="4" t="inlineStr">
        <is>
          <t>Form10A_2026-05-27 p359; Form10A_2026-05-27 p360</t>
        </is>
      </c>
    </row>
    <row r="139">
      <c r="A139" s="38" t="inlineStr">
        <is>
          <t>B2B: Amortization of intangibles</t>
        </is>
      </c>
      <c r="B139" s="30" t="n">
        <v>106</v>
      </c>
      <c r="C139" s="30" t="n">
        <v>107</v>
      </c>
      <c r="D139" s="30" t="n">
        <v>107</v>
      </c>
      <c r="E139" s="30" t="n">
        <v>27</v>
      </c>
      <c r="F139" s="3" t="n"/>
      <c r="G139" s="3" t="n"/>
      <c r="H139" s="30" t="n">
        <v>27</v>
      </c>
      <c r="I139" s="3" t="n"/>
      <c r="J139" s="3" t="n"/>
      <c r="K139" s="4" t="inlineStr">
        <is>
          <t>Form10A_2026-05-27 p359; Form10A_2026-05-27 p360</t>
        </is>
      </c>
    </row>
    <row r="140">
      <c r="A140" s="38" t="inlineStr">
        <is>
          <t>B2B: Transaction costs</t>
        </is>
      </c>
      <c r="B140" s="3" t="n"/>
      <c r="C140" s="3" t="n"/>
      <c r="D140" s="30" t="n">
        <v>9</v>
      </c>
      <c r="E140" s="3" t="n"/>
      <c r="F140" s="3" t="n"/>
      <c r="G140" s="3" t="n"/>
      <c r="H140" s="30" t="n">
        <v>13</v>
      </c>
      <c r="I140" s="3" t="n"/>
      <c r="J140" s="3" t="n"/>
      <c r="K140" s="4" t="inlineStr">
        <is>
          <t>Form10A_2026-05-27 p359</t>
        </is>
      </c>
    </row>
    <row r="141">
      <c r="A141" s="38" t="inlineStr">
        <is>
          <t>B2B: Adjusted operating profit</t>
        </is>
      </c>
      <c r="B141" s="30" t="n">
        <v>181</v>
      </c>
      <c r="C141" s="30" t="n">
        <v>189</v>
      </c>
      <c r="D141" s="30" t="n">
        <v>183</v>
      </c>
      <c r="E141" s="30" t="n">
        <v>41</v>
      </c>
      <c r="F141" s="3" t="n"/>
      <c r="G141" s="3" t="n"/>
      <c r="H141" s="30" t="n">
        <v>45</v>
      </c>
      <c r="I141" s="3" t="n"/>
      <c r="J141" s="3" t="n"/>
      <c r="K141" s="4" t="inlineStr">
        <is>
          <t>Form10A_2026-05-27 p359; Form10A_2026-05-27 p360</t>
        </is>
      </c>
    </row>
    <row r="142">
      <c r="A142" s="38" t="inlineStr">
        <is>
          <t>B2B: Employee severance charges</t>
        </is>
      </c>
      <c r="B142" s="30" t="n">
        <v>9</v>
      </c>
      <c r="C142" s="30" t="n">
        <v>7</v>
      </c>
      <c r="D142" s="30" t="n">
        <v>13</v>
      </c>
      <c r="E142" s="3" t="n"/>
      <c r="F142" s="3" t="n"/>
      <c r="G142" s="3" t="n"/>
      <c r="H142" s="3" t="n"/>
      <c r="I142" s="3" t="n"/>
      <c r="J142" s="3" t="n"/>
      <c r="K142" s="4" t="inlineStr">
        <is>
          <t>Form10A_2026-05-27 p359; Form10A_2026-05-27 p360</t>
        </is>
      </c>
    </row>
    <row r="143">
      <c r="A143" s="38" t="inlineStr">
        <is>
          <t>B2B: Acquisition integration costs</t>
        </is>
      </c>
      <c r="B143" s="30" t="n">
        <v>2</v>
      </c>
      <c r="C143" s="30" t="n">
        <v>4</v>
      </c>
      <c r="D143" s="3" t="n"/>
      <c r="E143" s="3" t="n"/>
      <c r="F143" s="3" t="n"/>
      <c r="G143" s="3" t="n"/>
      <c r="H143" s="3" t="n"/>
      <c r="I143" s="3" t="n"/>
      <c r="J143" s="3" t="n"/>
      <c r="K143" s="4" t="inlineStr">
        <is>
          <t>Form10A_2026-05-27 p360</t>
        </is>
      </c>
    </row>
    <row r="144">
      <c r="A144" s="38" t="inlineStr">
        <is>
          <t>B2B: Depreciation</t>
        </is>
      </c>
      <c r="B144" s="30" t="n">
        <v>4</v>
      </c>
      <c r="C144" s="30" t="n">
        <v>4</v>
      </c>
      <c r="D144" s="30" t="n">
        <v>5</v>
      </c>
      <c r="E144" s="30" t="n">
        <v>1</v>
      </c>
      <c r="F144" s="3" t="n"/>
      <c r="G144" s="3" t="n"/>
      <c r="H144" s="3" t="n"/>
      <c r="I144" s="3" t="n"/>
      <c r="J144" s="3" t="n"/>
      <c r="K144" s="4" t="inlineStr">
        <is>
          <t>Form10A_2026-05-27 p359; Form10A_2026-05-27 p360</t>
        </is>
      </c>
    </row>
    <row r="145">
      <c r="A145" s="38" t="inlineStr">
        <is>
          <t>B2B: Legal settlement recovery</t>
        </is>
      </c>
      <c r="B145" s="3" t="n"/>
      <c r="C145" s="3" t="n"/>
      <c r="D145" s="30" t="n">
        <v>-3</v>
      </c>
      <c r="E145" s="3" t="n"/>
      <c r="F145" s="3" t="n"/>
      <c r="G145" s="3" t="n"/>
      <c r="H145" s="3" t="n"/>
      <c r="I145" s="3" t="n"/>
      <c r="J145" s="3" t="n"/>
      <c r="K145" s="4" t="inlineStr">
        <is>
          <t>Form10A_2026-05-27 p359</t>
        </is>
      </c>
    </row>
    <row r="146">
      <c r="A146" s="38" t="inlineStr">
        <is>
          <t>B2B: % Operating profit margin</t>
        </is>
      </c>
      <c r="B146" s="41" t="n">
        <v>11</v>
      </c>
      <c r="C146" s="41" t="n">
        <v>12</v>
      </c>
      <c r="D146" s="41" t="n">
        <v>10</v>
      </c>
      <c r="E146" s="41" t="n">
        <v>10</v>
      </c>
      <c r="F146" s="3" t="n"/>
      <c r="G146" s="3" t="n"/>
      <c r="H146" s="41" t="n">
        <v>3</v>
      </c>
      <c r="I146" s="3" t="n"/>
      <c r="J146" s="3" t="n"/>
      <c r="K146" s="4" t="inlineStr">
        <is>
          <t>Form10A_2026-05-27 p359; Form10A_2026-05-27 p360</t>
        </is>
      </c>
    </row>
    <row r="147">
      <c r="A147" s="38" t="inlineStr">
        <is>
          <t>B2B: Stock - based compensation</t>
        </is>
      </c>
      <c r="B147" s="30" t="n">
        <v>6</v>
      </c>
      <c r="C147" s="30" t="n">
        <v>10</v>
      </c>
      <c r="D147" s="30" t="n">
        <v>9</v>
      </c>
      <c r="E147" s="30" t="n">
        <v>2</v>
      </c>
      <c r="F147" s="3" t="n"/>
      <c r="G147" s="3" t="n"/>
      <c r="H147" s="3" t="n"/>
      <c r="I147" s="3" t="n"/>
      <c r="J147" s="3" t="n"/>
      <c r="K147" s="4" t="inlineStr">
        <is>
          <t>Form10A_2026-05-27 p359; Form10A_2026-05-27 p360</t>
        </is>
      </c>
    </row>
    <row r="148">
      <c r="A148" s="38" t="inlineStr">
        <is>
          <t>B2B: ELT transition costs</t>
        </is>
      </c>
      <c r="B148" s="3" t="n"/>
      <c r="C148" s="3" t="n"/>
      <c r="D148" s="30" t="n">
        <v>-5</v>
      </c>
      <c r="E148" s="3" t="n"/>
      <c r="F148" s="3" t="n"/>
      <c r="G148" s="3" t="n"/>
      <c r="H148" s="3" t="n"/>
      <c r="I148" s="3" t="n"/>
      <c r="J148" s="3" t="n"/>
      <c r="K148" s="4" t="inlineStr">
        <is>
          <t>Form10A_2026-05-27 p359</t>
        </is>
      </c>
    </row>
    <row r="149">
      <c r="A149" s="38" t="inlineStr">
        <is>
          <t>B2B: Acquisition and disposition - related costs</t>
        </is>
      </c>
      <c r="B149" s="30" t="n">
        <v>3</v>
      </c>
      <c r="C149" s="30" t="n">
        <v>2</v>
      </c>
      <c r="D149" s="3" t="n"/>
      <c r="E149" s="3" t="n"/>
      <c r="F149" s="3" t="n"/>
      <c r="G149" s="3" t="n"/>
      <c r="H149" s="3" t="n"/>
      <c r="I149" s="3" t="n"/>
      <c r="J149" s="3" t="n"/>
      <c r="K149" s="4" t="inlineStr">
        <is>
          <t>Form10A_2026-05-27 p360</t>
        </is>
      </c>
    </row>
    <row r="150">
      <c r="A150" s="38" t="inlineStr">
        <is>
          <t>B2B: % Adjusted operating profit margin</t>
        </is>
      </c>
      <c r="B150" s="41" t="n">
        <v>33</v>
      </c>
      <c r="C150" s="41" t="n">
        <v>33</v>
      </c>
      <c r="D150" s="41" t="n">
        <v>30</v>
      </c>
      <c r="E150" s="41" t="n">
        <v>28</v>
      </c>
      <c r="F150" s="3" t="n"/>
      <c r="G150" s="3" t="n"/>
      <c r="H150" s="41" t="n">
        <v>28</v>
      </c>
      <c r="I150" s="3" t="n"/>
      <c r="J150" s="3" t="n"/>
      <c r="K150" s="4" t="inlineStr">
        <is>
          <t>Form10A_2026-05-27 p359; Form10A_2026-05-27 p360</t>
        </is>
      </c>
    </row>
    <row r="151">
      <c r="A151" s="38" t="inlineStr">
        <is>
          <t>B2B: Segment Adjusted EBITDA</t>
        </is>
      </c>
      <c r="B151" s="30" t="n">
        <v>191</v>
      </c>
      <c r="C151" s="30" t="n">
        <v>203</v>
      </c>
      <c r="D151" s="30" t="n">
        <v>197</v>
      </c>
      <c r="E151" s="30" t="n">
        <v>44</v>
      </c>
      <c r="F151" s="3" t="n"/>
      <c r="G151" s="3" t="n"/>
      <c r="H151" s="3" t="n"/>
      <c r="I151" s="3" t="n"/>
      <c r="J151" s="3" t="n"/>
      <c r="K151" s="4" t="inlineStr">
        <is>
          <t>Form10A_2026-05-27 p359; Form10A_2026-05-27 p360</t>
        </is>
      </c>
    </row>
    <row r="152">
      <c r="A152" s="38" t="inlineStr">
        <is>
          <t>B2B: % Segment Adjusted EBITDA margin</t>
        </is>
      </c>
      <c r="B152" s="41" t="n">
        <v>34</v>
      </c>
      <c r="C152" s="41" t="n">
        <v>35</v>
      </c>
      <c r="D152" s="41" t="n">
        <v>32</v>
      </c>
      <c r="E152" s="41" t="n">
        <v>31</v>
      </c>
      <c r="F152" s="3" t="n"/>
      <c r="G152" s="3" t="n"/>
      <c r="H152" s="41" t="n">
        <v>31</v>
      </c>
      <c r="I152" s="3" t="n"/>
      <c r="J152" s="3" t="n"/>
      <c r="K152" s="4" t="inlineStr">
        <is>
          <t>Form10A_2026-05-27 p359; Form10A_2026-05-27 p360</t>
        </is>
      </c>
    </row>
    <row r="153">
      <c r="A153" s="38" t="inlineStr">
        <is>
          <t>Corporate: Operating profit</t>
        </is>
      </c>
      <c r="B153" s="30" t="n">
        <v>-32</v>
      </c>
      <c r="C153" s="30" t="n">
        <v>-30</v>
      </c>
      <c r="D153" s="30" t="n">
        <v>-45</v>
      </c>
      <c r="E153" s="30" t="n">
        <v>-7</v>
      </c>
      <c r="F153" s="3" t="n"/>
      <c r="G153" s="3" t="n"/>
      <c r="H153" s="30" t="n">
        <v>-13</v>
      </c>
      <c r="I153" s="3" t="n"/>
      <c r="J153" s="3" t="n"/>
      <c r="K153" s="4" t="inlineStr">
        <is>
          <t>Form10A_2026-05-27 p359; Form10A_2026-05-27 p360</t>
        </is>
      </c>
    </row>
    <row r="154">
      <c r="A154" s="38" t="inlineStr">
        <is>
          <t>Corporate: Transaction costs</t>
        </is>
      </c>
      <c r="B154" s="3" t="n"/>
      <c r="C154" s="3" t="n"/>
      <c r="D154" s="30" t="n">
        <v>12</v>
      </c>
      <c r="E154" s="3" t="n"/>
      <c r="F154" s="3" t="n"/>
      <c r="G154" s="3" t="n"/>
      <c r="H154" s="30" t="n">
        <v>8</v>
      </c>
      <c r="I154" s="3" t="n"/>
      <c r="J154" s="3" t="n"/>
      <c r="K154" s="4" t="inlineStr">
        <is>
          <t>Form10A_2026-05-27 p359</t>
        </is>
      </c>
    </row>
    <row r="155">
      <c r="A155" s="38" t="inlineStr">
        <is>
          <t>Corporate: Adjusted operating profit</t>
        </is>
      </c>
      <c r="B155" s="30" t="n">
        <v>-16</v>
      </c>
      <c r="C155" s="30" t="n">
        <v>-20</v>
      </c>
      <c r="D155" s="30" t="n">
        <v>-22</v>
      </c>
      <c r="E155" s="30" t="n">
        <v>-5</v>
      </c>
      <c r="F155" s="3" t="n"/>
      <c r="G155" s="3" t="n"/>
      <c r="H155" s="30" t="n">
        <v>-5</v>
      </c>
      <c r="I155" s="3" t="n"/>
      <c r="J155" s="3" t="n"/>
      <c r="K155" s="4" t="inlineStr">
        <is>
          <t>Form10A_2026-05-27 p359; Form10A_2026-05-27 p360</t>
        </is>
      </c>
    </row>
    <row r="156">
      <c r="A156" s="38" t="inlineStr">
        <is>
          <t>Corporate: Segment Adjusted EBITDA</t>
        </is>
      </c>
      <c r="B156" s="30" t="n">
        <v>-16</v>
      </c>
      <c r="C156" s="30" t="n">
        <v>-20</v>
      </c>
      <c r="D156" s="30" t="n">
        <v>-22</v>
      </c>
      <c r="E156" s="30" t="n">
        <v>-5</v>
      </c>
      <c r="F156" s="3" t="n"/>
      <c r="G156" s="3" t="n"/>
      <c r="H156" s="30" t="n">
        <v>-5</v>
      </c>
      <c r="I156" s="3" t="n"/>
      <c r="J156" s="3" t="n"/>
      <c r="K156" s="4" t="inlineStr">
        <is>
          <t>Form10A_2026-05-27 p359; Form10A_2026-05-27 p360</t>
        </is>
      </c>
    </row>
    <row r="157">
      <c r="A157" s="38" t="inlineStr">
        <is>
          <t>Corporate: Employee severance charges</t>
        </is>
      </c>
      <c r="B157" s="3" t="n"/>
      <c r="C157" s="30" t="n">
        <v>3</v>
      </c>
      <c r="D157" s="30" t="n">
        <v>5</v>
      </c>
      <c r="E157" s="30" t="n">
        <v>1</v>
      </c>
      <c r="F157" s="3" t="n"/>
      <c r="G157" s="3" t="n"/>
      <c r="H157" s="3" t="n"/>
      <c r="I157" s="3" t="n"/>
      <c r="J157" s="3" t="n"/>
      <c r="K157" s="4" t="inlineStr">
        <is>
          <t>Form10A_2026-05-27 p359; Form10A_2026-05-27 p360</t>
        </is>
      </c>
    </row>
    <row r="158">
      <c r="A158" s="38" t="inlineStr">
        <is>
          <t>Total: Operating profit</t>
        </is>
      </c>
      <c r="B158" s="30" t="n">
        <v>239</v>
      </c>
      <c r="C158" s="30" t="n">
        <v>298</v>
      </c>
      <c r="D158" s="30" t="n">
        <v>339</v>
      </c>
      <c r="E158" s="30" t="n">
        <v>84</v>
      </c>
      <c r="F158" s="3" t="n"/>
      <c r="G158" s="3" t="n"/>
      <c r="H158" s="30" t="n">
        <v>81</v>
      </c>
      <c r="I158" s="3" t="n"/>
      <c r="J158" s="3" t="n"/>
      <c r="K158" s="4" t="inlineStr">
        <is>
          <t>Form10A_2026-05-27 p359; Form10A_2026-05-27 p360</t>
        </is>
      </c>
    </row>
    <row r="159">
      <c r="A159" s="38" t="inlineStr">
        <is>
          <t>Corporate: Other</t>
        </is>
      </c>
      <c r="B159" s="3" t="n"/>
      <c r="C159" s="3" t="n"/>
      <c r="D159" s="3" t="n"/>
      <c r="E159" s="30" t="n">
        <v>1</v>
      </c>
      <c r="F159" s="3" t="n"/>
      <c r="G159" s="3" t="n"/>
      <c r="H159" s="3" t="n"/>
      <c r="I159" s="3" t="n"/>
      <c r="J159" s="3" t="n"/>
      <c r="K159" s="4" t="inlineStr">
        <is>
          <t>Form10A_2026-05-27 p359</t>
        </is>
      </c>
    </row>
    <row r="160">
      <c r="A160" s="38" t="inlineStr">
        <is>
          <t>Total: Amortization of intangibles</t>
        </is>
      </c>
      <c r="B160" s="30" t="n">
        <v>295</v>
      </c>
      <c r="C160" s="30" t="n">
        <v>296</v>
      </c>
      <c r="D160" s="30" t="n">
        <v>296</v>
      </c>
      <c r="E160" s="30" t="n">
        <v>74</v>
      </c>
      <c r="F160" s="3" t="n"/>
      <c r="G160" s="3" t="n"/>
      <c r="H160" s="30" t="n">
        <v>74</v>
      </c>
      <c r="I160" s="3" t="n"/>
      <c r="J160" s="3" t="n"/>
      <c r="K160" s="4" t="inlineStr">
        <is>
          <t>Form10A_2026-05-27 p359; Form10A_2026-05-27 p360</t>
        </is>
      </c>
    </row>
    <row r="161">
      <c r="A161" s="38" t="inlineStr">
        <is>
          <t>Total: Transaction costs</t>
        </is>
      </c>
      <c r="B161" s="3" t="n"/>
      <c r="C161" s="3" t="n"/>
      <c r="D161" s="30" t="n">
        <v>21</v>
      </c>
      <c r="E161" s="3" t="n"/>
      <c r="F161" s="3" t="n"/>
      <c r="G161" s="3" t="n"/>
      <c r="H161" s="30" t="n">
        <v>21</v>
      </c>
      <c r="I161" s="3" t="n"/>
      <c r="J161" s="3" t="n"/>
      <c r="K161" s="4" t="inlineStr">
        <is>
          <t>Form10A_2026-05-27 p359</t>
        </is>
      </c>
    </row>
    <row r="162">
      <c r="A162" s="38" t="inlineStr">
        <is>
          <t>Corporate: Acquisition integration costs</t>
        </is>
      </c>
      <c r="B162" s="30" t="n">
        <v>15</v>
      </c>
      <c r="C162" s="30" t="n">
        <v>5</v>
      </c>
      <c r="D162" s="3" t="n"/>
      <c r="E162" s="3" t="n"/>
      <c r="F162" s="3" t="n"/>
      <c r="G162" s="3" t="n"/>
      <c r="H162" s="3" t="n"/>
      <c r="I162" s="3" t="n"/>
      <c r="J162" s="3" t="n"/>
      <c r="K162" s="4" t="inlineStr">
        <is>
          <t>Form10A_2026-05-27 p360</t>
        </is>
      </c>
    </row>
    <row r="163">
      <c r="A163" s="38" t="inlineStr">
        <is>
          <t>Total: Adjusted operating profit</t>
        </is>
      </c>
      <c r="B163" s="30" t="n">
        <v>565</v>
      </c>
      <c r="C163" s="30" t="n">
        <v>617</v>
      </c>
      <c r="D163" s="30" t="n">
        <v>675</v>
      </c>
      <c r="E163" s="30" t="n">
        <v>160</v>
      </c>
      <c r="F163" s="3" t="n"/>
      <c r="G163" s="3" t="n"/>
      <c r="H163" s="30" t="n">
        <v>176</v>
      </c>
      <c r="I163" s="3" t="n"/>
      <c r="J163" s="3" t="n"/>
      <c r="K163" s="4" t="inlineStr">
        <is>
          <t>Form10A_2026-05-27 p359; Form10A_2026-05-27 p360</t>
        </is>
      </c>
    </row>
    <row r="164">
      <c r="A164" s="38" t="inlineStr">
        <is>
          <t>Corporate: Acquisition and disposition - related costs</t>
        </is>
      </c>
      <c r="B164" s="30" t="n">
        <v>1</v>
      </c>
      <c r="C164" s="30" t="n">
        <v>2</v>
      </c>
      <c r="D164" s="3" t="n"/>
      <c r="E164" s="3" t="n"/>
      <c r="F164" s="3" t="n"/>
      <c r="G164" s="3" t="n"/>
      <c r="H164" s="3" t="n"/>
      <c r="I164" s="3" t="n"/>
      <c r="J164" s="3" t="n"/>
      <c r="K164" s="4" t="inlineStr">
        <is>
          <t>Form10A_2026-05-27 p360</t>
        </is>
      </c>
    </row>
    <row r="165">
      <c r="A165" s="38" t="inlineStr">
        <is>
          <t>Total: Depreciation</t>
        </is>
      </c>
      <c r="B165" s="30" t="n">
        <v>12</v>
      </c>
      <c r="C165" s="30" t="n">
        <v>13</v>
      </c>
      <c r="D165" s="30" t="n">
        <v>14</v>
      </c>
      <c r="E165" s="30" t="n">
        <v>4</v>
      </c>
      <c r="F165" s="3" t="n"/>
      <c r="G165" s="3" t="n"/>
      <c r="H165" s="30" t="n">
        <v>4</v>
      </c>
      <c r="I165" s="3" t="n"/>
      <c r="J165" s="3" t="n"/>
      <c r="K165" s="4" t="inlineStr">
        <is>
          <t>Form10A_2026-05-27 p359; Form10A_2026-05-27 p360</t>
        </is>
      </c>
    </row>
    <row r="166">
      <c r="A166" s="38" t="inlineStr">
        <is>
          <t>Corporate: ELT transition costs</t>
        </is>
      </c>
      <c r="B166" s="3" t="n"/>
      <c r="C166" s="3" t="n"/>
      <c r="D166" s="30" t="n">
        <v>5</v>
      </c>
      <c r="E166" s="3" t="n"/>
      <c r="F166" s="3" t="n"/>
      <c r="G166" s="3" t="n"/>
      <c r="H166" s="3" t="n"/>
      <c r="I166" s="3" t="n"/>
      <c r="J166" s="3" t="n"/>
      <c r="K166" s="4" t="inlineStr">
        <is>
          <t>Form10A_2026-05-27 p359</t>
        </is>
      </c>
    </row>
    <row r="167">
      <c r="A167" s="38" t="inlineStr">
        <is>
          <t>Total: Stock - based compensation</t>
        </is>
      </c>
      <c r="B167" s="30" t="n">
        <v>20</v>
      </c>
      <c r="C167" s="30" t="n">
        <v>28</v>
      </c>
      <c r="D167" s="30" t="n">
        <v>22</v>
      </c>
      <c r="E167" s="30" t="n">
        <v>5</v>
      </c>
      <c r="F167" s="3" t="n"/>
      <c r="G167" s="3" t="n"/>
      <c r="H167" s="30" t="n">
        <v>4</v>
      </c>
      <c r="I167" s="3" t="n"/>
      <c r="J167" s="3" t="n"/>
      <c r="K167" s="4" t="inlineStr">
        <is>
          <t>Form10A_2026-05-27 p359; Form10A_2026-05-27 p360</t>
        </is>
      </c>
    </row>
    <row r="168">
      <c r="A168" s="38" t="inlineStr">
        <is>
          <t>Total: Employee severance charges</t>
        </is>
      </c>
      <c r="B168" s="30" t="n">
        <v>9</v>
      </c>
      <c r="C168" s="30" t="n">
        <v>10</v>
      </c>
      <c r="D168" s="30" t="n">
        <v>20</v>
      </c>
      <c r="E168" s="30" t="n">
        <v>1</v>
      </c>
      <c r="F168" s="3" t="n"/>
      <c r="G168" s="3" t="n"/>
      <c r="H168" s="3" t="n"/>
      <c r="I168" s="3" t="n"/>
      <c r="J168" s="3" t="n"/>
      <c r="K168" s="4" t="inlineStr">
        <is>
          <t>Form10A_2026-05-27 p359; Form10A_2026-05-27 p360</t>
        </is>
      </c>
    </row>
    <row r="169">
      <c r="A169" s="38" t="inlineStr">
        <is>
          <t>Total: Segment Adjusted EBITDA</t>
        </is>
      </c>
      <c r="B169" s="30" t="n">
        <v>598</v>
      </c>
      <c r="C169" s="30" t="n">
        <v>658</v>
      </c>
      <c r="D169" s="30" t="n">
        <v>711</v>
      </c>
      <c r="E169" s="30" t="n">
        <v>169</v>
      </c>
      <c r="F169" s="3" t="n"/>
      <c r="G169" s="3" t="n"/>
      <c r="H169" s="30" t="n">
        <v>184</v>
      </c>
      <c r="I169" s="3" t="n"/>
      <c r="J169" s="3" t="n"/>
      <c r="K169" s="4" t="inlineStr">
        <is>
          <t>Form10A_2026-05-27 p359; Form10A_2026-05-27 p360</t>
        </is>
      </c>
    </row>
    <row r="170">
      <c r="A170" s="38" t="inlineStr">
        <is>
          <t>Total: Other</t>
        </is>
      </c>
      <c r="B170" s="3" t="n"/>
      <c r="C170" s="3" t="n"/>
      <c r="D170" s="3" t="n"/>
      <c r="E170" s="30" t="n">
        <v>1</v>
      </c>
      <c r="F170" s="3" t="n"/>
      <c r="G170" s="3" t="n"/>
      <c r="H170" s="3" t="n"/>
      <c r="I170" s="3" t="n"/>
      <c r="J170" s="3" t="n"/>
      <c r="K170" s="4" t="inlineStr">
        <is>
          <t>Form10A_2026-05-27 p359</t>
        </is>
      </c>
    </row>
    <row r="171">
      <c r="A171" s="38" t="inlineStr">
        <is>
          <t>Total: % Operating profit margin</t>
        </is>
      </c>
      <c r="B171" s="41" t="n">
        <v>16</v>
      </c>
      <c r="C171" s="41" t="n">
        <v>19</v>
      </c>
      <c r="D171" s="41" t="n">
        <v>19</v>
      </c>
      <c r="E171" s="41" t="n">
        <v>20</v>
      </c>
      <c r="F171" s="3" t="n"/>
      <c r="G171" s="3" t="n"/>
      <c r="H171" s="41" t="n">
        <v>18</v>
      </c>
      <c r="I171" s="3" t="n"/>
      <c r="J171" s="3" t="n"/>
      <c r="K171" s="4" t="inlineStr">
        <is>
          <t>Form10A_2026-05-27 p359; Form10A_2026-05-27 p360</t>
        </is>
      </c>
    </row>
    <row r="172">
      <c r="A172" s="38" t="inlineStr">
        <is>
          <t>Total: % Adjusted operating profit margin</t>
        </is>
      </c>
      <c r="B172" s="41" t="n">
        <v>38</v>
      </c>
      <c r="C172" s="41" t="n">
        <v>38</v>
      </c>
      <c r="D172" s="41" t="n">
        <v>39</v>
      </c>
      <c r="E172" s="41" t="n">
        <v>38</v>
      </c>
      <c r="F172" s="3" t="n"/>
      <c r="G172" s="3" t="n"/>
      <c r="H172" s="41" t="n">
        <v>39</v>
      </c>
      <c r="I172" s="3" t="n"/>
      <c r="J172" s="3" t="n"/>
      <c r="K172" s="4" t="inlineStr">
        <is>
          <t>Form10A_2026-05-27 p359; Form10A_2026-05-27 p360</t>
        </is>
      </c>
    </row>
    <row r="173">
      <c r="A173" s="38" t="inlineStr">
        <is>
          <t>Total: Acquisition integration costs</t>
        </is>
      </c>
      <c r="B173" s="30" t="n">
        <v>17</v>
      </c>
      <c r="C173" s="30" t="n">
        <v>9</v>
      </c>
      <c r="D173" s="3" t="n"/>
      <c r="E173" s="3" t="n"/>
      <c r="F173" s="3" t="n"/>
      <c r="G173" s="3" t="n"/>
      <c r="H173" s="3" t="n"/>
      <c r="I173" s="3" t="n"/>
      <c r="J173" s="3" t="n"/>
      <c r="K173" s="4" t="inlineStr">
        <is>
          <t>Form10A_2026-05-27 p360</t>
        </is>
      </c>
    </row>
    <row r="174">
      <c r="A174" s="38" t="inlineStr">
        <is>
          <t>Total: % Segment Adjusted EBITDA margin</t>
        </is>
      </c>
      <c r="B174" s="41" t="n">
        <v>40</v>
      </c>
      <c r="C174" s="41" t="n">
        <v>41</v>
      </c>
      <c r="D174" s="41" t="n">
        <v>41</v>
      </c>
      <c r="E174" s="41" t="n">
        <v>40</v>
      </c>
      <c r="F174" s="3" t="n"/>
      <c r="G174" s="3" t="n"/>
      <c r="H174" s="41" t="n">
        <v>40</v>
      </c>
      <c r="I174" s="3" t="n"/>
      <c r="J174" s="3" t="n"/>
      <c r="K174" s="4" t="inlineStr">
        <is>
          <t>Form10A_2026-05-27 p359; Form10A_2026-05-27 p360</t>
        </is>
      </c>
    </row>
    <row r="175">
      <c r="A175" s="38" t="inlineStr">
        <is>
          <t>Total: Acquisition and disposition - related costs</t>
        </is>
      </c>
      <c r="B175" s="30" t="n">
        <v>4</v>
      </c>
      <c r="C175" s="30" t="n">
        <v>4</v>
      </c>
      <c r="D175" s="3" t="n"/>
      <c r="E175" s="3" t="n"/>
      <c r="F175" s="3" t="n"/>
      <c r="G175" s="3" t="n"/>
      <c r="H175" s="3" t="n"/>
      <c r="I175" s="3" t="n"/>
      <c r="J175" s="3" t="n"/>
      <c r="K175" s="4" t="inlineStr">
        <is>
          <t>Form10A_2026-05-27 p360</t>
        </is>
      </c>
    </row>
    <row r="176">
      <c r="A176" s="38" t="inlineStr">
        <is>
          <t>Total: Legal settlement recovery</t>
        </is>
      </c>
      <c r="B176" s="3" t="n"/>
      <c r="C176" s="3" t="n"/>
      <c r="D176" s="30" t="n">
        <v>-3</v>
      </c>
      <c r="E176" s="3" t="n"/>
      <c r="F176" s="3" t="n"/>
      <c r="G176" s="3" t="n"/>
      <c r="H176" s="3" t="n"/>
      <c r="I176" s="3" t="n"/>
      <c r="J176" s="3" t="n"/>
      <c r="K176" s="4" t="inlineStr">
        <is>
          <t>Form10A_2026-05-27 p359</t>
        </is>
      </c>
    </row>
    <row r="177">
      <c r="A177" s="38" t="inlineStr">
        <is>
          <t>Total: Other (1)</t>
        </is>
      </c>
      <c r="B177" s="3" t="n"/>
      <c r="C177" s="3" t="n"/>
      <c r="D177" s="30" t="n">
        <v>2</v>
      </c>
      <c r="E177" s="3" t="n"/>
      <c r="F177" s="3" t="n"/>
      <c r="G177" s="3" t="n"/>
      <c r="H177" s="3" t="n"/>
      <c r="I177" s="3" t="n"/>
      <c r="J177" s="3" t="n"/>
      <c r="K177" s="4" t="inlineStr">
        <is>
          <t>Form10A_2026-05-27 p359</t>
        </is>
      </c>
    </row>
    <row r="178">
      <c r="A178" s="14" t="inlineStr">
        <is>
          <t>Form10A_2026-05-27 · MD&amp;A reconciliation of cash provided by operating activities to Free cash flow</t>
        </is>
      </c>
      <c r="B178" s="15" t="n"/>
      <c r="C178" s="15" t="n"/>
      <c r="D178" s="15" t="n"/>
      <c r="E178" s="15" t="n"/>
      <c r="F178" s="15" t="n"/>
      <c r="G178" s="15" t="n"/>
      <c r="H178" s="15" t="n"/>
      <c r="I178" s="15" t="n"/>
      <c r="J178" s="15" t="n"/>
      <c r="K178" s="15" t="n"/>
    </row>
    <row r="179">
      <c r="A179" s="38" t="inlineStr">
        <is>
          <t>Cash provided by operating activities</t>
        </is>
      </c>
      <c r="B179" s="30" t="n">
        <v>393</v>
      </c>
      <c r="C179" s="30" t="n">
        <v>427</v>
      </c>
      <c r="D179" s="30" t="n">
        <v>485</v>
      </c>
      <c r="E179" s="30" t="n">
        <v>67</v>
      </c>
      <c r="F179" s="3" t="n"/>
      <c r="G179" s="3" t="n"/>
      <c r="H179" s="30" t="n">
        <v>54</v>
      </c>
      <c r="I179" s="3" t="n"/>
      <c r="J179" s="3" t="n"/>
      <c r="K179" s="4" t="inlineStr">
        <is>
          <t>Form10A_2026-05-27 p361</t>
        </is>
      </c>
    </row>
    <row r="180">
      <c r="A180" s="38" t="inlineStr">
        <is>
          <t>Capital expenditures</t>
        </is>
      </c>
      <c r="B180" s="30" t="n">
        <v>-18</v>
      </c>
      <c r="C180" s="30" t="n">
        <v>-15</v>
      </c>
      <c r="D180" s="30" t="n">
        <v>-24</v>
      </c>
      <c r="E180" s="30" t="n">
        <v>-5</v>
      </c>
      <c r="F180" s="3" t="n"/>
      <c r="G180" s="3" t="n"/>
      <c r="H180" s="30" t="n">
        <v>-6</v>
      </c>
      <c r="I180" s="3" t="n"/>
      <c r="J180" s="3" t="n"/>
      <c r="K180" s="4" t="inlineStr">
        <is>
          <t>Form10A_2026-05-27 p361</t>
        </is>
      </c>
    </row>
    <row r="181">
      <c r="A181" s="39" t="inlineStr">
        <is>
          <t>Free cash flow</t>
        </is>
      </c>
      <c r="B181" s="18" t="n">
        <v>375</v>
      </c>
      <c r="C181" s="18" t="n">
        <v>412</v>
      </c>
      <c r="D181" s="18" t="n">
        <v>461</v>
      </c>
      <c r="E181" s="18" t="n">
        <v>62</v>
      </c>
      <c r="F181" s="3" t="n"/>
      <c r="G181" s="3" t="n"/>
      <c r="H181" s="18" t="n">
        <v>48</v>
      </c>
      <c r="I181" s="3" t="n"/>
      <c r="J181" s="3" t="n"/>
      <c r="K181" s="4" t="inlineStr">
        <is>
          <t>Form10A_2026-05-27 p361</t>
        </is>
      </c>
    </row>
    <row r="182">
      <c r="A182" s="14" t="inlineStr">
        <is>
          <t>Form10A_2026-05-27 · Definitions (Form 10/A MD&amp;A)</t>
        </is>
      </c>
      <c r="B182" s="15" t="n"/>
      <c r="C182" s="15" t="n"/>
      <c r="D182" s="15" t="n"/>
      <c r="E182" s="15" t="n"/>
      <c r="F182" s="15" t="n"/>
      <c r="G182" s="15" t="n"/>
      <c r="H182" s="15" t="n"/>
      <c r="I182" s="15" t="n"/>
      <c r="J182" s="15" t="n"/>
      <c r="K182" s="15" t="n"/>
    </row>
    <row r="183">
      <c r="A183" s="38" t="inlineStr">
        <is>
          <t>Definition: Adjusted EBITDA</t>
        </is>
      </c>
      <c r="B183" s="3" t="n"/>
      <c r="C183" s="3" t="n"/>
      <c r="D183" s="42" t="inlineStr">
        <is>
          <t>U.S. GAAP net income adjusted to exclude (1) interest, (2) provisions for taxes on income, (3) depreciation and amortization, (4) stock-based compensation, (5) transaction costs related to the stand-up of the Spin Business in connection with the Separation, (6) employee severance charges, (7) acquisition integration costs, (8) acquisition and disposition-related costs, (9) legal settlement recovery and (10) other non-operational and/or non-recurring expenses.</t>
        </is>
      </c>
      <c r="E183" s="3" t="n"/>
      <c r="F183" s="3" t="n"/>
      <c r="G183" s="3" t="n"/>
      <c r="H183" s="3" t="n"/>
      <c r="I183" s="3" t="n"/>
      <c r="J183" s="3" t="n"/>
      <c r="K183" s="4" t="inlineStr">
        <is>
          <t>Form10A_2026-05-27 p357</t>
        </is>
      </c>
    </row>
    <row r="184">
      <c r="A184" s="38" t="inlineStr">
        <is>
          <t>Definition: Adjusted operating profit</t>
        </is>
      </c>
      <c r="B184" s="3" t="n"/>
      <c r="C184" s="3" t="n"/>
      <c r="D184" s="42" t="inlineStr">
        <is>
          <t>U.S. GAAP operating profit adjusted to exclude (1) amortization of intangibles, (2) employee severance charges, (3) transaction costs related to the stand-up of the Spin Business in connection with the Separation, (4) acquisition integration costs, (5) ELT transition costs, (6) acquisition and disposition-related costs, (7) legal settlement recovery, and (8) other non-operational and/or non-recurring expenses.</t>
        </is>
      </c>
      <c r="E184" s="3" t="n"/>
      <c r="F184" s="3" t="n"/>
      <c r="G184" s="3" t="n"/>
      <c r="H184" s="3" t="n"/>
      <c r="I184" s="3" t="n"/>
      <c r="J184" s="3" t="n"/>
      <c r="K184" s="4" t="inlineStr">
        <is>
          <t>Form10A_2026-05-27 p358</t>
        </is>
      </c>
    </row>
    <row r="185">
      <c r="A185" s="38" t="inlineStr">
        <is>
          <t>Definition: Free cash flow</t>
        </is>
      </c>
      <c r="B185" s="3" t="n"/>
      <c r="C185" s="3" t="n"/>
      <c r="D185" s="42" t="inlineStr">
        <is>
          <t>Cash provided by operating activities less capital expenditures. Capital expenditures include purchases of property and equipment and additions to technology projects.</t>
        </is>
      </c>
      <c r="E185" s="3" t="n"/>
      <c r="F185" s="3" t="n"/>
      <c r="G185" s="3" t="n"/>
      <c r="H185" s="3" t="n"/>
      <c r="I185" s="3" t="n"/>
      <c r="J185" s="3" t="n"/>
      <c r="K185" s="4" t="inlineStr">
        <is>
          <t>Form10A_2026-05-27 p360</t>
        </is>
      </c>
    </row>
    <row r="186">
      <c r="A186" s="38" t="inlineStr">
        <is>
          <t>Definition: Adjusted EBITDA margin</t>
        </is>
      </c>
      <c r="B186" s="3" t="n"/>
      <c r="C186" s="3" t="n"/>
      <c r="D186" s="42" t="inlineStr">
        <is>
          <t>Adjusted EBITDA divided by U.S. GAAP revenue.</t>
        </is>
      </c>
      <c r="E186" s="3" t="n"/>
      <c r="F186" s="3" t="n"/>
      <c r="G186" s="3" t="n"/>
      <c r="H186" s="3" t="n"/>
      <c r="I186" s="3" t="n"/>
      <c r="J186" s="3" t="n"/>
      <c r="K186" s="4" t="inlineStr">
        <is>
          <t>Form10A_2026-05-27 p357</t>
        </is>
      </c>
    </row>
    <row r="187">
      <c r="A187" s="38" t="inlineStr">
        <is>
          <t>Definition: Segment Adjusted EBITDA (abridged)</t>
        </is>
      </c>
      <c r="B187" s="3" t="n"/>
      <c r="C187" s="3" t="n"/>
      <c r="D187" s="42" t="inlineStr">
        <is>
          <t>U.S. GAAP operating profit adjusted to exclude items (1)-(8) of Adjusted operating profit plus (9) depreciation, and (10) stock-based compensation; operating profit is the most directly comparable GAAP measure as net income is not presented at the segment level.</t>
        </is>
      </c>
      <c r="E187" s="3" t="n"/>
      <c r="F187" s="3" t="n"/>
      <c r="G187" s="3" t="n"/>
      <c r="H187" s="3" t="n"/>
      <c r="I187" s="3" t="n"/>
      <c r="J187" s="3" t="n"/>
      <c r="K187" s="4" t="inlineStr">
        <is>
          <t>Form10A_2026-05-27 p358</t>
        </is>
      </c>
    </row>
    <row r="188">
      <c r="A188" s="38" t="inlineStr">
        <is>
          <t>Definition: Adjusted operating profit margin / Segment Adjusted EBITDA margin</t>
        </is>
      </c>
      <c r="B188" s="3" t="n"/>
      <c r="C188" s="3" t="n"/>
      <c r="D188" s="42" t="inlineStr">
        <is>
          <t>Adjusted operating profit (or Segment Adjusted EBITDA) divided by U.S. GAAP revenue.</t>
        </is>
      </c>
      <c r="E188" s="3" t="n"/>
      <c r="F188" s="3" t="n"/>
      <c r="G188" s="3" t="n"/>
      <c r="H188" s="3" t="n"/>
      <c r="I188" s="3" t="n"/>
      <c r="J188" s="3" t="n"/>
      <c r="K188" s="4" t="inlineStr">
        <is>
          <t>Form10A_2026-05-27 p358</t>
        </is>
      </c>
    </row>
    <row r="189">
      <c r="A189" s="14" t="inlineStr">
        <is>
          <t>10Q_Q2-2026 · Definitions (10-Q MD&amp;A)</t>
        </is>
      </c>
      <c r="B189" s="15" t="n"/>
      <c r="C189" s="15" t="n"/>
      <c r="D189" s="15" t="n"/>
      <c r="E189" s="15" t="n"/>
      <c r="F189" s="15" t="n"/>
      <c r="G189" s="15" t="n"/>
      <c r="H189" s="15" t="n"/>
      <c r="I189" s="15" t="n"/>
      <c r="J189" s="15" t="n"/>
      <c r="K189" s="15" t="n"/>
    </row>
    <row r="190">
      <c r="A190" s="38" t="inlineStr">
        <is>
          <t>Definition: Adjusted EBITDA margin</t>
        </is>
      </c>
      <c r="B190" s="3" t="n"/>
      <c r="C190" s="3" t="n"/>
      <c r="D190" s="3" t="n"/>
      <c r="E190" s="3" t="n"/>
      <c r="F190" s="3" t="n"/>
      <c r="G190" s="3" t="n"/>
      <c r="H190" s="3" t="n"/>
      <c r="I190" s="42" t="inlineStr">
        <is>
          <t>Adjusted EBITDA divided by GAAP revenue.</t>
        </is>
      </c>
      <c r="J190" s="3" t="n"/>
      <c r="K190" s="4" t="inlineStr">
        <is>
          <t>10Q_Q2-2026 p24</t>
        </is>
      </c>
    </row>
    <row r="191">
      <c r="A191" s="38" t="inlineStr">
        <is>
          <t>Definition: Free cash flow</t>
        </is>
      </c>
      <c r="B191" s="3" t="n"/>
      <c r="C191" s="3" t="n"/>
      <c r="D191" s="3" t="n"/>
      <c r="E191" s="3" t="n"/>
      <c r="F191" s="3" t="n"/>
      <c r="G191" s="3" t="n"/>
      <c r="H191" s="3" t="n"/>
      <c r="I191" s="42" t="inlineStr">
        <is>
          <t>Cash provided by operating activities less capital expenditures. Capital expenditures include purchases of property and equipment and additions to technology projects.</t>
        </is>
      </c>
      <c r="J191" s="3" t="n"/>
      <c r="K191" s="4" t="inlineStr">
        <is>
          <t>10Q_Q2-2026 p25</t>
        </is>
      </c>
    </row>
    <row r="192">
      <c r="A192" s="14" t="inlineStr">
        <is>
          <t>8K_2026-08-07 · Exhibit 5 Definitions</t>
        </is>
      </c>
      <c r="B192" s="15" t="n"/>
      <c r="C192" s="15" t="n"/>
      <c r="D192" s="15" t="n"/>
      <c r="E192" s="15" t="n"/>
      <c r="F192" s="15" t="n"/>
      <c r="G192" s="15" t="n"/>
      <c r="H192" s="15" t="n"/>
      <c r="I192" s="15" t="n"/>
      <c r="J192" s="15" t="n"/>
      <c r="K192" s="15" t="n"/>
    </row>
    <row r="193">
      <c r="A193" s="38" t="inlineStr">
        <is>
          <t>Definition: Adjusted EBITDA (release)</t>
        </is>
      </c>
      <c r="B193" s="3" t="n"/>
      <c r="C193" s="3" t="n"/>
      <c r="D193" s="3" t="n"/>
      <c r="E193" s="3" t="n"/>
      <c r="F193" s="3" t="n"/>
      <c r="G193" s="3" t="n"/>
      <c r="H193" s="3" t="n"/>
      <c r="I193" s="42" t="inlineStr">
        <is>
          <t>GAAP net income adjusted to exclude (1) interest expense, net, (2) provisions for income taxes, (3) depreciation and amortization, (4) stock-based compensation, (5) transaction costs related to the stand-up of the Spin Business in connection with the Separation, and (6) employee severance charges and other costs that are not representative of the underlying economics of the periods presented.</t>
        </is>
      </c>
      <c r="J193" s="3" t="n"/>
      <c r="K193" s="4" t="inlineStr">
        <is>
          <t>8K_2026-08-07 p11</t>
        </is>
      </c>
    </row>
    <row r="194">
      <c r="A194" s="38" t="inlineStr">
        <is>
          <t>Definition: Free cash flow (release)</t>
        </is>
      </c>
      <c r="B194" s="3" t="n"/>
      <c r="C194" s="3" t="n"/>
      <c r="D194" s="3" t="n"/>
      <c r="E194" s="3" t="n"/>
      <c r="F194" s="3" t="n"/>
      <c r="G194" s="3" t="n"/>
      <c r="H194" s="3" t="n"/>
      <c r="I194" s="42" t="inlineStr">
        <is>
          <t>Cash provided by operating activities less capital expenditures.</t>
        </is>
      </c>
      <c r="J194" s="3" t="n"/>
      <c r="K194" s="4" t="inlineStr">
        <is>
          <t>8K_2026-08-07 p11</t>
        </is>
      </c>
    </row>
    <row r="195">
      <c r="A195" s="14" t="inlineStr">
        <is>
          <t>Slides_Q2-2026 · Non-GAAP financial measure definitions</t>
        </is>
      </c>
      <c r="B195" s="15" t="n"/>
      <c r="C195" s="15" t="n"/>
      <c r="D195" s="15" t="n"/>
      <c r="E195" s="15" t="n"/>
      <c r="F195" s="15" t="n"/>
      <c r="G195" s="15" t="n"/>
      <c r="H195" s="15" t="n"/>
      <c r="I195" s="15" t="n"/>
      <c r="J195" s="15" t="n"/>
      <c r="K195" s="15" t="n"/>
    </row>
    <row r="196">
      <c r="A196" s="38" t="inlineStr">
        <is>
          <t>Definition: Adjusted EBITDA (slides)</t>
        </is>
      </c>
      <c r="B196" s="3" t="n"/>
      <c r="C196" s="3" t="n"/>
      <c r="D196" s="3" t="n"/>
      <c r="E196" s="3" t="n"/>
      <c r="F196" s="3" t="n"/>
      <c r="G196" s="3" t="n"/>
      <c r="H196" s="3" t="n"/>
      <c r="I196" s="42" t="inlineStr">
        <is>
          <t>U.S. GAAP net income adjusted to exclude (1) interest, (2) provisions for taxes on income, (3) depreciation and amortization, (4) stock-based compensation, (5) transaction costs associated with the stand-up of the Spin Business in connection with the Separation, (6) employee severance charges, (7) acquisition integration costs, (8) acquisition and disposition-related costs, (9) legal settlement recovery and (10) other non-operational and/or non-recurring expenses.</t>
        </is>
      </c>
      <c r="J196" s="3" t="n"/>
      <c r="K196" s="4" t="inlineStr">
        <is>
          <t>Slides_Q2-2026 p12</t>
        </is>
      </c>
    </row>
    <row r="197">
      <c r="A197" s="38" t="inlineStr">
        <is>
          <t>Definition: Free Cash Flow (slides)</t>
        </is>
      </c>
      <c r="B197" s="3" t="n"/>
      <c r="C197" s="3" t="n"/>
      <c r="D197" s="3" t="n"/>
      <c r="E197" s="3" t="n"/>
      <c r="F197" s="3" t="n"/>
      <c r="G197" s="3" t="n"/>
      <c r="H197" s="3" t="n"/>
      <c r="I197" s="42" t="inlineStr">
        <is>
          <t>Net cash generated from operating activities less capital expenditures.</t>
        </is>
      </c>
      <c r="J197" s="3" t="n"/>
      <c r="K197" s="4" t="inlineStr">
        <is>
          <t>Slides_Q2-2026 p12</t>
        </is>
      </c>
    </row>
    <row r="198">
      <c r="A198" s="14" t="inlineStr">
        <is>
          <t>Form10_2026-05-07 · MD&amp;A reconciliation of net income to Adjusted EBITDA (clean rows only)</t>
        </is>
      </c>
      <c r="B198" s="15" t="n"/>
      <c r="C198" s="15" t="n"/>
      <c r="D198" s="15" t="n"/>
      <c r="E198" s="15" t="n"/>
      <c r="F198" s="15" t="n"/>
      <c r="G198" s="15" t="n"/>
      <c r="H198" s="15" t="n"/>
      <c r="I198" s="15" t="n"/>
      <c r="J198" s="15" t="n"/>
      <c r="K198" s="15" t="n"/>
    </row>
    <row r="199">
      <c r="A199" s="38" t="inlineStr">
        <is>
          <t>Net income</t>
        </is>
      </c>
      <c r="B199" s="30" t="n">
        <v>163</v>
      </c>
      <c r="C199" s="30" t="n">
        <v>208</v>
      </c>
      <c r="D199" s="30" t="n">
        <v>220</v>
      </c>
      <c r="E199" s="30" t="n">
        <v>58</v>
      </c>
      <c r="F199" s="3" t="n"/>
      <c r="G199" s="3" t="n"/>
      <c r="H199" s="30" t="n">
        <v>55</v>
      </c>
      <c r="I199" s="3" t="n"/>
      <c r="J199" s="3" t="n"/>
      <c r="K199" s="4" t="inlineStr">
        <is>
          <t>Form10_2026-05-07 p436</t>
        </is>
      </c>
    </row>
    <row r="200">
      <c r="A200" s="38" t="inlineStr">
        <is>
          <t>Adjusted EBITDA</t>
        </is>
      </c>
      <c r="B200" s="30" t="n">
        <v>598</v>
      </c>
      <c r="C200" s="30" t="n">
        <v>658</v>
      </c>
      <c r="D200" s="30" t="n">
        <v>711</v>
      </c>
      <c r="E200" s="30" t="n">
        <v>169</v>
      </c>
      <c r="F200" s="3" t="n"/>
      <c r="G200" s="3" t="n"/>
      <c r="H200" s="30" t="n">
        <v>184</v>
      </c>
      <c r="I200" s="3" t="n"/>
      <c r="J200" s="3" t="n"/>
      <c r="K200" s="4" t="inlineStr">
        <is>
          <t>Form10_2026-05-07 p437</t>
        </is>
      </c>
    </row>
    <row r="201">
      <c r="A201" s="38" t="inlineStr">
        <is>
          <t>Interest, net</t>
        </is>
      </c>
      <c r="B201" s="30" t="n">
        <v>17</v>
      </c>
      <c r="C201" s="30" t="n">
        <v>15</v>
      </c>
      <c r="D201" s="30" t="n">
        <v>13</v>
      </c>
      <c r="E201" s="30" t="n">
        <v>3</v>
      </c>
      <c r="F201" s="3" t="n"/>
      <c r="G201" s="3" t="n"/>
      <c r="H201" s="30" t="n">
        <v>3</v>
      </c>
      <c r="I201" s="3" t="n"/>
      <c r="J201" s="3" t="n"/>
      <c r="K201" s="4" t="inlineStr">
        <is>
          <t>Form10_2026-05-07 p436</t>
        </is>
      </c>
    </row>
    <row r="202">
      <c r="A202" s="38" t="inlineStr">
        <is>
          <t>% Adjusted EBITDA margin</t>
        </is>
      </c>
      <c r="B202" s="41" t="n">
        <v>40</v>
      </c>
      <c r="C202" s="41" t="n">
        <v>41</v>
      </c>
      <c r="D202" s="41" t="n">
        <v>41</v>
      </c>
      <c r="E202" s="41" t="n">
        <v>40</v>
      </c>
      <c r="F202" s="3" t="n"/>
      <c r="G202" s="3" t="n"/>
      <c r="H202" s="41" t="n">
        <v>40</v>
      </c>
      <c r="I202" s="3" t="n"/>
      <c r="J202" s="3" t="n"/>
      <c r="K202" s="4" t="inlineStr">
        <is>
          <t>Form10_2026-05-07 p437</t>
        </is>
      </c>
    </row>
    <row r="203">
      <c r="A203" s="38" t="inlineStr">
        <is>
          <t>Provision for taxes on income</t>
        </is>
      </c>
      <c r="B203" s="30" t="n">
        <v>61</v>
      </c>
      <c r="C203" s="30" t="n">
        <v>76</v>
      </c>
      <c r="D203" s="30" t="n">
        <v>106</v>
      </c>
      <c r="E203" s="30" t="n">
        <v>23</v>
      </c>
      <c r="F203" s="3" t="n"/>
      <c r="G203" s="3" t="n"/>
      <c r="H203" s="30" t="n">
        <v>23</v>
      </c>
      <c r="I203" s="3" t="n"/>
      <c r="J203" s="3" t="n"/>
      <c r="K203" s="4" t="inlineStr">
        <is>
          <t>Form10_2026-05-07 p436</t>
        </is>
      </c>
    </row>
    <row r="204">
      <c r="A204" s="38" t="inlineStr">
        <is>
          <t>Depreciation and amortization</t>
        </is>
      </c>
      <c r="B204" s="30" t="n">
        <v>307</v>
      </c>
      <c r="C204" s="30" t="n">
        <v>309</v>
      </c>
      <c r="D204" s="30" t="n">
        <v>310</v>
      </c>
      <c r="E204" s="30" t="n">
        <v>78</v>
      </c>
      <c r="F204" s="3" t="n"/>
      <c r="G204" s="3" t="n"/>
      <c r="H204" s="30" t="n">
        <v>78</v>
      </c>
      <c r="I204" s="3" t="n"/>
      <c r="J204" s="3" t="n"/>
      <c r="K204" s="4" t="inlineStr">
        <is>
          <t>Form10_2026-05-07 p436</t>
        </is>
      </c>
    </row>
    <row r="205">
      <c r="A205" s="14" t="inlineStr">
        <is>
          <t>Form10_2026-05-07 · MD&amp;A Adjusted operating profit and Segment Adjusted EBITDA reconciliation by segment</t>
        </is>
      </c>
      <c r="B205" s="15" t="n"/>
      <c r="C205" s="15" t="n"/>
      <c r="D205" s="15" t="n"/>
      <c r="E205" s="15" t="n"/>
      <c r="F205" s="15" t="n"/>
      <c r="G205" s="15" t="n"/>
      <c r="H205" s="15" t="n"/>
      <c r="I205" s="15" t="n"/>
      <c r="J205" s="15" t="n"/>
      <c r="K205" s="15" t="n"/>
    </row>
    <row r="206">
      <c r="A206" s="38" t="inlineStr">
        <is>
          <t>CARFAX: Segment Adjusted EBITDA</t>
        </is>
      </c>
      <c r="B206" s="30" t="n">
        <v>422</v>
      </c>
      <c r="C206" s="30" t="n">
        <v>476</v>
      </c>
      <c r="D206" s="30" t="n">
        <v>536</v>
      </c>
      <c r="E206" s="3" t="n"/>
      <c r="F206" s="3" t="n"/>
      <c r="G206" s="3" t="n"/>
      <c r="H206" s="30" t="n">
        <v>140</v>
      </c>
      <c r="I206" s="3" t="n"/>
      <c r="J206" s="3" t="n"/>
      <c r="K206" s="4" t="inlineStr">
        <is>
          <t>Form10_2026-05-07 p438; Form10_2026-05-07 p439</t>
        </is>
      </c>
    </row>
    <row r="207">
      <c r="A207" s="38" t="inlineStr">
        <is>
          <t>B2B: Segment Adjusted EBITDA</t>
        </is>
      </c>
      <c r="B207" s="30" t="n">
        <v>191</v>
      </c>
      <c r="C207" s="30" t="n">
        <v>203</v>
      </c>
      <c r="D207" s="30" t="n">
        <v>197</v>
      </c>
      <c r="E207" s="3" t="n"/>
      <c r="F207" s="3" t="n"/>
      <c r="G207" s="3" t="n"/>
      <c r="H207" s="30" t="n">
        <v>49</v>
      </c>
      <c r="I207" s="3" t="n"/>
      <c r="J207" s="3" t="n"/>
      <c r="K207" s="4" t="inlineStr">
        <is>
          <t>Form10_2026-05-07 p438; Form10_2026-05-07 p439</t>
        </is>
      </c>
    </row>
    <row r="208">
      <c r="A208" s="38" t="inlineStr">
        <is>
          <t>Corporate: Segment Adjusted EBITDA</t>
        </is>
      </c>
      <c r="B208" s="30" t="n">
        <v>-16</v>
      </c>
      <c r="C208" s="30" t="n">
        <v>-20</v>
      </c>
      <c r="D208" s="30" t="n">
        <v>-22</v>
      </c>
      <c r="E208" s="3" t="n"/>
      <c r="F208" s="3" t="n"/>
      <c r="G208" s="3" t="n"/>
      <c r="H208" s="30" t="n">
        <v>-5</v>
      </c>
      <c r="I208" s="3" t="n"/>
      <c r="J208" s="3" t="n"/>
      <c r="K208" s="4" t="inlineStr">
        <is>
          <t>Form10_2026-05-07 p438; Form10_2026-05-07 p439</t>
        </is>
      </c>
    </row>
    <row r="209">
      <c r="A209" s="38" t="inlineStr">
        <is>
          <t>Total: Segment Adjusted EBITDA</t>
        </is>
      </c>
      <c r="B209" s="30" t="n">
        <v>598</v>
      </c>
      <c r="C209" s="30" t="n">
        <v>658</v>
      </c>
      <c r="D209" s="30" t="n">
        <v>711</v>
      </c>
      <c r="E209" s="3" t="n"/>
      <c r="F209" s="3" t="n"/>
      <c r="G209" s="3" t="n"/>
      <c r="H209" s="30" t="n">
        <v>184</v>
      </c>
      <c r="I209" s="3" t="n"/>
      <c r="J209" s="3" t="n"/>
      <c r="K209" s="4" t="inlineStr">
        <is>
          <t>Form10_2026-05-07 p438; Form10_2026-05-07 p439</t>
        </is>
      </c>
    </row>
    <row r="210">
      <c r="A210" s="38" t="inlineStr">
        <is>
          <t>B2B: Stock - based compensation</t>
        </is>
      </c>
      <c r="B210" s="3" t="n"/>
      <c r="C210" s="3" t="n"/>
      <c r="D210" s="3" t="n"/>
      <c r="E210" s="3" t="n"/>
      <c r="F210" s="3" t="n"/>
      <c r="G210" s="3" t="n"/>
      <c r="H210" s="30" t="n">
        <v>3</v>
      </c>
      <c r="I210" s="3" t="n"/>
      <c r="J210" s="3" t="n"/>
      <c r="K210" s="4" t="inlineStr">
        <is>
          <t>Form10_2026-05-07 p438</t>
        </is>
      </c>
    </row>
    <row r="211">
      <c r="A211" s="38" t="inlineStr">
        <is>
          <t>CARFAX: Adjusted operating profit</t>
        </is>
      </c>
      <c r="B211" s="3" t="n"/>
      <c r="C211" s="3" t="n"/>
      <c r="D211" s="3" t="n"/>
      <c r="E211" s="3" t="n"/>
      <c r="F211" s="3" t="n"/>
      <c r="G211" s="3" t="n"/>
      <c r="H211" s="30" t="n">
        <v>136</v>
      </c>
      <c r="I211" s="3" t="n"/>
      <c r="J211" s="3" t="n"/>
      <c r="K211" s="4" t="inlineStr">
        <is>
          <t>Form10_2026-05-07 p438</t>
        </is>
      </c>
    </row>
    <row r="212">
      <c r="A212" s="38" t="inlineStr">
        <is>
          <t>B2B: Adjusted operating profit</t>
        </is>
      </c>
      <c r="B212" s="3" t="n"/>
      <c r="C212" s="3" t="n"/>
      <c r="D212" s="3" t="n"/>
      <c r="E212" s="3" t="n"/>
      <c r="F212" s="3" t="n"/>
      <c r="G212" s="3" t="n"/>
      <c r="H212" s="30" t="n">
        <v>45</v>
      </c>
      <c r="I212" s="3" t="n"/>
      <c r="J212" s="3" t="n"/>
      <c r="K212" s="4" t="inlineStr">
        <is>
          <t>Form10_2026-05-07 p438</t>
        </is>
      </c>
    </row>
    <row r="213">
      <c r="A213" s="38" t="inlineStr">
        <is>
          <t>Total: Adjusted operating profit</t>
        </is>
      </c>
      <c r="B213" s="3" t="n"/>
      <c r="C213" s="3" t="n"/>
      <c r="D213" s="3" t="n"/>
      <c r="E213" s="3" t="n"/>
      <c r="F213" s="3" t="n"/>
      <c r="G213" s="3" t="n"/>
      <c r="H213" s="30" t="n">
        <v>176</v>
      </c>
      <c r="I213" s="3" t="n"/>
      <c r="J213" s="3" t="n"/>
      <c r="K213" s="4" t="inlineStr">
        <is>
          <t>Form10_2026-05-07 p438</t>
        </is>
      </c>
    </row>
    <row r="214">
      <c r="A214" s="14" t="inlineStr">
        <is>
          <t>Form10A_2026-05-27 · MD&amp;A Free cash flow reconciliation</t>
        </is>
      </c>
      <c r="B214" s="15" t="n"/>
      <c r="C214" s="15" t="n"/>
      <c r="D214" s="15" t="n"/>
      <c r="E214" s="15" t="n"/>
      <c r="F214" s="15" t="n"/>
      <c r="G214" s="15" t="n"/>
      <c r="H214" s="15" t="n"/>
      <c r="I214" s="15" t="n"/>
      <c r="J214" s="15" t="n"/>
      <c r="K214" s="15" t="n"/>
    </row>
    <row r="215">
      <c r="A215" s="39" t="inlineStr">
        <is>
          <t>Free cash flow</t>
        </is>
      </c>
      <c r="B215" s="18" t="n">
        <v>375</v>
      </c>
      <c r="C215" s="18" t="n">
        <v>412</v>
      </c>
      <c r="D215" s="18" t="n">
        <v>461</v>
      </c>
      <c r="E215" s="18" t="n">
        <v>62</v>
      </c>
      <c r="F215" s="3" t="n"/>
      <c r="G215" s="3" t="n"/>
      <c r="H215" s="18" t="n">
        <v>48</v>
      </c>
      <c r="I215" s="3" t="n"/>
      <c r="J215" s="3" t="n"/>
      <c r="K215" s="4" t="inlineStr">
        <is>
          <t>Form10A_2026-05-27 p361</t>
        </is>
      </c>
    </row>
    <row r="216">
      <c r="A216" s="14" t="inlineStr">
        <is>
          <t>Form10A_2026-05-27 · SUMMARY Combined Financial and Other Data - Non-GAAP</t>
        </is>
      </c>
      <c r="B216" s="15" t="n"/>
      <c r="C216" s="15" t="n"/>
      <c r="D216" s="15" t="n"/>
      <c r="E216" s="15" t="n"/>
      <c r="F216" s="15" t="n"/>
      <c r="G216" s="15" t="n"/>
      <c r="H216" s="15" t="n"/>
      <c r="I216" s="15" t="n"/>
      <c r="J216" s="15" t="n"/>
      <c r="K216" s="15" t="n"/>
    </row>
    <row r="217">
      <c r="A217" s="39" t="inlineStr">
        <is>
          <t>Adjusted EBITDA</t>
        </is>
      </c>
      <c r="B217" s="18" t="n">
        <v>598</v>
      </c>
      <c r="C217" s="18" t="n">
        <v>658</v>
      </c>
      <c r="D217" s="18" t="n">
        <v>711</v>
      </c>
      <c r="E217" s="18" t="n">
        <v>169</v>
      </c>
      <c r="F217" s="3" t="n"/>
      <c r="G217" s="3" t="n"/>
      <c r="H217" s="18" t="n">
        <v>184</v>
      </c>
      <c r="I217" s="3" t="n"/>
      <c r="J217" s="3" t="n"/>
      <c r="K217" s="4" t="inlineStr">
        <is>
          <t>Form10A_2026-05-27 p286</t>
        </is>
      </c>
    </row>
    <row r="218">
      <c r="A218" s="39" t="inlineStr">
        <is>
          <t>Adjusted operating profit</t>
        </is>
      </c>
      <c r="B218" s="18" t="n">
        <v>565</v>
      </c>
      <c r="C218" s="18" t="n">
        <v>617</v>
      </c>
      <c r="D218" s="18" t="n">
        <v>675</v>
      </c>
      <c r="E218" s="18" t="n">
        <v>160</v>
      </c>
      <c r="F218" s="3" t="n"/>
      <c r="G218" s="3" t="n"/>
      <c r="H218" s="18" t="n">
        <v>176</v>
      </c>
      <c r="I218" s="3" t="n"/>
      <c r="J218" s="3" t="n"/>
      <c r="K218" s="4" t="inlineStr">
        <is>
          <t>Form10A_2026-05-27 p286</t>
        </is>
      </c>
    </row>
    <row r="219">
      <c r="A219" s="39" t="inlineStr">
        <is>
          <t>Free cash flow</t>
        </is>
      </c>
      <c r="B219" s="18" t="n">
        <v>375</v>
      </c>
      <c r="C219" s="18" t="n">
        <v>412</v>
      </c>
      <c r="D219" s="18" t="n">
        <v>461</v>
      </c>
      <c r="E219" s="18" t="n">
        <v>62</v>
      </c>
      <c r="F219" s="3" t="n"/>
      <c r="G219" s="3" t="n"/>
      <c r="H219" s="18" t="n">
        <v>48</v>
      </c>
      <c r="I219" s="3" t="n"/>
      <c r="J219" s="3" t="n"/>
      <c r="K219" s="4" t="inlineStr">
        <is>
          <t>Form10A_2026-05-27 p286</t>
        </is>
      </c>
    </row>
    <row r="220">
      <c r="A220" s="14" t="inlineStr">
        <is>
          <t>8K_Q2-2026_release · Exhibit 5 Computation of Free Cash Flow</t>
        </is>
      </c>
      <c r="B220" s="15" t="n"/>
      <c r="C220" s="15" t="n"/>
      <c r="D220" s="15" t="n"/>
      <c r="E220" s="15" t="n"/>
      <c r="F220" s="15" t="n"/>
      <c r="G220" s="15" t="n"/>
      <c r="H220" s="15" t="n"/>
      <c r="I220" s="15" t="n"/>
      <c r="J220" s="15" t="n"/>
      <c r="K220" s="15" t="n"/>
    </row>
    <row r="221">
      <c r="A221" s="39" t="inlineStr">
        <is>
          <t>Cash provided by operating activities</t>
        </is>
      </c>
      <c r="B221" s="3" t="n"/>
      <c r="C221" s="3" t="n"/>
      <c r="D221" s="3" t="n"/>
      <c r="E221" s="3" t="n"/>
      <c r="F221" s="18" t="n">
        <v>166</v>
      </c>
      <c r="G221" s="18" t="n">
        <v>233</v>
      </c>
      <c r="H221" s="3" t="n"/>
      <c r="I221" s="18" t="n">
        <v>135</v>
      </c>
      <c r="J221" s="18" t="n">
        <v>189</v>
      </c>
      <c r="K221" s="4" t="inlineStr">
        <is>
          <t>8K_Q2-2026_release p10</t>
        </is>
      </c>
    </row>
    <row r="222">
      <c r="A222" s="38" t="inlineStr">
        <is>
          <t>Capital expenditures</t>
        </is>
      </c>
      <c r="B222" s="3" t="n"/>
      <c r="C222" s="3" t="n"/>
      <c r="D222" s="3" t="n"/>
      <c r="E222" s="3" t="n"/>
      <c r="F222" s="30" t="n">
        <v>-3</v>
      </c>
      <c r="G222" s="30" t="n">
        <v>-8</v>
      </c>
      <c r="H222" s="3" t="n"/>
      <c r="I222" s="30" t="n">
        <v>-6</v>
      </c>
      <c r="J222" s="30" t="n">
        <v>-12</v>
      </c>
      <c r="K222" s="4" t="inlineStr">
        <is>
          <t>8K_Q2-2026_release p10</t>
        </is>
      </c>
    </row>
    <row r="223">
      <c r="A223" s="39" t="inlineStr">
        <is>
          <t>Free cash flow</t>
        </is>
      </c>
      <c r="B223" s="3" t="n"/>
      <c r="C223" s="3" t="n"/>
      <c r="D223" s="3" t="n"/>
      <c r="E223" s="3" t="n"/>
      <c r="F223" s="18" t="n">
        <v>163</v>
      </c>
      <c r="G223" s="18" t="n">
        <v>225</v>
      </c>
      <c r="H223" s="3" t="n"/>
      <c r="I223" s="18" t="n">
        <v>129</v>
      </c>
      <c r="J223" s="18" t="n">
        <v>177</v>
      </c>
      <c r="K223" s="4" t="inlineStr">
        <is>
          <t>8K_Q2-2026_release p10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9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45" customWidth="1" min="10" max="10"/>
    <col hidden="1" width="13" customWidth="1" min="26" max="26"/>
  </cols>
  <sheetData>
    <row r="1" ht="20" customHeight="1">
      <c r="A1" s="1" t="inlineStr">
        <is>
          <t>Operating KPIs &amp; guidance — as printed</t>
        </is>
      </c>
      <c r="B1" s="2" t="n"/>
      <c r="C1" s="2" t="n"/>
      <c r="D1" s="2" t="n"/>
      <c r="E1" s="2" t="n"/>
      <c r="F1" s="2" t="n"/>
      <c r="G1" s="2" t="n"/>
      <c r="H1" s="2" t="n"/>
      <c r="I1" s="2" t="n"/>
      <c r="J1" s="2" t="n"/>
    </row>
    <row r="2">
      <c r="A2" s="4" t="inlineStr">
        <is>
          <t>Definitions per source; [D] filings, release and decks. Guidance dated 2026-08-07.</t>
        </is>
      </c>
      <c r="B2" s="3" t="n"/>
      <c r="C2" s="3" t="n"/>
      <c r="D2" s="3" t="n"/>
      <c r="E2" s="3" t="n"/>
      <c r="F2" s="3" t="n"/>
      <c r="G2" s="3" t="n"/>
      <c r="H2" s="3" t="n"/>
      <c r="I2" s="3" t="n"/>
      <c r="J2" s="3" t="n"/>
    </row>
    <row r="3">
      <c r="A3" s="3" t="n"/>
      <c r="B3" s="3" t="n"/>
      <c r="C3" s="3" t="n"/>
      <c r="D3" s="3" t="n"/>
      <c r="E3" s="3" t="n"/>
      <c r="F3" s="3" t="n"/>
      <c r="G3" s="3" t="n"/>
      <c r="H3" s="3" t="n"/>
      <c r="I3" s="3" t="n"/>
      <c r="J3" s="3" t="n"/>
    </row>
    <row r="4">
      <c r="A4" s="9" t="inlineStr">
        <is>
          <t>Line item (verbatim caption)</t>
        </is>
      </c>
      <c r="B4" s="29" t="inlineStr">
        <is>
          <t>FY2023</t>
        </is>
      </c>
      <c r="C4" s="29" t="inlineStr">
        <is>
          <t>FY2024</t>
        </is>
      </c>
      <c r="D4" s="29" t="inlineStr">
        <is>
          <t>FY2025</t>
        </is>
      </c>
      <c r="E4" s="29" t="inlineStr">
        <is>
          <t>Q1-2025</t>
        </is>
      </c>
      <c r="F4" s="29" t="inlineStr">
        <is>
          <t>Q1-2026</t>
        </is>
      </c>
      <c r="G4" s="29" t="inlineStr">
        <is>
          <t>Q2-2026</t>
        </is>
      </c>
      <c r="H4" s="29" t="inlineStr">
        <is>
          <t>6M-2026</t>
        </is>
      </c>
      <c r="I4" s="29" t="inlineStr">
        <is>
          <t>FY2026E</t>
        </is>
      </c>
      <c r="J4" s="29" t="inlineStr">
        <is>
          <t>Source (doc p.)</t>
        </is>
      </c>
    </row>
    <row r="5">
      <c r="A5" s="14" t="inlineStr">
        <is>
          <t>Form10A_2026-05-27 · MD&amp;A Results of operations</t>
        </is>
      </c>
      <c r="B5" s="15" t="n"/>
      <c r="C5" s="15" t="n"/>
      <c r="D5" s="15" t="n"/>
      <c r="E5" s="15" t="n"/>
      <c r="F5" s="15" t="n"/>
      <c r="G5" s="15" t="n"/>
      <c r="H5" s="15" t="n"/>
      <c r="I5" s="15" t="n"/>
      <c r="J5" s="15" t="n"/>
    </row>
    <row r="6">
      <c r="A6" s="38" t="inlineStr">
        <is>
          <t>% Operating profit margin</t>
        </is>
      </c>
      <c r="B6" s="3" t="n"/>
      <c r="C6" s="3" t="n"/>
      <c r="D6" s="3" t="n"/>
      <c r="E6" s="41" t="n">
        <v>20</v>
      </c>
      <c r="F6" s="41" t="n">
        <v>18</v>
      </c>
      <c r="G6" s="3" t="n"/>
      <c r="H6" s="3" t="n"/>
      <c r="I6" s="3" t="n"/>
      <c r="J6" s="4" t="inlineStr">
        <is>
          <t>Form10A_2026-05-27 p346</t>
        </is>
      </c>
    </row>
    <row r="7">
      <c r="A7" s="14" t="inlineStr">
        <is>
          <t>10Q_Q2-2026 · MD&amp;A Revenue drivers (approximate, as printed)</t>
        </is>
      </c>
      <c r="B7" s="15" t="n"/>
      <c r="C7" s="15" t="n"/>
      <c r="D7" s="15" t="n"/>
      <c r="E7" s="15" t="n"/>
      <c r="F7" s="15" t="n"/>
      <c r="G7" s="15" t="n"/>
      <c r="H7" s="15" t="n"/>
      <c r="I7" s="15" t="n"/>
      <c r="J7" s="15" t="n"/>
    </row>
    <row r="8">
      <c r="A8" s="38" t="inlineStr">
        <is>
          <t>Revenue increase from price increases (approximately)</t>
        </is>
      </c>
      <c r="B8" s="3" t="n"/>
      <c r="C8" s="3" t="n"/>
      <c r="D8" s="3" t="n"/>
      <c r="E8" s="3" t="n"/>
      <c r="F8" s="3" t="n"/>
      <c r="G8" s="30" t="n">
        <v>16</v>
      </c>
      <c r="H8" s="30" t="n">
        <v>36</v>
      </c>
      <c r="I8" s="3" t="n"/>
      <c r="J8" s="4" t="inlineStr">
        <is>
          <t>10Q_Q2-2026 p27</t>
        </is>
      </c>
    </row>
    <row r="9">
      <c r="A9" s="38" t="inlineStr">
        <is>
          <t>Revenue increase from continued new business growth (approximately)</t>
        </is>
      </c>
      <c r="B9" s="3" t="n"/>
      <c r="C9" s="3" t="n"/>
      <c r="D9" s="3" t="n"/>
      <c r="E9" s="3" t="n"/>
      <c r="F9" s="3" t="n"/>
      <c r="G9" s="30" t="n">
        <v>8</v>
      </c>
      <c r="H9" s="30" t="n">
        <v>20</v>
      </c>
      <c r="I9" s="3" t="n"/>
      <c r="J9" s="4" t="inlineStr">
        <is>
          <t>10Q_Q2-2026 p27</t>
        </is>
      </c>
    </row>
    <row r="10">
      <c r="A10" s="14" t="inlineStr">
        <is>
          <t>10Q_Q2-2026 · Note 2 Unearned revenue &amp; RPO</t>
        </is>
      </c>
      <c r="B10" s="15" t="n"/>
      <c r="C10" s="15" t="n"/>
      <c r="D10" s="15" t="n"/>
      <c r="E10" s="15" t="n"/>
      <c r="F10" s="15" t="n"/>
      <c r="G10" s="15" t="n"/>
      <c r="H10" s="15" t="n"/>
      <c r="I10" s="15" t="n"/>
      <c r="J10" s="15" t="n"/>
    </row>
    <row r="11">
      <c r="A11" s="38" t="inlineStr">
        <is>
          <t>Revenues recognized included in unearned revenue balance at beginning of period</t>
        </is>
      </c>
      <c r="B11" s="3" t="n"/>
      <c r="C11" s="3" t="n"/>
      <c r="D11" s="3" t="n"/>
      <c r="E11" s="3" t="n"/>
      <c r="F11" s="3" t="n"/>
      <c r="G11" s="3" t="n"/>
      <c r="H11" s="30" t="n">
        <v>60</v>
      </c>
      <c r="I11" s="3" t="n"/>
      <c r="J11" s="4" t="inlineStr">
        <is>
          <t>10Q_Q2-2026 p10</t>
        </is>
      </c>
    </row>
    <row r="12">
      <c r="A12" s="38" t="inlineStr">
        <is>
          <t>Remaining performance obligations (aggregate transaction price)</t>
        </is>
      </c>
      <c r="B12" s="3" t="n"/>
      <c r="C12" s="3" t="n"/>
      <c r="D12" s="3" t="n"/>
      <c r="E12" s="3" t="n"/>
      <c r="F12" s="3" t="n"/>
      <c r="G12" s="3" t="n"/>
      <c r="H12" s="30" t="n">
        <v>102</v>
      </c>
      <c r="I12" s="3" t="n"/>
      <c r="J12" s="4" t="inlineStr">
        <is>
          <t>10Q_Q2-2026 p10</t>
        </is>
      </c>
    </row>
    <row r="13">
      <c r="A13" s="14" t="inlineStr">
        <is>
          <t>10Q_Q2-2026 · MD&amp;A Overview - CARFAX (as of December 31, 2025)</t>
        </is>
      </c>
      <c r="B13" s="15" t="n"/>
      <c r="C13" s="15" t="n"/>
      <c r="D13" s="15" t="n"/>
      <c r="E13" s="15" t="n"/>
      <c r="F13" s="15" t="n"/>
      <c r="G13" s="15" t="n"/>
      <c r="H13" s="15" t="n"/>
      <c r="I13" s="15" t="n"/>
      <c r="J13" s="15" t="n"/>
    </row>
    <row r="14">
      <c r="A14" s="38" t="inlineStr">
        <is>
          <t>CARFAX dealer customers (over)</t>
        </is>
      </c>
      <c r="B14" s="3" t="n"/>
      <c r="C14" s="3" t="n"/>
      <c r="D14" s="40" t="n">
        <v>40000</v>
      </c>
      <c r="E14" s="3" t="n"/>
      <c r="F14" s="3" t="n"/>
      <c r="G14" s="3" t="n"/>
      <c r="H14" s="3" t="n"/>
      <c r="I14" s="3" t="n"/>
      <c r="J14" s="4" t="inlineStr">
        <is>
          <t>10Q_Q2-2026 p19</t>
        </is>
      </c>
    </row>
    <row r="15">
      <c r="A15" s="14" t="inlineStr">
        <is>
          <t>10Q_Q2-2026 · MD&amp;A Overview - B2B (as of December 31, 2025, internal data)</t>
        </is>
      </c>
      <c r="B15" s="15" t="n"/>
      <c r="C15" s="15" t="n"/>
      <c r="D15" s="15" t="n"/>
      <c r="E15" s="15" t="n"/>
      <c r="F15" s="15" t="n"/>
      <c r="G15" s="15" t="n"/>
      <c r="H15" s="15" t="n"/>
      <c r="I15" s="15" t="n"/>
      <c r="J15" s="15" t="n"/>
    </row>
    <row r="16">
      <c r="A16" s="38" t="inlineStr">
        <is>
          <t>Share of top 40 global carmakers served</t>
        </is>
      </c>
      <c r="B16" s="3" t="n"/>
      <c r="C16" s="3" t="n"/>
      <c r="D16" s="41" t="n">
        <v>100</v>
      </c>
      <c r="E16" s="3" t="n"/>
      <c r="F16" s="3" t="n"/>
      <c r="G16" s="3" t="n"/>
      <c r="H16" s="3" t="n"/>
      <c r="I16" s="3" t="n"/>
      <c r="J16" s="4" t="inlineStr">
        <is>
          <t>10Q_Q2-2026 p19</t>
        </is>
      </c>
    </row>
    <row r="17">
      <c r="A17" s="38" t="inlineStr">
        <is>
          <t>Share of top 100 automotive suppliers served</t>
        </is>
      </c>
      <c r="B17" s="3" t="n"/>
      <c r="C17" s="3" t="n"/>
      <c r="D17" s="41" t="n">
        <v>94</v>
      </c>
      <c r="E17" s="3" t="n"/>
      <c r="F17" s="3" t="n"/>
      <c r="G17" s="3" t="n"/>
      <c r="H17" s="3" t="n"/>
      <c r="I17" s="3" t="n"/>
      <c r="J17" s="4" t="inlineStr">
        <is>
          <t>10Q_Q2-2026 p19</t>
        </is>
      </c>
    </row>
    <row r="18">
      <c r="A18" s="38" t="inlineStr">
        <is>
          <t>Share of top 10 investment banks served</t>
        </is>
      </c>
      <c r="B18" s="3" t="n"/>
      <c r="C18" s="3" t="n"/>
      <c r="D18" s="41" t="n">
        <v>100</v>
      </c>
      <c r="E18" s="3" t="n"/>
      <c r="F18" s="3" t="n"/>
      <c r="G18" s="3" t="n"/>
      <c r="H18" s="3" t="n"/>
      <c r="I18" s="3" t="n"/>
      <c r="J18" s="4" t="inlineStr">
        <is>
          <t>10Q_Q2-2026 p19</t>
        </is>
      </c>
    </row>
    <row r="19">
      <c r="A19" s="14" t="inlineStr">
        <is>
          <t>10Q_Q2-2026 · MD&amp;A Key factors (as of December 31, 2025)</t>
        </is>
      </c>
      <c r="B19" s="15" t="n"/>
      <c r="C19" s="15" t="n"/>
      <c r="D19" s="15" t="n"/>
      <c r="E19" s="15" t="n"/>
      <c r="F19" s="15" t="n"/>
      <c r="G19" s="15" t="n"/>
      <c r="H19" s="15" t="n"/>
      <c r="I19" s="15" t="n"/>
      <c r="J19" s="15" t="n"/>
    </row>
    <row r="20">
      <c r="A20" s="38" t="inlineStr">
        <is>
          <t>CARFAX Car Care consumers (over)</t>
        </is>
      </c>
      <c r="B20" s="3" t="n"/>
      <c r="C20" s="3" t="n"/>
      <c r="D20" s="40" t="n">
        <v>53000000</v>
      </c>
      <c r="E20" s="3" t="n"/>
      <c r="F20" s="3" t="n"/>
      <c r="G20" s="3" t="n"/>
      <c r="H20" s="3" t="n"/>
      <c r="I20" s="3" t="n"/>
      <c r="J20" s="4" t="inlineStr">
        <is>
          <t>10Q_Q2-2026 p21</t>
        </is>
      </c>
    </row>
    <row r="21">
      <c r="A21" s="14" t="inlineStr">
        <is>
          <t>10Q_Q2-2026 · MD&amp;A Basis of presentation</t>
        </is>
      </c>
      <c r="B21" s="15" t="n"/>
      <c r="C21" s="15" t="n"/>
      <c r="D21" s="15" t="n"/>
      <c r="E21" s="15" t="n"/>
      <c r="F21" s="15" t="n"/>
      <c r="G21" s="15" t="n"/>
      <c r="H21" s="15" t="n"/>
      <c r="I21" s="15" t="n"/>
      <c r="J21" s="15" t="n"/>
    </row>
    <row r="22">
      <c r="A22" s="38" t="inlineStr">
        <is>
          <t>Non-recurring stand-alone/TSA transition costs - range (printed $75 million to $110 million)</t>
        </is>
      </c>
      <c r="B22" s="3" t="n"/>
      <c r="C22" s="3" t="n"/>
      <c r="D22" s="3" t="n"/>
      <c r="E22" s="3" t="n"/>
      <c r="F22" s="3" t="n"/>
      <c r="G22" s="3" t="n"/>
      <c r="H22" s="3" t="n"/>
      <c r="I22" s="42" t="inlineStr">
        <is>
          <t>75-110</t>
        </is>
      </c>
      <c r="J22" s="4" t="inlineStr">
        <is>
          <t>10Q_Q2-2026 p23</t>
        </is>
      </c>
    </row>
    <row r="23">
      <c r="A23" s="14" t="inlineStr">
        <is>
          <t>8K_2026-08-07 · Release highlights (comparisons to Q2 2025)</t>
        </is>
      </c>
      <c r="B23" s="15" t="n"/>
      <c r="C23" s="15" t="n"/>
      <c r="D23" s="15" t="n"/>
      <c r="E23" s="15" t="n"/>
      <c r="F23" s="15" t="n"/>
      <c r="G23" s="15" t="n"/>
      <c r="H23" s="15" t="n"/>
      <c r="I23" s="15" t="n"/>
      <c r="J23" s="15" t="n"/>
    </row>
    <row r="24">
      <c r="A24" s="38" t="inlineStr">
        <is>
          <t>Total revenue growth</t>
        </is>
      </c>
      <c r="B24" s="3" t="n"/>
      <c r="C24" s="3" t="n"/>
      <c r="D24" s="3" t="n"/>
      <c r="E24" s="3" t="n"/>
      <c r="F24" s="3" t="n"/>
      <c r="G24" s="41" t="n">
        <v>7</v>
      </c>
      <c r="H24" s="3" t="n"/>
      <c r="I24" s="3" t="n"/>
      <c r="J24" s="4" t="inlineStr">
        <is>
          <t>8K_2026-08-07 p1</t>
        </is>
      </c>
    </row>
    <row r="25">
      <c r="A25" s="38" t="inlineStr">
        <is>
          <t>CARFAX revenue growth year-over-year</t>
        </is>
      </c>
      <c r="B25" s="3" t="n"/>
      <c r="C25" s="3" t="n"/>
      <c r="D25" s="3" t="n"/>
      <c r="E25" s="3" t="n"/>
      <c r="F25" s="3" t="n"/>
      <c r="G25" s="41" t="n">
        <v>8</v>
      </c>
      <c r="H25" s="3" t="n"/>
      <c r="I25" s="3" t="n"/>
      <c r="J25" s="4" t="inlineStr">
        <is>
          <t>8K_2026-08-07 p1</t>
        </is>
      </c>
    </row>
    <row r="26">
      <c r="A26" s="38" t="inlineStr">
        <is>
          <t>Subscription revenue growth</t>
        </is>
      </c>
      <c r="B26" s="3" t="n"/>
      <c r="C26" s="3" t="n"/>
      <c r="D26" s="3" t="n"/>
      <c r="E26" s="3" t="n"/>
      <c r="F26" s="3" t="n"/>
      <c r="G26" s="41" t="n">
        <v>7</v>
      </c>
      <c r="H26" s="3" t="n"/>
      <c r="I26" s="3" t="n"/>
      <c r="J26" s="4" t="inlineStr">
        <is>
          <t>8K_2026-08-07 p1</t>
        </is>
      </c>
    </row>
    <row r="27">
      <c r="A27" s="38" t="inlineStr">
        <is>
          <t>Non-subscription revenue growth</t>
        </is>
      </c>
      <c r="B27" s="3" t="n"/>
      <c r="C27" s="3" t="n"/>
      <c r="D27" s="3" t="n"/>
      <c r="E27" s="3" t="n"/>
      <c r="F27" s="3" t="n"/>
      <c r="G27" s="41" t="n">
        <v>5</v>
      </c>
      <c r="H27" s="3" t="n"/>
      <c r="I27" s="3" t="n"/>
      <c r="J27" s="4" t="inlineStr">
        <is>
          <t>8K_2026-08-07 p1</t>
        </is>
      </c>
    </row>
    <row r="28">
      <c r="A28" s="38" t="inlineStr">
        <is>
          <t>B2B segment revenue growth</t>
        </is>
      </c>
      <c r="B28" s="3" t="n"/>
      <c r="C28" s="3" t="n"/>
      <c r="D28" s="3" t="n"/>
      <c r="E28" s="3" t="n"/>
      <c r="F28" s="3" t="n"/>
      <c r="G28" s="41" t="n">
        <v>4</v>
      </c>
      <c r="H28" s="3" t="n"/>
      <c r="I28" s="3" t="n"/>
      <c r="J28" s="4" t="inlineStr">
        <is>
          <t>8K_2026-08-07 p1</t>
        </is>
      </c>
    </row>
    <row r="29">
      <c r="A29" s="38" t="inlineStr">
        <is>
          <t>Net income margin</t>
        </is>
      </c>
      <c r="B29" s="3" t="n"/>
      <c r="C29" s="3" t="n"/>
      <c r="D29" s="3" t="n"/>
      <c r="E29" s="3" t="n"/>
      <c r="F29" s="3" t="n"/>
      <c r="G29" s="41" t="n">
        <v>11</v>
      </c>
      <c r="H29" s="3" t="n"/>
      <c r="I29" s="3" t="n"/>
      <c r="J29" s="4" t="inlineStr">
        <is>
          <t>8K_2026-08-07 p1</t>
        </is>
      </c>
    </row>
    <row r="30">
      <c r="A30" s="38" t="inlineStr">
        <is>
          <t>Adjusted EBITDA growth</t>
        </is>
      </c>
      <c r="B30" s="3" t="n"/>
      <c r="C30" s="3" t="n"/>
      <c r="D30" s="3" t="n"/>
      <c r="E30" s="3" t="n"/>
      <c r="F30" s="3" t="n"/>
      <c r="G30" s="41" t="n">
        <v>7</v>
      </c>
      <c r="H30" s="3" t="n"/>
      <c r="I30" s="3" t="n"/>
      <c r="J30" s="4" t="inlineStr">
        <is>
          <t>8K_2026-08-07 p1</t>
        </is>
      </c>
    </row>
    <row r="31">
      <c r="A31" s="38" t="inlineStr">
        <is>
          <t>Adjusted EBITDA margin</t>
        </is>
      </c>
      <c r="B31" s="3" t="n"/>
      <c r="C31" s="3" t="n"/>
      <c r="D31" s="3" t="n"/>
      <c r="E31" s="3" t="n"/>
      <c r="F31" s="3" t="n"/>
      <c r="G31" s="41" t="n">
        <v>43</v>
      </c>
      <c r="H31" s="3" t="n"/>
      <c r="I31" s="3" t="n"/>
      <c r="J31" s="4" t="inlineStr">
        <is>
          <t>8K_2026-08-07 p1</t>
        </is>
      </c>
    </row>
    <row r="32">
      <c r="A32" s="38" t="inlineStr">
        <is>
          <t>Quarterly cash dividend per share (initiated)</t>
        </is>
      </c>
      <c r="B32" s="3" t="n"/>
      <c r="C32" s="3" t="n"/>
      <c r="D32" s="3" t="n"/>
      <c r="E32" s="3" t="n"/>
      <c r="F32" s="3" t="n"/>
      <c r="G32" s="32" t="n">
        <v>0.06</v>
      </c>
      <c r="H32" s="3" t="n"/>
      <c r="I32" s="3" t="n"/>
      <c r="J32" s="4" t="inlineStr">
        <is>
          <t>8K_2026-08-07 p1</t>
        </is>
      </c>
    </row>
    <row r="33">
      <c r="A33" s="14" t="inlineStr">
        <is>
          <t>8K_2026-08-07 · Outlook - Full-Year 2026 Guidance (issued August 7, 2026)</t>
        </is>
      </c>
      <c r="B33" s="15" t="n"/>
      <c r="C33" s="15" t="n"/>
      <c r="D33" s="15" t="n"/>
      <c r="E33" s="15" t="n"/>
      <c r="F33" s="15" t="n"/>
      <c r="G33" s="15" t="n"/>
      <c r="H33" s="15" t="n"/>
      <c r="I33" s="15" t="n"/>
      <c r="J33" s="15" t="n"/>
    </row>
    <row r="34">
      <c r="A34" s="38" t="inlineStr">
        <is>
          <t>Revenue (printed $1,870 - $1,885 million)</t>
        </is>
      </c>
      <c r="B34" s="3" t="n"/>
      <c r="C34" s="3" t="n"/>
      <c r="D34" s="3" t="n"/>
      <c r="E34" s="3" t="n"/>
      <c r="F34" s="3" t="n"/>
      <c r="G34" s="3" t="n"/>
      <c r="H34" s="3" t="n"/>
      <c r="I34" s="42" t="inlineStr">
        <is>
          <t>1870-1885</t>
        </is>
      </c>
      <c r="J34" s="4" t="inlineStr">
        <is>
          <t>8K_2026-08-07 p3</t>
        </is>
      </c>
    </row>
    <row r="35">
      <c r="A35" s="38" t="inlineStr">
        <is>
          <t>Revenue - low end</t>
        </is>
      </c>
      <c r="B35" s="3" t="n"/>
      <c r="C35" s="3" t="n"/>
      <c r="D35" s="3" t="n"/>
      <c r="E35" s="3" t="n"/>
      <c r="F35" s="3" t="n"/>
      <c r="G35" s="3" t="n"/>
      <c r="H35" s="3" t="n"/>
      <c r="I35" s="30" t="n">
        <v>1870</v>
      </c>
      <c r="J35" s="4" t="inlineStr">
        <is>
          <t>8K_2026-08-07 p3</t>
        </is>
      </c>
    </row>
    <row r="36">
      <c r="A36" s="38" t="inlineStr">
        <is>
          <t>Revenue - high end</t>
        </is>
      </c>
      <c r="B36" s="3" t="n"/>
      <c r="C36" s="3" t="n"/>
      <c r="D36" s="3" t="n"/>
      <c r="E36" s="3" t="n"/>
      <c r="F36" s="3" t="n"/>
      <c r="G36" s="3" t="n"/>
      <c r="H36" s="3" t="n"/>
      <c r="I36" s="30" t="n">
        <v>1885</v>
      </c>
      <c r="J36" s="4" t="inlineStr">
        <is>
          <t>8K_2026-08-07 p3</t>
        </is>
      </c>
    </row>
    <row r="37">
      <c r="A37" s="38" t="inlineStr">
        <is>
          <t>Revenue Growth (printed 6.9% - 7.7%)</t>
        </is>
      </c>
      <c r="B37" s="3" t="n"/>
      <c r="C37" s="3" t="n"/>
      <c r="D37" s="3" t="n"/>
      <c r="E37" s="3" t="n"/>
      <c r="F37" s="3" t="n"/>
      <c r="G37" s="3" t="n"/>
      <c r="H37" s="3" t="n"/>
      <c r="I37" s="42" t="inlineStr">
        <is>
          <t>6.9-7.7</t>
        </is>
      </c>
      <c r="J37" s="4" t="inlineStr">
        <is>
          <t>8K_2026-08-07 p3</t>
        </is>
      </c>
    </row>
    <row r="38">
      <c r="A38" s="38" t="inlineStr">
        <is>
          <t>Adjusted EBITDA (printed $745 - $760 million)</t>
        </is>
      </c>
      <c r="B38" s="3" t="n"/>
      <c r="C38" s="3" t="n"/>
      <c r="D38" s="3" t="n"/>
      <c r="E38" s="3" t="n"/>
      <c r="F38" s="3" t="n"/>
      <c r="G38" s="3" t="n"/>
      <c r="H38" s="3" t="n"/>
      <c r="I38" s="42" t="inlineStr">
        <is>
          <t>745-760</t>
        </is>
      </c>
      <c r="J38" s="4" t="inlineStr">
        <is>
          <t>8K_2026-08-07 p3</t>
        </is>
      </c>
    </row>
    <row r="39">
      <c r="A39" s="38" t="inlineStr">
        <is>
          <t>Adjusted EBITDA - low end</t>
        </is>
      </c>
      <c r="B39" s="3" t="n"/>
      <c r="C39" s="3" t="n"/>
      <c r="D39" s="3" t="n"/>
      <c r="E39" s="3" t="n"/>
      <c r="F39" s="3" t="n"/>
      <c r="G39" s="3" t="n"/>
      <c r="H39" s="3" t="n"/>
      <c r="I39" s="30" t="n">
        <v>745</v>
      </c>
      <c r="J39" s="4" t="inlineStr">
        <is>
          <t>8K_2026-08-07 p3</t>
        </is>
      </c>
    </row>
    <row r="40">
      <c r="A40" s="38" t="inlineStr">
        <is>
          <t>Adjusted EBITDA - high end</t>
        </is>
      </c>
      <c r="B40" s="3" t="n"/>
      <c r="C40" s="3" t="n"/>
      <c r="D40" s="3" t="n"/>
      <c r="E40" s="3" t="n"/>
      <c r="F40" s="3" t="n"/>
      <c r="G40" s="3" t="n"/>
      <c r="H40" s="3" t="n"/>
      <c r="I40" s="30" t="n">
        <v>760</v>
      </c>
      <c r="J40" s="4" t="inlineStr">
        <is>
          <t>8K_2026-08-07 p3</t>
        </is>
      </c>
    </row>
    <row r="41">
      <c r="A41" s="38" t="inlineStr">
        <is>
          <t>Adjusted EBITDAMargin (printed ~40%)</t>
        </is>
      </c>
      <c r="B41" s="3" t="n"/>
      <c r="C41" s="3" t="n"/>
      <c r="D41" s="3" t="n"/>
      <c r="E41" s="3" t="n"/>
      <c r="F41" s="3" t="n"/>
      <c r="G41" s="3" t="n"/>
      <c r="H41" s="3" t="n"/>
      <c r="I41" s="41" t="n">
        <v>40</v>
      </c>
      <c r="J41" s="4" t="inlineStr">
        <is>
          <t>8K_2026-08-07 p3</t>
        </is>
      </c>
    </row>
    <row r="42">
      <c r="A42" s="14" t="inlineStr">
        <is>
          <t>Slides_Q2-2026 · Second quarter and first half 2026 revenue (footnote)</t>
        </is>
      </c>
      <c r="B42" s="15" t="n"/>
      <c r="C42" s="15" t="n"/>
      <c r="D42" s="15" t="n"/>
      <c r="E42" s="15" t="n"/>
      <c r="F42" s="15" t="n"/>
      <c r="G42" s="15" t="n"/>
      <c r="H42" s="15" t="n"/>
      <c r="I42" s="15" t="n"/>
      <c r="J42" s="15" t="n"/>
    </row>
    <row r="43">
      <c r="A43" s="38" t="inlineStr">
        <is>
          <t>Foreign exchange benefit to revenue (~)</t>
        </is>
      </c>
      <c r="B43" s="3" t="n"/>
      <c r="C43" s="3" t="n"/>
      <c r="D43" s="3" t="n"/>
      <c r="E43" s="3" t="n"/>
      <c r="F43" s="3" t="n"/>
      <c r="G43" s="30" t="n">
        <v>1</v>
      </c>
      <c r="H43" s="30" t="n">
        <v>5</v>
      </c>
      <c r="I43" s="3" t="n"/>
      <c r="J43" s="4" t="inlineStr">
        <is>
          <t>Slides_Q2-2026 p5</t>
        </is>
      </c>
    </row>
    <row r="44">
      <c r="A44" s="14" t="inlineStr">
        <is>
          <t>Slides_Q2-2026 · B2B commentary</t>
        </is>
      </c>
      <c r="B44" s="15" t="n"/>
      <c r="C44" s="15" t="n"/>
      <c r="D44" s="15" t="n"/>
      <c r="E44" s="15" t="n"/>
      <c r="F44" s="15" t="n"/>
      <c r="G44" s="15" t="n"/>
      <c r="H44" s="15" t="n"/>
      <c r="I44" s="15" t="n"/>
      <c r="J44" s="15" t="n"/>
    </row>
    <row r="45">
      <c r="A45" s="38" t="inlineStr">
        <is>
          <t>Recall revenue pushed to 2H26 pending a final court order (~)</t>
        </is>
      </c>
      <c r="B45" s="3" t="n"/>
      <c r="C45" s="3" t="n"/>
      <c r="D45" s="3" t="n"/>
      <c r="E45" s="3" t="n"/>
      <c r="F45" s="3" t="n"/>
      <c r="G45" s="30" t="n">
        <v>1</v>
      </c>
      <c r="H45" s="3" t="n"/>
      <c r="I45" s="3" t="n"/>
      <c r="J45" s="4" t="inlineStr">
        <is>
          <t>Slides_Q2-2026 p8</t>
        </is>
      </c>
    </row>
    <row r="46">
      <c r="A46" s="14" t="inlineStr">
        <is>
          <t>Slides_Q2-2026 · FY 2026 guidance, key assumptions and drivers (August 7, 2026)</t>
        </is>
      </c>
      <c r="B46" s="15" t="n"/>
      <c r="C46" s="15" t="n"/>
      <c r="D46" s="15" t="n"/>
      <c r="E46" s="15" t="n"/>
      <c r="F46" s="15" t="n"/>
      <c r="G46" s="15" t="n"/>
      <c r="H46" s="15" t="n"/>
      <c r="I46" s="15" t="n"/>
      <c r="J46" s="15" t="n"/>
    </row>
    <row r="47">
      <c r="A47" s="38" t="inlineStr">
        <is>
          <t>Revenue - low end</t>
        </is>
      </c>
      <c r="B47" s="3" t="n"/>
      <c r="C47" s="3" t="n"/>
      <c r="D47" s="3" t="n"/>
      <c r="E47" s="3" t="n"/>
      <c r="F47" s="3" t="n"/>
      <c r="G47" s="3" t="n"/>
      <c r="H47" s="3" t="n"/>
      <c r="I47" s="30" t="n">
        <v>1870</v>
      </c>
      <c r="J47" s="4" t="inlineStr">
        <is>
          <t>Slides_Q2-2026 p9</t>
        </is>
      </c>
    </row>
    <row r="48">
      <c r="A48" s="38" t="inlineStr">
        <is>
          <t>Revenue - high end</t>
        </is>
      </c>
      <c r="B48" s="3" t="n"/>
      <c r="C48" s="3" t="n"/>
      <c r="D48" s="3" t="n"/>
      <c r="E48" s="3" t="n"/>
      <c r="F48" s="3" t="n"/>
      <c r="G48" s="3" t="n"/>
      <c r="H48" s="3" t="n"/>
      <c r="I48" s="30" t="n">
        <v>1885</v>
      </c>
      <c r="J48" s="4" t="inlineStr">
        <is>
          <t>Slides_Q2-2026 p9</t>
        </is>
      </c>
    </row>
    <row r="49">
      <c r="A49" s="38" t="inlineStr">
        <is>
          <t>Revenue Growth - low end</t>
        </is>
      </c>
      <c r="B49" s="3" t="n"/>
      <c r="C49" s="3" t="n"/>
      <c r="D49" s="3" t="n"/>
      <c r="E49" s="3" t="n"/>
      <c r="F49" s="3" t="n"/>
      <c r="G49" s="3" t="n"/>
      <c r="H49" s="3" t="n"/>
      <c r="I49" s="41" t="n">
        <v>6.9</v>
      </c>
      <c r="J49" s="4" t="inlineStr">
        <is>
          <t>Slides_Q2-2026 p9</t>
        </is>
      </c>
    </row>
    <row r="50">
      <c r="A50" s="38" t="inlineStr">
        <is>
          <t>Revenue Growth - high end</t>
        </is>
      </c>
      <c r="B50" s="3" t="n"/>
      <c r="C50" s="3" t="n"/>
      <c r="D50" s="3" t="n"/>
      <c r="E50" s="3" t="n"/>
      <c r="F50" s="3" t="n"/>
      <c r="G50" s="3" t="n"/>
      <c r="H50" s="3" t="n"/>
      <c r="I50" s="41" t="n">
        <v>7.7</v>
      </c>
      <c r="J50" s="4" t="inlineStr">
        <is>
          <t>Slides_Q2-2026 p9</t>
        </is>
      </c>
    </row>
    <row r="51">
      <c r="A51" s="38" t="inlineStr">
        <is>
          <t>Adjusted EBITDA - low end</t>
        </is>
      </c>
      <c r="B51" s="3" t="n"/>
      <c r="C51" s="3" t="n"/>
      <c r="D51" s="3" t="n"/>
      <c r="E51" s="3" t="n"/>
      <c r="F51" s="3" t="n"/>
      <c r="G51" s="3" t="n"/>
      <c r="H51" s="3" t="n"/>
      <c r="I51" s="30" t="n">
        <v>745</v>
      </c>
      <c r="J51" s="4" t="inlineStr">
        <is>
          <t>Slides_Q2-2026 p9</t>
        </is>
      </c>
    </row>
    <row r="52">
      <c r="A52" s="38" t="inlineStr">
        <is>
          <t>Adjusted EBITDA - high end</t>
        </is>
      </c>
      <c r="B52" s="3" t="n"/>
      <c r="C52" s="3" t="n"/>
      <c r="D52" s="3" t="n"/>
      <c r="E52" s="3" t="n"/>
      <c r="F52" s="3" t="n"/>
      <c r="G52" s="3" t="n"/>
      <c r="H52" s="3" t="n"/>
      <c r="I52" s="30" t="n">
        <v>760</v>
      </c>
      <c r="J52" s="4" t="inlineStr">
        <is>
          <t>Slides_Q2-2026 p9</t>
        </is>
      </c>
    </row>
    <row r="53">
      <c r="A53" s="38" t="inlineStr">
        <is>
          <t>Adjusted EBITDA Margin (~)</t>
        </is>
      </c>
      <c r="B53" s="3" t="n"/>
      <c r="C53" s="3" t="n"/>
      <c r="D53" s="3" t="n"/>
      <c r="E53" s="3" t="n"/>
      <c r="F53" s="3" t="n"/>
      <c r="G53" s="3" t="n"/>
      <c r="H53" s="3" t="n"/>
      <c r="I53" s="41" t="n">
        <v>40</v>
      </c>
      <c r="J53" s="4" t="inlineStr">
        <is>
          <t>Slides_Q2-2026 p9</t>
        </is>
      </c>
    </row>
    <row r="54">
      <c r="A54" s="38" t="inlineStr">
        <is>
          <t>Incremental standalone costs discrete impact on full-year margins, run-rate (~bps)</t>
        </is>
      </c>
      <c r="B54" s="3" t="n"/>
      <c r="C54" s="3" t="n"/>
      <c r="D54" s="3" t="n"/>
      <c r="E54" s="3" t="n"/>
      <c r="F54" s="3" t="n"/>
      <c r="G54" s="3" t="n"/>
      <c r="H54" s="3" t="n"/>
      <c r="I54" s="42" t="inlineStr">
        <is>
          <t>~150bps</t>
        </is>
      </c>
      <c r="J54" s="4" t="inlineStr">
        <is>
          <t>Slides_Q2-2026 p9</t>
        </is>
      </c>
    </row>
    <row r="55">
      <c r="A55" s="38" t="inlineStr">
        <is>
          <t>Second half 2026 one-time spin-related costs in cash flow</t>
        </is>
      </c>
      <c r="B55" s="3" t="n"/>
      <c r="C55" s="3" t="n"/>
      <c r="D55" s="3" t="n"/>
      <c r="E55" s="3" t="n"/>
      <c r="F55" s="3" t="n"/>
      <c r="G55" s="3" t="n"/>
      <c r="H55" s="3" t="n"/>
      <c r="I55" s="30" t="n">
        <v>50</v>
      </c>
      <c r="J55" s="4" t="inlineStr">
        <is>
          <t>Slides_Q2-2026 p9</t>
        </is>
      </c>
    </row>
    <row r="56">
      <c r="A56" s="38" t="inlineStr">
        <is>
          <t>One-time spin-related costs total (~)</t>
        </is>
      </c>
      <c r="B56" s="3" t="n"/>
      <c r="C56" s="3" t="n"/>
      <c r="D56" s="3" t="n"/>
      <c r="E56" s="3" t="n"/>
      <c r="F56" s="3" t="n"/>
      <c r="G56" s="3" t="n"/>
      <c r="H56" s="3" t="n"/>
      <c r="I56" s="30" t="n">
        <v>100</v>
      </c>
      <c r="J56" s="4" t="inlineStr">
        <is>
          <t>Slides_Q2-2026 p9</t>
        </is>
      </c>
    </row>
    <row r="57">
      <c r="A57" s="38" t="inlineStr">
        <is>
          <t>Share of one-time costs expected to be capitalized (~)</t>
        </is>
      </c>
      <c r="B57" s="3" t="n"/>
      <c r="C57" s="3" t="n"/>
      <c r="D57" s="3" t="n"/>
      <c r="E57" s="3" t="n"/>
      <c r="F57" s="3" t="n"/>
      <c r="G57" s="3" t="n"/>
      <c r="H57" s="3" t="n"/>
      <c r="I57" s="41" t="n">
        <v>50</v>
      </c>
      <c r="J57" s="4" t="inlineStr">
        <is>
          <t>Slides_Q2-2026 p9</t>
        </is>
      </c>
    </row>
    <row r="58">
      <c r="A58" s="38" t="inlineStr">
        <is>
          <t>Second half 2026 interest expense (~)</t>
        </is>
      </c>
      <c r="B58" s="3" t="n"/>
      <c r="C58" s="3" t="n"/>
      <c r="D58" s="3" t="n"/>
      <c r="E58" s="3" t="n"/>
      <c r="F58" s="3" t="n"/>
      <c r="G58" s="3" t="n"/>
      <c r="H58" s="3" t="n"/>
      <c r="I58" s="30" t="n">
        <v>55</v>
      </c>
      <c r="J58" s="4" t="inlineStr">
        <is>
          <t>Slides_Q2-2026 p9</t>
        </is>
      </c>
    </row>
    <row r="59">
      <c r="A59" s="38" t="inlineStr">
        <is>
          <t>First interest payment in Q4</t>
        </is>
      </c>
      <c r="B59" s="3" t="n"/>
      <c r="C59" s="3" t="n"/>
      <c r="D59" s="3" t="n"/>
      <c r="E59" s="3" t="n"/>
      <c r="F59" s="3" t="n"/>
      <c r="G59" s="3" t="n"/>
      <c r="H59" s="3" t="n"/>
      <c r="I59" s="30" t="n">
        <v>60</v>
      </c>
      <c r="J59" s="4" t="inlineStr">
        <is>
          <t>Slides_Q2-2026 p9</t>
        </is>
      </c>
    </row>
    <row r="60">
      <c r="A60" s="38" t="inlineStr">
        <is>
          <t>Full year GAAP tax rate (printed 28% to 31%)</t>
        </is>
      </c>
      <c r="B60" s="3" t="n"/>
      <c r="C60" s="3" t="n"/>
      <c r="D60" s="3" t="n"/>
      <c r="E60" s="3" t="n"/>
      <c r="F60" s="3" t="n"/>
      <c r="G60" s="3" t="n"/>
      <c r="H60" s="3" t="n"/>
      <c r="I60" s="42" t="inlineStr">
        <is>
          <t>28-31</t>
        </is>
      </c>
      <c r="J60" s="4" t="inlineStr">
        <is>
          <t>Slides_Q2-2026 p9</t>
        </is>
      </c>
    </row>
    <row r="61">
      <c r="A61" s="38" t="inlineStr">
        <is>
          <t>Cash taxes higher due to Deferred Tax Liability (printed $80-90M)</t>
        </is>
      </c>
      <c r="B61" s="3" t="n"/>
      <c r="C61" s="3" t="n"/>
      <c r="D61" s="3" t="n"/>
      <c r="E61" s="3" t="n"/>
      <c r="F61" s="3" t="n"/>
      <c r="G61" s="3" t="n"/>
      <c r="H61" s="3" t="n"/>
      <c r="I61" s="42" t="inlineStr">
        <is>
          <t>80-90</t>
        </is>
      </c>
      <c r="J61" s="4" t="inlineStr">
        <is>
          <t>Slides_Q2-2026 p9</t>
        </is>
      </c>
    </row>
    <row r="62">
      <c r="A62" s="38" t="inlineStr">
        <is>
          <t>Average share count (printed 295M - 297M shares)</t>
        </is>
      </c>
      <c r="B62" s="3" t="n"/>
      <c r="C62" s="3" t="n"/>
      <c r="D62" s="3" t="n"/>
      <c r="E62" s="3" t="n"/>
      <c r="F62" s="3" t="n"/>
      <c r="G62" s="3" t="n"/>
      <c r="H62" s="3" t="n"/>
      <c r="I62" s="42" t="inlineStr">
        <is>
          <t>295-297</t>
        </is>
      </c>
      <c r="J62" s="4" t="inlineStr">
        <is>
          <t>Slides_Q2-2026 p9</t>
        </is>
      </c>
    </row>
    <row r="63">
      <c r="A63" s="14" t="inlineStr">
        <is>
          <t>Form10A_2026-05-27 · MD&amp;A Overview</t>
        </is>
      </c>
      <c r="B63" s="15" t="n"/>
      <c r="C63" s="15" t="n"/>
      <c r="D63" s="15" t="n"/>
      <c r="E63" s="15" t="n"/>
      <c r="F63" s="15" t="n"/>
      <c r="G63" s="15" t="n"/>
      <c r="H63" s="15" t="n"/>
      <c r="I63" s="15" t="n"/>
      <c r="J63" s="15" t="n"/>
    </row>
    <row r="64">
      <c r="A64" s="38" t="inlineStr">
        <is>
          <t>Revenue growth vs three months ended March 31, 2025</t>
        </is>
      </c>
      <c r="B64" s="3" t="n"/>
      <c r="C64" s="3" t="n"/>
      <c r="D64" s="3" t="n"/>
      <c r="E64" s="3" t="n"/>
      <c r="F64" s="41" t="n">
        <v>8.1</v>
      </c>
      <c r="G64" s="3" t="n"/>
      <c r="H64" s="3" t="n"/>
      <c r="I64" s="3" t="n"/>
      <c r="J64" s="4" t="inlineStr">
        <is>
          <t>Form10A_2026-05-27 p340</t>
        </is>
      </c>
    </row>
    <row r="65">
      <c r="A65" s="38" t="inlineStr">
        <is>
          <t>Revenue (printed $1.75 billion)</t>
        </is>
      </c>
      <c r="B65" s="3" t="n"/>
      <c r="C65" s="3" t="n"/>
      <c r="D65" s="42" t="inlineStr">
        <is>
          <t>1.75bn</t>
        </is>
      </c>
      <c r="E65" s="3" t="n"/>
      <c r="F65" s="3" t="n"/>
      <c r="G65" s="3" t="n"/>
      <c r="H65" s="3" t="n"/>
      <c r="I65" s="3" t="n"/>
      <c r="J65" s="4" t="inlineStr">
        <is>
          <t>Form10A_2026-05-27 p340</t>
        </is>
      </c>
    </row>
    <row r="66">
      <c r="A66" s="38" t="inlineStr">
        <is>
          <t>Net income change vs three months ended March 31, 2025 (decrease)</t>
        </is>
      </c>
      <c r="B66" s="3" t="n"/>
      <c r="C66" s="3" t="n"/>
      <c r="D66" s="3" t="n"/>
      <c r="E66" s="3" t="n"/>
      <c r="F66" s="41" t="n">
        <v>-4.7</v>
      </c>
      <c r="G66" s="3" t="n"/>
      <c r="H66" s="3" t="n"/>
      <c r="I66" s="3" t="n"/>
      <c r="J66" s="4" t="inlineStr">
        <is>
          <t>Form10A_2026-05-27 p340</t>
        </is>
      </c>
    </row>
    <row r="67">
      <c r="A67" s="38" t="inlineStr">
        <is>
          <t>Revenue growth over prior year</t>
        </is>
      </c>
      <c r="B67" s="3" t="n"/>
      <c r="C67" s="3" t="n"/>
      <c r="D67" s="41" t="n">
        <v>8.5</v>
      </c>
      <c r="E67" s="3" t="n"/>
      <c r="F67" s="3" t="n"/>
      <c r="G67" s="3" t="n"/>
      <c r="H67" s="3" t="n"/>
      <c r="I67" s="3" t="n"/>
      <c r="J67" s="4" t="inlineStr">
        <is>
          <t>Form10A_2026-05-27 p340</t>
        </is>
      </c>
    </row>
    <row r="68">
      <c r="A68" s="38" t="inlineStr">
        <is>
          <t>Net income</t>
        </is>
      </c>
      <c r="B68" s="3" t="n"/>
      <c r="C68" s="3" t="n"/>
      <c r="D68" s="30" t="n">
        <v>220</v>
      </c>
      <c r="E68" s="3" t="n"/>
      <c r="F68" s="3" t="n"/>
      <c r="G68" s="3" t="n"/>
      <c r="H68" s="3" t="n"/>
      <c r="I68" s="3" t="n"/>
      <c r="J68" s="4" t="inlineStr">
        <is>
          <t>Form10A_2026-05-27 p340</t>
        </is>
      </c>
    </row>
    <row r="69">
      <c r="A69" s="38" t="inlineStr">
        <is>
          <t>Net income growth over prior year</t>
        </is>
      </c>
      <c r="B69" s="3" t="n"/>
      <c r="C69" s="3" t="n"/>
      <c r="D69" s="41" t="n">
        <v>5.8</v>
      </c>
      <c r="E69" s="3" t="n"/>
      <c r="F69" s="3" t="n"/>
      <c r="G69" s="3" t="n"/>
      <c r="H69" s="3" t="n"/>
      <c r="I69" s="3" t="n"/>
      <c r="J69" s="4" t="inlineStr">
        <is>
          <t>Form10A_2026-05-27 p340</t>
        </is>
      </c>
    </row>
    <row r="70">
      <c r="A70" s="38" t="inlineStr">
        <is>
          <t>CARFAX dealer customers (over), as of December 31, 2025</t>
        </is>
      </c>
      <c r="B70" s="3" t="n"/>
      <c r="C70" s="3" t="n"/>
      <c r="D70" s="40" t="n">
        <v>40000</v>
      </c>
      <c r="E70" s="3" t="n"/>
      <c r="F70" s="3" t="n"/>
      <c r="G70" s="3" t="n"/>
      <c r="H70" s="3" t="n"/>
      <c r="I70" s="3" t="n"/>
      <c r="J70" s="4" t="inlineStr">
        <is>
          <t>Form10A_2026-05-27 p340</t>
        </is>
      </c>
    </row>
    <row r="71">
      <c r="A71" s="14" t="inlineStr">
        <is>
          <t>Form10A_2026-05-27 · MD&amp;A Overview - B2B (as of December 31, 2025, internal data)</t>
        </is>
      </c>
      <c r="B71" s="15" t="n"/>
      <c r="C71" s="15" t="n"/>
      <c r="D71" s="15" t="n"/>
      <c r="E71" s="15" t="n"/>
      <c r="F71" s="15" t="n"/>
      <c r="G71" s="15" t="n"/>
      <c r="H71" s="15" t="n"/>
      <c r="I71" s="15" t="n"/>
      <c r="J71" s="15" t="n"/>
    </row>
    <row r="72">
      <c r="A72" s="38" t="inlineStr">
        <is>
          <t>Share of top 40 global carmakers served</t>
        </is>
      </c>
      <c r="B72" s="3" t="n"/>
      <c r="C72" s="3" t="n"/>
      <c r="D72" s="41" t="n">
        <v>100</v>
      </c>
      <c r="E72" s="3" t="n"/>
      <c r="F72" s="3" t="n"/>
      <c r="G72" s="3" t="n"/>
      <c r="H72" s="3" t="n"/>
      <c r="I72" s="3" t="n"/>
      <c r="J72" s="4" t="inlineStr">
        <is>
          <t>Form10A_2026-05-27 p341</t>
        </is>
      </c>
    </row>
    <row r="73">
      <c r="A73" s="38" t="inlineStr">
        <is>
          <t>Share of top 100 automotive suppliers served</t>
        </is>
      </c>
      <c r="B73" s="3" t="n"/>
      <c r="C73" s="3" t="n"/>
      <c r="D73" s="41" t="n">
        <v>94</v>
      </c>
      <c r="E73" s="3" t="n"/>
      <c r="F73" s="3" t="n"/>
      <c r="G73" s="3" t="n"/>
      <c r="H73" s="3" t="n"/>
      <c r="I73" s="3" t="n"/>
      <c r="J73" s="4" t="inlineStr">
        <is>
          <t>Form10A_2026-05-27 p341</t>
        </is>
      </c>
    </row>
    <row r="74">
      <c r="A74" s="38" t="inlineStr">
        <is>
          <t>Share of top 10 investment banks served</t>
        </is>
      </c>
      <c r="B74" s="3" t="n"/>
      <c r="C74" s="3" t="n"/>
      <c r="D74" s="41" t="n">
        <v>100</v>
      </c>
      <c r="E74" s="3" t="n"/>
      <c r="F74" s="3" t="n"/>
      <c r="G74" s="3" t="n"/>
      <c r="H74" s="3" t="n"/>
      <c r="I74" s="3" t="n"/>
      <c r="J74" s="4" t="inlineStr">
        <is>
          <t>Form10A_2026-05-27 p341</t>
        </is>
      </c>
    </row>
    <row r="75">
      <c r="A75" s="14" t="inlineStr">
        <is>
          <t>Form10A_2026-05-27 · MD&amp;A Key factors (as of December 31, 2025)</t>
        </is>
      </c>
      <c r="B75" s="15" t="n"/>
      <c r="C75" s="15" t="n"/>
      <c r="D75" s="15" t="n"/>
      <c r="E75" s="15" t="n"/>
      <c r="F75" s="15" t="n"/>
      <c r="G75" s="15" t="n"/>
      <c r="H75" s="15" t="n"/>
      <c r="I75" s="15" t="n"/>
      <c r="J75" s="15" t="n"/>
    </row>
    <row r="76">
      <c r="A76" s="38" t="inlineStr">
        <is>
          <t>CARFAX Car Care consumers (over)</t>
        </is>
      </c>
      <c r="B76" s="3" t="n"/>
      <c r="C76" s="3" t="n"/>
      <c r="D76" s="40" t="n">
        <v>53000000</v>
      </c>
      <c r="E76" s="3" t="n"/>
      <c r="F76" s="3" t="n"/>
      <c r="G76" s="3" t="n"/>
      <c r="H76" s="3" t="n"/>
      <c r="I76" s="3" t="n"/>
      <c r="J76" s="4" t="inlineStr">
        <is>
          <t>Form10A_2026-05-27 p342</t>
        </is>
      </c>
    </row>
    <row r="77">
      <c r="A77" s="14" t="inlineStr">
        <is>
          <t>Form10A_2026-05-27 · MD&amp;A Results of operations (three months ended March 31)</t>
        </is>
      </c>
      <c r="B77" s="15" t="n"/>
      <c r="C77" s="15" t="n"/>
      <c r="D77" s="15" t="n"/>
      <c r="E77" s="15" t="n"/>
      <c r="F77" s="15" t="n"/>
      <c r="G77" s="15" t="n"/>
      <c r="H77" s="15" t="n"/>
      <c r="I77" s="15" t="n"/>
      <c r="J77" s="15" t="n"/>
    </row>
    <row r="78">
      <c r="A78" s="38" t="inlineStr">
        <is>
          <t>Operating profit</t>
        </is>
      </c>
      <c r="B78" s="3" t="n"/>
      <c r="C78" s="3" t="n"/>
      <c r="D78" s="3" t="n"/>
      <c r="E78" s="30" t="n">
        <v>84</v>
      </c>
      <c r="F78" s="30" t="n">
        <v>81</v>
      </c>
      <c r="G78" s="3" t="n"/>
      <c r="H78" s="3" t="n"/>
      <c r="I78" s="3" t="n"/>
      <c r="J78" s="4" t="inlineStr">
        <is>
          <t>Form10A_2026-05-27 p346</t>
        </is>
      </c>
    </row>
    <row r="79">
      <c r="A79" s="38" t="inlineStr">
        <is>
          <t>Revenue</t>
        </is>
      </c>
      <c r="B79" s="3" t="n"/>
      <c r="C79" s="3" t="n"/>
      <c r="D79" s="3" t="n"/>
      <c r="E79" s="30" t="n">
        <v>420</v>
      </c>
      <c r="F79" s="30" t="n">
        <v>455</v>
      </c>
      <c r="G79" s="3" t="n"/>
      <c r="H79" s="3" t="n"/>
      <c r="I79" s="3" t="n"/>
      <c r="J79" s="4" t="inlineStr">
        <is>
          <t>Form10A_2026-05-27 p346</t>
        </is>
      </c>
    </row>
    <row r="80">
      <c r="A80" s="14" t="inlineStr">
        <is>
          <t>Form10A_2026-05-27 · MD&amp;A Revenue drivers (three months ended March 31)</t>
        </is>
      </c>
      <c r="B80" s="15" t="n"/>
      <c r="C80" s="15" t="n"/>
      <c r="D80" s="15" t="n"/>
      <c r="E80" s="15" t="n"/>
      <c r="F80" s="15" t="n"/>
      <c r="G80" s="15" t="n"/>
      <c r="H80" s="15" t="n"/>
      <c r="I80" s="15" t="n"/>
      <c r="J80" s="15" t="n"/>
    </row>
    <row r="81">
      <c r="A81" s="38" t="inlineStr">
        <is>
          <t>Subscription revenue increase from continued new business growth</t>
        </is>
      </c>
      <c r="B81" s="3" t="n"/>
      <c r="C81" s="3" t="n"/>
      <c r="D81" s="3" t="n"/>
      <c r="E81" s="3" t="n"/>
      <c r="F81" s="30" t="n">
        <v>26</v>
      </c>
      <c r="G81" s="3" t="n"/>
      <c r="H81" s="3" t="n"/>
      <c r="I81" s="3" t="n"/>
      <c r="J81" s="4" t="inlineStr">
        <is>
          <t>Form10A_2026-05-27 p347</t>
        </is>
      </c>
    </row>
    <row r="82">
      <c r="A82" s="38" t="inlineStr">
        <is>
          <t>Subscription revenue increase from solid underwriting volumes</t>
        </is>
      </c>
      <c r="B82" s="3" t="n"/>
      <c r="C82" s="3" t="n"/>
      <c r="D82" s="3" t="n"/>
      <c r="E82" s="3" t="n"/>
      <c r="F82" s="30" t="n">
        <v>2</v>
      </c>
      <c r="G82" s="3" t="n"/>
      <c r="H82" s="3" t="n"/>
      <c r="I82" s="3" t="n"/>
      <c r="J82" s="4" t="inlineStr">
        <is>
          <t>Form10A_2026-05-27 p347</t>
        </is>
      </c>
    </row>
    <row r="83">
      <c r="A83" s="14" t="inlineStr">
        <is>
          <t>Form10A_2026-05-27 · MD&amp;A Results of operations (years ended December 31)</t>
        </is>
      </c>
      <c r="B83" s="15" t="n"/>
      <c r="C83" s="15" t="n"/>
      <c r="D83" s="15" t="n"/>
      <c r="E83" s="15" t="n"/>
      <c r="F83" s="15" t="n"/>
      <c r="G83" s="15" t="n"/>
      <c r="H83" s="15" t="n"/>
      <c r="I83" s="15" t="n"/>
      <c r="J83" s="15" t="n"/>
    </row>
    <row r="84">
      <c r="A84" s="38" t="inlineStr">
        <is>
          <t>Operating profit</t>
        </is>
      </c>
      <c r="B84" s="30" t="n">
        <v>239</v>
      </c>
      <c r="C84" s="30" t="n">
        <v>298</v>
      </c>
      <c r="D84" s="30" t="n">
        <v>339</v>
      </c>
      <c r="E84" s="3" t="n"/>
      <c r="F84" s="3" t="n"/>
      <c r="G84" s="3" t="n"/>
      <c r="H84" s="3" t="n"/>
      <c r="I84" s="3" t="n"/>
      <c r="J84" s="4" t="inlineStr">
        <is>
          <t>Form10A_2026-05-27 p349</t>
        </is>
      </c>
    </row>
    <row r="85">
      <c r="A85" s="38" t="inlineStr">
        <is>
          <t>% Operating profit margin</t>
        </is>
      </c>
      <c r="B85" s="41" t="n">
        <v>16</v>
      </c>
      <c r="C85" s="41" t="n">
        <v>19</v>
      </c>
      <c r="D85" s="41" t="n">
        <v>19</v>
      </c>
      <c r="E85" s="3" t="n"/>
      <c r="F85" s="3" t="n"/>
      <c r="G85" s="3" t="n"/>
      <c r="H85" s="3" t="n"/>
      <c r="I85" s="3" t="n"/>
      <c r="J85" s="4" t="inlineStr">
        <is>
          <t>Form10A_2026-05-27 p349</t>
        </is>
      </c>
    </row>
    <row r="86">
      <c r="A86" s="14" t="inlineStr">
        <is>
          <t>Form10A_2026-05-27 · MD&amp;A Revenue drivers (years ended December 31)</t>
        </is>
      </c>
      <c r="B86" s="15" t="n"/>
      <c r="C86" s="15" t="n"/>
      <c r="D86" s="15" t="n"/>
      <c r="E86" s="15" t="n"/>
      <c r="F86" s="15" t="n"/>
      <c r="G86" s="15" t="n"/>
      <c r="H86" s="15" t="n"/>
      <c r="I86" s="15" t="n"/>
      <c r="J86" s="15" t="n"/>
    </row>
    <row r="87">
      <c r="A87" s="38" t="inlineStr">
        <is>
          <t>Subscription revenue increase from continued new business growth</t>
        </is>
      </c>
      <c r="B87" s="3" t="n"/>
      <c r="C87" s="30" t="n">
        <v>80</v>
      </c>
      <c r="D87" s="30" t="n">
        <v>76</v>
      </c>
      <c r="E87" s="3" t="n"/>
      <c r="F87" s="3" t="n"/>
      <c r="G87" s="3" t="n"/>
      <c r="H87" s="3" t="n"/>
      <c r="I87" s="3" t="n"/>
      <c r="J87" s="4" t="inlineStr">
        <is>
          <t>Form10A_2026-05-27 p349</t>
        </is>
      </c>
    </row>
    <row r="88">
      <c r="A88" s="38" t="inlineStr">
        <is>
          <t>Non-subscription revenue impact from tightening of discretionary budgets (unfavorable)</t>
        </is>
      </c>
      <c r="B88" s="3" t="n"/>
      <c r="C88" s="3" t="n"/>
      <c r="D88" s="30" t="n">
        <v>-2</v>
      </c>
      <c r="E88" s="3" t="n"/>
      <c r="F88" s="3" t="n"/>
      <c r="G88" s="3" t="n"/>
      <c r="H88" s="3" t="n"/>
      <c r="I88" s="3" t="n"/>
      <c r="J88" s="4" t="inlineStr">
        <is>
          <t>Form10A_2026-05-27 p350</t>
        </is>
      </c>
    </row>
    <row r="89">
      <c r="A89" s="38" t="inlineStr">
        <is>
          <t>Subscription revenue increase from solid underwriting volumes</t>
        </is>
      </c>
      <c r="B89" s="3" t="n"/>
      <c r="C89" s="30" t="n">
        <v>17</v>
      </c>
      <c r="D89" s="30" t="n">
        <v>13</v>
      </c>
      <c r="E89" s="3" t="n"/>
      <c r="F89" s="3" t="n"/>
      <c r="G89" s="3" t="n"/>
      <c r="H89" s="3" t="n"/>
      <c r="I89" s="3" t="n"/>
      <c r="J89" s="4" t="inlineStr">
        <is>
          <t>Form10A_2026-05-27 p349</t>
        </is>
      </c>
    </row>
    <row r="90">
      <c r="A90" s="38" t="inlineStr">
        <is>
          <t>Lower recall activity (non-subscription)</t>
        </is>
      </c>
      <c r="B90" s="3" t="n"/>
      <c r="C90" s="30" t="n">
        <v>-15</v>
      </c>
      <c r="D90" s="30" t="n">
        <v>-3</v>
      </c>
      <c r="E90" s="3" t="n"/>
      <c r="F90" s="3" t="n"/>
      <c r="G90" s="3" t="n"/>
      <c r="H90" s="3" t="n"/>
      <c r="I90" s="3" t="n"/>
      <c r="J90" s="4" t="inlineStr">
        <is>
          <t>Form10A_2026-05-27 p350</t>
        </is>
      </c>
    </row>
    <row r="91">
      <c r="A91" s="38" t="inlineStr">
        <is>
          <t>Lower marketing services (non-subscription)</t>
        </is>
      </c>
      <c r="B91" s="3" t="n"/>
      <c r="C91" s="30" t="n">
        <v>-2</v>
      </c>
      <c r="D91" s="3" t="n"/>
      <c r="E91" s="3" t="n"/>
      <c r="F91" s="3" t="n"/>
      <c r="G91" s="3" t="n"/>
      <c r="H91" s="3" t="n"/>
      <c r="I91" s="3" t="n"/>
      <c r="J91" s="4" t="inlineStr">
        <is>
          <t>Form10A_2026-05-27 p350</t>
        </is>
      </c>
    </row>
    <row r="92">
      <c r="A92" s="38" t="inlineStr">
        <is>
          <t>Market Scan acquisition (Feb 2023) favorable revenue impact</t>
        </is>
      </c>
      <c r="B92" s="3" t="n"/>
      <c r="C92" s="30" t="n">
        <v>3</v>
      </c>
      <c r="D92" s="3" t="n"/>
      <c r="E92" s="3" t="n"/>
      <c r="F92" s="3" t="n"/>
      <c r="G92" s="3" t="n"/>
      <c r="H92" s="3" t="n"/>
      <c r="I92" s="3" t="n"/>
      <c r="J92" s="4" t="inlineStr">
        <is>
          <t>Form10A_2026-05-27 p350</t>
        </is>
      </c>
    </row>
    <row r="93">
      <c r="A93" s="38" t="inlineStr">
        <is>
          <t>Catalyst for Aftersales disposition (Aug 2023) unfavorable revenue impact</t>
        </is>
      </c>
      <c r="B93" s="3" t="n"/>
      <c r="C93" s="30" t="n">
        <v>-5</v>
      </c>
      <c r="D93" s="3" t="n"/>
      <c r="E93" s="3" t="n"/>
      <c r="F93" s="3" t="n"/>
      <c r="G93" s="3" t="n"/>
      <c r="H93" s="3" t="n"/>
      <c r="I93" s="3" t="n"/>
      <c r="J93" s="4" t="inlineStr">
        <is>
          <t>Form10A_2026-05-27 p350</t>
        </is>
      </c>
    </row>
    <row r="94">
      <c r="A94" s="14" t="inlineStr">
        <is>
          <t>Form10A_2026-05-27 · MD&amp;A Segment drivers (Q1)</t>
        </is>
      </c>
      <c r="B94" s="15" t="n"/>
      <c r="C94" s="15" t="n"/>
      <c r="D94" s="15" t="n"/>
      <c r="E94" s="15" t="n"/>
      <c r="F94" s="15" t="n"/>
      <c r="G94" s="15" t="n"/>
      <c r="H94" s="15" t="n"/>
      <c r="I94" s="15" t="n"/>
      <c r="J94" s="15" t="n"/>
    </row>
    <row r="95">
      <c r="A95" s="38" t="inlineStr">
        <is>
          <t>CARFAX: subscription increase from continued new business growth</t>
        </is>
      </c>
      <c r="B95" s="3" t="n"/>
      <c r="C95" s="3" t="n"/>
      <c r="D95" s="3" t="n"/>
      <c r="E95" s="3" t="n"/>
      <c r="F95" s="30" t="n">
        <v>22</v>
      </c>
      <c r="G95" s="3" t="n"/>
      <c r="H95" s="3" t="n"/>
      <c r="I95" s="3" t="n"/>
      <c r="J95" s="4" t="inlineStr">
        <is>
          <t>Form10A_2026-05-27 p354</t>
        </is>
      </c>
    </row>
    <row r="96">
      <c r="A96" s="38" t="inlineStr">
        <is>
          <t>B2B: subscription increase from continued new business growth</t>
        </is>
      </c>
      <c r="B96" s="3" t="n"/>
      <c r="C96" s="3" t="n"/>
      <c r="D96" s="3" t="n"/>
      <c r="E96" s="3" t="n"/>
      <c r="F96" s="30" t="n">
        <v>5</v>
      </c>
      <c r="G96" s="3" t="n"/>
      <c r="H96" s="3" t="n"/>
      <c r="I96" s="3" t="n"/>
      <c r="J96" s="4" t="inlineStr">
        <is>
          <t>Form10A_2026-05-27 p355</t>
        </is>
      </c>
    </row>
    <row r="97">
      <c r="A97" s="38" t="inlineStr">
        <is>
          <t>CARFAX: subscription increase from solid underwriting volumes</t>
        </is>
      </c>
      <c r="B97" s="3" t="n"/>
      <c r="C97" s="3" t="n"/>
      <c r="D97" s="3" t="n"/>
      <c r="E97" s="3" t="n"/>
      <c r="F97" s="30" t="n">
        <v>2</v>
      </c>
      <c r="G97" s="3" t="n"/>
      <c r="H97" s="3" t="n"/>
      <c r="I97" s="3" t="n"/>
      <c r="J97" s="4" t="inlineStr">
        <is>
          <t>Form10A_2026-05-27 p354</t>
        </is>
      </c>
    </row>
    <row r="98">
      <c r="A98" s="14" t="inlineStr">
        <is>
          <t>Form10A_2026-05-27 · MD&amp;A Segment drivers (FY)</t>
        </is>
      </c>
      <c r="B98" s="15" t="n"/>
      <c r="C98" s="15" t="n"/>
      <c r="D98" s="15" t="n"/>
      <c r="E98" s="15" t="n"/>
      <c r="F98" s="15" t="n"/>
      <c r="G98" s="15" t="n"/>
      <c r="H98" s="15" t="n"/>
      <c r="I98" s="15" t="n"/>
      <c r="J98" s="15" t="n"/>
    </row>
    <row r="99">
      <c r="A99" s="38" t="inlineStr">
        <is>
          <t>CARFAX: increase from continued new business growth</t>
        </is>
      </c>
      <c r="B99" s="3" t="n"/>
      <c r="C99" s="3" t="n"/>
      <c r="D99" s="30" t="n">
        <v>46</v>
      </c>
      <c r="E99" s="3" t="n"/>
      <c r="F99" s="3" t="n"/>
      <c r="G99" s="3" t="n"/>
      <c r="H99" s="3" t="n"/>
      <c r="I99" s="3" t="n"/>
      <c r="J99" s="4" t="inlineStr">
        <is>
          <t>Form10A_2026-05-27 p355</t>
        </is>
      </c>
    </row>
    <row r="100">
      <c r="A100" s="38" t="inlineStr">
        <is>
          <t>CARFAX: increase from new business growth</t>
        </is>
      </c>
      <c r="B100" s="3" t="n"/>
      <c r="C100" s="30" t="n">
        <v>54</v>
      </c>
      <c r="D100" s="3" t="n"/>
      <c r="E100" s="3" t="n"/>
      <c r="F100" s="3" t="n"/>
      <c r="G100" s="3" t="n"/>
      <c r="H100" s="3" t="n"/>
      <c r="I100" s="3" t="n"/>
      <c r="J100" s="4" t="inlineStr">
        <is>
          <t>Form10A_2026-05-27 p356</t>
        </is>
      </c>
    </row>
    <row r="101">
      <c r="A101" s="38" t="inlineStr">
        <is>
          <t>B2B: subscription increase from continued new business growth</t>
        </is>
      </c>
      <c r="B101" s="3" t="n"/>
      <c r="C101" s="3" t="n"/>
      <c r="D101" s="30" t="n">
        <v>30</v>
      </c>
      <c r="E101" s="3" t="n"/>
      <c r="F101" s="3" t="n"/>
      <c r="G101" s="3" t="n"/>
      <c r="H101" s="3" t="n"/>
      <c r="I101" s="3" t="n"/>
      <c r="J101" s="4" t="inlineStr">
        <is>
          <t>Form10A_2026-05-27 p356</t>
        </is>
      </c>
    </row>
    <row r="102">
      <c r="A102" s="38" t="inlineStr">
        <is>
          <t>CARFAX: increase from solid underwriting volumes</t>
        </is>
      </c>
      <c r="B102" s="3" t="n"/>
      <c r="C102" s="3" t="n"/>
      <c r="D102" s="30" t="n">
        <v>13</v>
      </c>
      <c r="E102" s="3" t="n"/>
      <c r="F102" s="3" t="n"/>
      <c r="G102" s="3" t="n"/>
      <c r="H102" s="3" t="n"/>
      <c r="I102" s="3" t="n"/>
      <c r="J102" s="4" t="inlineStr">
        <is>
          <t>Form10A_2026-05-27 p355</t>
        </is>
      </c>
    </row>
    <row r="103">
      <c r="A103" s="38" t="inlineStr">
        <is>
          <t>CARFAX: increase from strong performance from insurance products</t>
        </is>
      </c>
      <c r="B103" s="3" t="n"/>
      <c r="C103" s="30" t="n">
        <v>17</v>
      </c>
      <c r="D103" s="3" t="n"/>
      <c r="E103" s="3" t="n"/>
      <c r="F103" s="3" t="n"/>
      <c r="G103" s="3" t="n"/>
      <c r="H103" s="3" t="n"/>
      <c r="I103" s="3" t="n"/>
      <c r="J103" s="4" t="inlineStr">
        <is>
          <t>Form10A_2026-05-27 p356</t>
        </is>
      </c>
    </row>
    <row r="104">
      <c r="A104" s="14" t="inlineStr">
        <is>
          <t>Form10A_2026-05-27 · Interim Note 1 Unearned revenue / RPO</t>
        </is>
      </c>
      <c r="B104" s="15" t="n"/>
      <c r="C104" s="15" t="n"/>
      <c r="D104" s="15" t="n"/>
      <c r="E104" s="15" t="n"/>
      <c r="F104" s="15" t="n"/>
      <c r="G104" s="15" t="n"/>
      <c r="H104" s="15" t="n"/>
      <c r="I104" s="15" t="n"/>
      <c r="J104" s="15" t="n"/>
    </row>
    <row r="105">
      <c r="A105" s="38" t="inlineStr">
        <is>
          <t>Revenues recognized included in unearned revenue balance at beginning of period</t>
        </is>
      </c>
      <c r="B105" s="3" t="n"/>
      <c r="C105" s="3" t="n"/>
      <c r="D105" s="3" t="n"/>
      <c r="E105" s="3" t="n"/>
      <c r="F105" s="30" t="n">
        <v>38</v>
      </c>
      <c r="G105" s="3" t="n"/>
      <c r="H105" s="3" t="n"/>
      <c r="I105" s="3" t="n"/>
      <c r="J105" s="4" t="inlineStr">
        <is>
          <t>Form10A_2026-05-27 p428</t>
        </is>
      </c>
    </row>
    <row r="106">
      <c r="A106" s="38" t="inlineStr">
        <is>
          <t>Remaining performance obligations (aggregate transaction price)</t>
        </is>
      </c>
      <c r="B106" s="3" t="n"/>
      <c r="C106" s="3" t="n"/>
      <c r="D106" s="3" t="n"/>
      <c r="E106" s="3" t="n"/>
      <c r="F106" s="30" t="n">
        <v>92</v>
      </c>
      <c r="G106" s="3" t="n"/>
      <c r="H106" s="3" t="n"/>
      <c r="I106" s="3" t="n"/>
      <c r="J106" s="4" t="inlineStr">
        <is>
          <t>Form10A_2026-05-27 p429</t>
        </is>
      </c>
    </row>
    <row r="107">
      <c r="A107" s="14" t="inlineStr">
        <is>
          <t>Form10A_2026-05-27 · Interim Note 5 Stock-based compensation</t>
        </is>
      </c>
      <c r="B107" s="15" t="n"/>
      <c r="C107" s="15" t="n"/>
      <c r="D107" s="15" t="n"/>
      <c r="E107" s="15" t="n"/>
      <c r="F107" s="15" t="n"/>
      <c r="G107" s="15" t="n"/>
      <c r="H107" s="15" t="n"/>
      <c r="I107" s="15" t="n"/>
      <c r="J107" s="15" t="n"/>
    </row>
    <row r="108">
      <c r="A108" s="38" t="inlineStr">
        <is>
          <t>Total stock-based compensation expense (dedicated Mobility employees)</t>
        </is>
      </c>
      <c r="B108" s="3" t="n"/>
      <c r="C108" s="3" t="n"/>
      <c r="D108" s="3" t="n"/>
      <c r="E108" s="30" t="n">
        <v>5</v>
      </c>
      <c r="F108" s="30" t="n">
        <v>4</v>
      </c>
      <c r="G108" s="3" t="n"/>
      <c r="H108" s="3" t="n"/>
      <c r="I108" s="3" t="n"/>
      <c r="J108" s="4" t="inlineStr">
        <is>
          <t>Form10A_2026-05-27 p430</t>
        </is>
      </c>
    </row>
    <row r="109">
      <c r="A109" s="14" t="inlineStr">
        <is>
          <t>Form10A_2026-05-27 · Audited Note 7 Restructuring - workforce reductions</t>
        </is>
      </c>
      <c r="B109" s="15" t="n"/>
      <c r="C109" s="15" t="n"/>
      <c r="D109" s="15" t="n"/>
      <c r="E109" s="15" t="n"/>
      <c r="F109" s="15" t="n"/>
      <c r="G109" s="15" t="n"/>
      <c r="H109" s="15" t="n"/>
      <c r="I109" s="15" t="n"/>
      <c r="J109" s="15" t="n"/>
    </row>
    <row r="110">
      <c r="A110" s="38" t="inlineStr">
        <is>
          <t>Workforce reductions (approximately, positions)</t>
        </is>
      </c>
      <c r="B110" s="3" t="n"/>
      <c r="C110" s="40" t="n">
        <v>40</v>
      </c>
      <c r="D110" s="40" t="n">
        <v>60</v>
      </c>
      <c r="E110" s="3" t="n"/>
      <c r="F110" s="3" t="n"/>
      <c r="G110" s="3" t="n"/>
      <c r="H110" s="3" t="n"/>
      <c r="I110" s="3" t="n"/>
      <c r="J110" s="4" t="inlineStr">
        <is>
          <t>Form10A_2026-05-27 p460</t>
        </is>
      </c>
    </row>
    <row r="111">
      <c r="A111" s="14" t="inlineStr">
        <is>
          <t>Form10A_2026-05-27 · Audited Note 6 Stock-based compensation (dedicated Mobility employees)</t>
        </is>
      </c>
      <c r="B111" s="15" t="n"/>
      <c r="C111" s="15" t="n"/>
      <c r="D111" s="15" t="n"/>
      <c r="E111" s="15" t="n"/>
      <c r="F111" s="15" t="n"/>
      <c r="G111" s="15" t="n"/>
      <c r="H111" s="15" t="n"/>
      <c r="I111" s="15" t="n"/>
      <c r="J111" s="15" t="n"/>
    </row>
    <row r="112">
      <c r="A112" s="38" t="inlineStr">
        <is>
          <t>Restricted stock and other stock - based awards expense</t>
        </is>
      </c>
      <c r="B112" s="30" t="n">
        <v>20</v>
      </c>
      <c r="C112" s="30" t="n">
        <v>28</v>
      </c>
      <c r="D112" s="30" t="n">
        <v>22</v>
      </c>
      <c r="E112" s="3" t="n"/>
      <c r="F112" s="3" t="n"/>
      <c r="G112" s="3" t="n"/>
      <c r="H112" s="3" t="n"/>
      <c r="I112" s="3" t="n"/>
      <c r="J112" s="4" t="inlineStr">
        <is>
          <t>Form10A_2026-05-27 p459</t>
        </is>
      </c>
    </row>
    <row r="113">
      <c r="A113" s="38" t="inlineStr">
        <is>
          <t>Tax benefit</t>
        </is>
      </c>
      <c r="B113" s="30" t="n">
        <v>6</v>
      </c>
      <c r="C113" s="30" t="n">
        <v>8</v>
      </c>
      <c r="D113" s="30" t="n">
        <v>5</v>
      </c>
      <c r="E113" s="3" t="n"/>
      <c r="F113" s="3" t="n"/>
      <c r="G113" s="3" t="n"/>
      <c r="H113" s="3" t="n"/>
      <c r="I113" s="3" t="n"/>
      <c r="J113" s="4" t="inlineStr">
        <is>
          <t>Form10A_2026-05-27 p459</t>
        </is>
      </c>
    </row>
    <row r="114">
      <c r="A114" s="14" t="inlineStr">
        <is>
          <t>Form10A_2026-05-27 · Summary - Our Company (as of December 31, 2025)</t>
        </is>
      </c>
      <c r="B114" s="15" t="n"/>
      <c r="C114" s="15" t="n"/>
      <c r="D114" s="15" t="n"/>
      <c r="E114" s="15" t="n"/>
      <c r="F114" s="15" t="n"/>
      <c r="G114" s="15" t="n"/>
      <c r="H114" s="15" t="n"/>
      <c r="I114" s="15" t="n"/>
      <c r="J114" s="15" t="n"/>
    </row>
    <row r="115">
      <c r="A115" s="38" t="inlineStr">
        <is>
          <t>Contributory network sources (more than)</t>
        </is>
      </c>
      <c r="B115" s="3" t="n"/>
      <c r="C115" s="3" t="n"/>
      <c r="D115" s="40" t="n">
        <v>177000</v>
      </c>
      <c r="E115" s="3" t="n"/>
      <c r="F115" s="3" t="n"/>
      <c r="G115" s="3" t="n"/>
      <c r="H115" s="3" t="n"/>
      <c r="I115" s="3" t="n"/>
      <c r="J115" s="4" t="inlineStr">
        <is>
          <t>Form10A_2026-05-27 p262</t>
        </is>
      </c>
    </row>
    <row r="116">
      <c r="A116" s="38" t="inlineStr">
        <is>
          <t>Top 40 global automakers coverage of global production (internal data)</t>
        </is>
      </c>
      <c r="B116" s="3" t="n"/>
      <c r="C116" s="3" t="n"/>
      <c r="D116" s="41" t="n">
        <v>96</v>
      </c>
      <c r="E116" s="3" t="n"/>
      <c r="F116" s="3" t="n"/>
      <c r="G116" s="3" t="n"/>
      <c r="H116" s="3" t="n"/>
      <c r="I116" s="3" t="n"/>
      <c r="J116" s="4" t="inlineStr">
        <is>
          <t>Form10A_2026-05-27 p262</t>
        </is>
      </c>
    </row>
    <row r="117">
      <c r="A117" s="38" t="inlineStr">
        <is>
          <t>Dealer customers (more than)</t>
        </is>
      </c>
      <c r="B117" s="3" t="n"/>
      <c r="C117" s="3" t="n"/>
      <c r="D117" s="40" t="n">
        <v>40000</v>
      </c>
      <c r="E117" s="3" t="n"/>
      <c r="F117" s="3" t="n"/>
      <c r="G117" s="3" t="n"/>
      <c r="H117" s="3" t="n"/>
      <c r="I117" s="3" t="n"/>
      <c r="J117" s="4" t="inlineStr">
        <is>
          <t>Form10A_2026-05-27 p262</t>
        </is>
      </c>
    </row>
    <row r="118">
      <c r="A118" s="38" t="inlineStr">
        <is>
          <t>Global automotive market value (approximately, management estimate, printed $8.0 trillion)</t>
        </is>
      </c>
      <c r="B118" s="3" t="n"/>
      <c r="C118" s="3" t="n"/>
      <c r="D118" s="42" t="inlineStr">
        <is>
          <t>8.0tn</t>
        </is>
      </c>
      <c r="E118" s="3" t="n"/>
      <c r="F118" s="3" t="n"/>
      <c r="G118" s="3" t="n"/>
      <c r="H118" s="3" t="n"/>
      <c r="I118" s="3" t="n"/>
      <c r="J118" s="4" t="inlineStr">
        <is>
          <t>Form10A_2026-05-27 p262</t>
        </is>
      </c>
    </row>
    <row r="119">
      <c r="A119" s="14" t="inlineStr">
        <is>
          <t>Form10A_2026-05-27 · Summary - CARFAX (as of / twelve months ended December 31, 2025)</t>
        </is>
      </c>
      <c r="B119" s="15" t="n"/>
      <c r="C119" s="15" t="n"/>
      <c r="D119" s="15" t="n"/>
      <c r="E119" s="15" t="n"/>
      <c r="F119" s="15" t="n"/>
      <c r="G119" s="15" t="n"/>
      <c r="H119" s="15" t="n"/>
      <c r="I119" s="15" t="n"/>
      <c r="J119" s="15" t="n"/>
    </row>
    <row r="120">
      <c r="A120" s="38" t="inlineStr">
        <is>
          <t>CARFAX average in-market awareness (survey of in-market consumers)</t>
        </is>
      </c>
      <c r="B120" s="3" t="n"/>
      <c r="C120" s="3" t="n"/>
      <c r="D120" s="41" t="n">
        <v>96</v>
      </c>
      <c r="E120" s="3" t="n"/>
      <c r="F120" s="3" t="n"/>
      <c r="G120" s="3" t="n"/>
      <c r="H120" s="3" t="n"/>
      <c r="I120" s="3" t="n"/>
      <c r="J120" s="4" t="inlineStr">
        <is>
          <t>Form10A_2026-05-27 p263</t>
        </is>
      </c>
    </row>
    <row r="121">
      <c r="A121" s="38" t="inlineStr">
        <is>
          <t>CARFAX average mascot recognition (Car Fox)</t>
        </is>
      </c>
      <c r="B121" s="3" t="n"/>
      <c r="C121" s="3" t="n"/>
      <c r="D121" s="41" t="n">
        <v>85</v>
      </c>
      <c r="E121" s="3" t="n"/>
      <c r="F121" s="3" t="n"/>
      <c r="G121" s="3" t="n"/>
      <c r="H121" s="3" t="n"/>
      <c r="I121" s="3" t="n"/>
      <c r="J121" s="4" t="inlineStr">
        <is>
          <t>Form10A_2026-05-27 p263</t>
        </is>
      </c>
    </row>
    <row r="122">
      <c r="A122" s="38" t="inlineStr">
        <is>
          <t>CARFAX vehicle history records (more than)</t>
        </is>
      </c>
      <c r="B122" s="3" t="n"/>
      <c r="C122" s="3" t="n"/>
      <c r="D122" s="40" t="n">
        <v>38000000000</v>
      </c>
      <c r="E122" s="3" t="n"/>
      <c r="F122" s="3" t="n"/>
      <c r="G122" s="3" t="n"/>
      <c r="H122" s="3" t="n"/>
      <c r="I122" s="3" t="n"/>
      <c r="J122" s="4" t="inlineStr">
        <is>
          <t>Form10A_2026-05-27 p263</t>
        </is>
      </c>
    </row>
    <row r="123">
      <c r="A123" s="38" t="inlineStr">
        <is>
          <t>CARFAX dealers and service shops in data network (more than)</t>
        </is>
      </c>
      <c r="B123" s="3" t="n"/>
      <c r="C123" s="3" t="n"/>
      <c r="D123" s="40" t="n">
        <v>92000</v>
      </c>
      <c r="E123" s="3" t="n"/>
      <c r="F123" s="3" t="n"/>
      <c r="G123" s="3" t="n"/>
      <c r="H123" s="3" t="n"/>
      <c r="I123" s="3" t="n"/>
      <c r="J123" s="4" t="inlineStr">
        <is>
          <t>Form10A_2026-05-27 p263</t>
        </is>
      </c>
    </row>
    <row r="124">
      <c r="A124" s="38" t="inlineStr">
        <is>
          <t>Police agencies (data partnerships)</t>
        </is>
      </c>
      <c r="B124" s="3" t="n"/>
      <c r="C124" s="3" t="n"/>
      <c r="D124" s="40" t="n">
        <v>6300</v>
      </c>
      <c r="E124" s="3" t="n"/>
      <c r="F124" s="3" t="n"/>
      <c r="G124" s="3" t="n"/>
      <c r="H124" s="3" t="n"/>
      <c r="I124" s="3" t="n"/>
      <c r="J124" s="4" t="inlineStr">
        <is>
          <t>Form10A_2026-05-27 p263</t>
        </is>
      </c>
    </row>
    <row r="125">
      <c r="A125" s="38" t="inlineStr">
        <is>
          <t>OEMs (data partnerships)</t>
        </is>
      </c>
      <c r="B125" s="3" t="n"/>
      <c r="C125" s="3" t="n"/>
      <c r="D125" s="40" t="n">
        <v>36</v>
      </c>
      <c r="E125" s="3" t="n"/>
      <c r="F125" s="3" t="n"/>
      <c r="G125" s="3" t="n"/>
      <c r="H125" s="3" t="n"/>
      <c r="I125" s="3" t="n"/>
      <c r="J125" s="4" t="inlineStr">
        <is>
          <t>Form10A_2026-05-27 p263</t>
        </is>
      </c>
    </row>
    <row r="126">
      <c r="A126" s="38" t="inlineStr">
        <is>
          <t>Car Care consumer audience (more than)</t>
        </is>
      </c>
      <c r="B126" s="3" t="n"/>
      <c r="C126" s="3" t="n"/>
      <c r="D126" s="40" t="n">
        <v>53000000</v>
      </c>
      <c r="E126" s="3" t="n"/>
      <c r="F126" s="3" t="n"/>
      <c r="G126" s="3" t="n"/>
      <c r="H126" s="3" t="n"/>
      <c r="I126" s="3" t="n"/>
      <c r="J126" s="4" t="inlineStr">
        <is>
          <t>Form10A_2026-05-27 p263</t>
        </is>
      </c>
    </row>
    <row r="127">
      <c r="A127" s="38" t="inlineStr">
        <is>
          <t>Monthly average unique visitors to CARFAX U.S. website and apps (approximately)</t>
        </is>
      </c>
      <c r="B127" s="3" t="n"/>
      <c r="C127" s="3" t="n"/>
      <c r="D127" s="40" t="n">
        <v>23000000</v>
      </c>
      <c r="E127" s="3" t="n"/>
      <c r="F127" s="3" t="n"/>
      <c r="G127" s="3" t="n"/>
      <c r="H127" s="3" t="n"/>
      <c r="I127" s="3" t="n"/>
      <c r="J127" s="4" t="inlineStr">
        <is>
          <t>Form10A_2026-05-27 p263</t>
        </is>
      </c>
    </row>
    <row r="128">
      <c r="A128" s="38" t="inlineStr">
        <is>
          <t>Monthly average CARFAX vehicle history report views (more than)</t>
        </is>
      </c>
      <c r="B128" s="3" t="n"/>
      <c r="C128" s="3" t="n"/>
      <c r="D128" s="40" t="n">
        <v>28000000</v>
      </c>
      <c r="E128" s="3" t="n"/>
      <c r="F128" s="3" t="n"/>
      <c r="G128" s="3" t="n"/>
      <c r="H128" s="3" t="n"/>
      <c r="I128" s="3" t="n"/>
      <c r="J128" s="4" t="inlineStr">
        <is>
          <t>Form10A_2026-05-27 p263</t>
        </is>
      </c>
    </row>
    <row r="129">
      <c r="A129" s="38" t="inlineStr">
        <is>
          <t>CARFAX dealer customers (over)</t>
        </is>
      </c>
      <c r="B129" s="3" t="n"/>
      <c r="C129" s="3" t="n"/>
      <c r="D129" s="40" t="n">
        <v>40000</v>
      </c>
      <c r="E129" s="3" t="n"/>
      <c r="F129" s="3" t="n"/>
      <c r="G129" s="3" t="n"/>
      <c r="H129" s="3" t="n"/>
      <c r="I129" s="3" t="n"/>
      <c r="J129" s="4" t="inlineStr">
        <is>
          <t>Form10A_2026-05-27 p263</t>
        </is>
      </c>
    </row>
    <row r="130">
      <c r="A130" s="14" t="inlineStr">
        <is>
          <t>Form10A_2026-05-27 · Summary - CARFAX / B2B (as of December 31, 2025)</t>
        </is>
      </c>
      <c r="B130" s="15" t="n"/>
      <c r="C130" s="15" t="n"/>
      <c r="D130" s="15" t="n"/>
      <c r="E130" s="15" t="n"/>
      <c r="F130" s="15" t="n"/>
      <c r="G130" s="15" t="n"/>
      <c r="H130" s="15" t="n"/>
      <c r="I130" s="15" t="n"/>
      <c r="J130" s="15" t="n"/>
    </row>
    <row r="131">
      <c r="A131" s="38" t="inlineStr">
        <is>
          <t>CARFAX stake in New General Company (NGC) (approximately)</t>
        </is>
      </c>
      <c r="B131" s="3" t="n"/>
      <c r="C131" s="3" t="n"/>
      <c r="D131" s="41" t="n">
        <v>35</v>
      </c>
      <c r="E131" s="3" t="n"/>
      <c r="F131" s="3" t="n"/>
      <c r="G131" s="3" t="n"/>
      <c r="H131" s="3" t="n"/>
      <c r="I131" s="3" t="n"/>
      <c r="J131" s="4" t="inlineStr">
        <is>
          <t>Form10A_2026-05-27 p264</t>
        </is>
      </c>
    </row>
    <row r="132">
      <c r="A132" s="38" t="inlineStr">
        <is>
          <t>Dealerships using Market Scan pricing engine (approximately)</t>
        </is>
      </c>
      <c r="B132" s="3" t="n"/>
      <c r="C132" s="3" t="n"/>
      <c r="D132" s="40" t="n">
        <v>10500</v>
      </c>
      <c r="E132" s="3" t="n"/>
      <c r="F132" s="3" t="n"/>
      <c r="G132" s="3" t="n"/>
      <c r="H132" s="3" t="n"/>
      <c r="I132" s="3" t="n"/>
      <c r="J132" s="4" t="inlineStr">
        <is>
          <t>Form10A_2026-05-27 p264</t>
        </is>
      </c>
    </row>
    <row r="133">
      <c r="A133" s="14" t="inlineStr">
        <is>
          <t>Form10A_2026-05-27 · Summary - B2B Marketing &amp; Sales / Strategy &amp; Planning (as of December 31, 2025)</t>
        </is>
      </c>
      <c r="B133" s="15" t="n"/>
      <c r="C133" s="15" t="n"/>
      <c r="D133" s="15" t="n"/>
      <c r="E133" s="15" t="n"/>
      <c r="F133" s="15" t="n"/>
      <c r="G133" s="15" t="n"/>
      <c r="H133" s="15" t="n"/>
      <c r="I133" s="15" t="n"/>
      <c r="J133" s="15" t="n"/>
    </row>
    <row r="134">
      <c r="A134" s="38" t="inlineStr">
        <is>
          <t>Recall VIN database vehicle owner records (over)</t>
        </is>
      </c>
      <c r="B134" s="3" t="n"/>
      <c r="C134" s="3" t="n"/>
      <c r="D134" s="40" t="n">
        <v>13000000000</v>
      </c>
      <c r="E134" s="3" t="n"/>
      <c r="F134" s="3" t="n"/>
      <c r="G134" s="3" t="n"/>
      <c r="H134" s="3" t="n"/>
      <c r="I134" s="3" t="n"/>
      <c r="J134" s="4" t="inlineStr">
        <is>
          <t>Form10A_2026-05-27 p265</t>
        </is>
      </c>
    </row>
    <row r="135">
      <c r="A135" s="38" t="inlineStr">
        <is>
          <t>VIN Solutions/EEQ early deployment participation</t>
        </is>
      </c>
      <c r="B135" s="3" t="n"/>
      <c r="C135" s="3" t="n"/>
      <c r="D135" s="41" t="n">
        <v>98</v>
      </c>
      <c r="E135" s="3" t="n"/>
      <c r="F135" s="3" t="n"/>
      <c r="G135" s="3" t="n"/>
      <c r="H135" s="3" t="n"/>
      <c r="I135" s="3" t="n"/>
      <c r="J135" s="4" t="inlineStr">
        <is>
          <t>Form10A_2026-05-27 p265</t>
        </is>
      </c>
    </row>
    <row r="136">
      <c r="A136" s="38" t="inlineStr">
        <is>
          <t>Strategy &amp; Planning: share of top 40 global carmakers served (production volume)</t>
        </is>
      </c>
      <c r="B136" s="3" t="n"/>
      <c r="C136" s="3" t="n"/>
      <c r="D136" s="41" t="n">
        <v>100</v>
      </c>
      <c r="E136" s="3" t="n"/>
      <c r="F136" s="3" t="n"/>
      <c r="G136" s="3" t="n"/>
      <c r="H136" s="3" t="n"/>
      <c r="I136" s="3" t="n"/>
      <c r="J136" s="4" t="inlineStr">
        <is>
          <t>Form10A_2026-05-27 p265</t>
        </is>
      </c>
    </row>
    <row r="137">
      <c r="A137" s="38" t="inlineStr">
        <is>
          <t>Strategy &amp; Planning: share of top 100 automotive suppliers served (revenue)</t>
        </is>
      </c>
      <c r="B137" s="3" t="n"/>
      <c r="C137" s="3" t="n"/>
      <c r="D137" s="41" t="n">
        <v>94</v>
      </c>
      <c r="E137" s="3" t="n"/>
      <c r="F137" s="3" t="n"/>
      <c r="G137" s="3" t="n"/>
      <c r="H137" s="3" t="n"/>
      <c r="I137" s="3" t="n"/>
      <c r="J137" s="4" t="inlineStr">
        <is>
          <t>Form10A_2026-05-27 p265</t>
        </is>
      </c>
    </row>
    <row r="138">
      <c r="A138" s="38" t="inlineStr">
        <is>
          <t>Strategy &amp; Planning: share of top 10 investment banks served (revenue)</t>
        </is>
      </c>
      <c r="B138" s="3" t="n"/>
      <c r="C138" s="3" t="n"/>
      <c r="D138" s="41" t="n">
        <v>100</v>
      </c>
      <c r="E138" s="3" t="n"/>
      <c r="F138" s="3" t="n"/>
      <c r="G138" s="3" t="n"/>
      <c r="H138" s="3" t="n"/>
      <c r="I138" s="3" t="n"/>
      <c r="J138" s="4" t="inlineStr">
        <is>
          <t>Form10A_2026-05-27 p265</t>
        </is>
      </c>
    </row>
    <row r="139">
      <c r="A139" s="38" t="inlineStr">
        <is>
          <t>Rows of actively updated data (over)</t>
        </is>
      </c>
      <c r="B139" s="3" t="n"/>
      <c r="C139" s="3" t="n"/>
      <c r="D139" s="40" t="n">
        <v>80000000</v>
      </c>
      <c r="E139" s="3" t="n"/>
      <c r="F139" s="3" t="n"/>
      <c r="G139" s="3" t="n"/>
      <c r="H139" s="3" t="n"/>
      <c r="I139" s="3" t="n"/>
      <c r="J139" s="4" t="inlineStr">
        <is>
          <t>Form10A_2026-05-27 p265</t>
        </is>
      </c>
    </row>
    <row r="140">
      <c r="A140" s="38" t="inlineStr">
        <is>
          <t>Data attributes per vehicle (more than)</t>
        </is>
      </c>
      <c r="B140" s="3" t="n"/>
      <c r="C140" s="3" t="n"/>
      <c r="D140" s="40" t="n">
        <v>2000</v>
      </c>
      <c r="E140" s="3" t="n"/>
      <c r="F140" s="3" t="n"/>
      <c r="G140" s="3" t="n"/>
      <c r="H140" s="3" t="n"/>
      <c r="I140" s="3" t="n"/>
      <c r="J140" s="4" t="inlineStr">
        <is>
          <t>Form10A_2026-05-27 p265</t>
        </is>
      </c>
    </row>
    <row r="141">
      <c r="A141" s="38" t="inlineStr">
        <is>
          <t>Forecasting analyst team (experts)</t>
        </is>
      </c>
      <c r="B141" s="3" t="n"/>
      <c r="C141" s="3" t="n"/>
      <c r="D141" s="40" t="n">
        <v>195</v>
      </c>
      <c r="E141" s="3" t="n"/>
      <c r="F141" s="3" t="n"/>
      <c r="G141" s="3" t="n"/>
      <c r="H141" s="3" t="n"/>
      <c r="I141" s="3" t="n"/>
      <c r="J141" s="4" t="inlineStr">
        <is>
          <t>Form10A_2026-05-27 p265</t>
        </is>
      </c>
    </row>
    <row r="142">
      <c r="A142" s="38" t="inlineStr">
        <is>
          <t>Sales country markets covered (over)</t>
        </is>
      </c>
      <c r="B142" s="3" t="n"/>
      <c r="C142" s="3" t="n"/>
      <c r="D142" s="40" t="n">
        <v>145</v>
      </c>
      <c r="E142" s="3" t="n"/>
      <c r="F142" s="3" t="n"/>
      <c r="G142" s="3" t="n"/>
      <c r="H142" s="3" t="n"/>
      <c r="I142" s="3" t="n"/>
      <c r="J142" s="4" t="inlineStr">
        <is>
          <t>Form10A_2026-05-27 p265</t>
        </is>
      </c>
    </row>
    <row r="143">
      <c r="A143" s="38" t="inlineStr">
        <is>
          <t>Vehicle variants covered (over)</t>
        </is>
      </c>
      <c r="B143" s="3" t="n"/>
      <c r="C143" s="3" t="n"/>
      <c r="D143" s="40" t="n">
        <v>85000</v>
      </c>
      <c r="E143" s="3" t="n"/>
      <c r="F143" s="3" t="n"/>
      <c r="G143" s="3" t="n"/>
      <c r="H143" s="3" t="n"/>
      <c r="I143" s="3" t="n"/>
      <c r="J143" s="4" t="inlineStr">
        <is>
          <t>Form10A_2026-05-27 p265</t>
        </is>
      </c>
    </row>
    <row r="144">
      <c r="A144" s="38" t="inlineStr">
        <is>
          <t>Production plants covered (approximately)</t>
        </is>
      </c>
      <c r="B144" s="3" t="n"/>
      <c r="C144" s="3" t="n"/>
      <c r="D144" s="40" t="n">
        <v>990</v>
      </c>
      <c r="E144" s="3" t="n"/>
      <c r="F144" s="3" t="n"/>
      <c r="G144" s="3" t="n"/>
      <c r="H144" s="3" t="n"/>
      <c r="I144" s="3" t="n"/>
      <c r="J144" s="4" t="inlineStr">
        <is>
          <t>Form10A_2026-05-27 p265</t>
        </is>
      </c>
    </row>
    <row r="145">
      <c r="A145" s="38" t="inlineStr">
        <is>
          <t>Supplier plant locations (over)</t>
        </is>
      </c>
      <c r="B145" s="3" t="n"/>
      <c r="C145" s="3" t="n"/>
      <c r="D145" s="40" t="n">
        <v>2900</v>
      </c>
      <c r="E145" s="3" t="n"/>
      <c r="F145" s="3" t="n"/>
      <c r="G145" s="3" t="n"/>
      <c r="H145" s="3" t="n"/>
      <c r="I145" s="3" t="n"/>
      <c r="J145" s="4" t="inlineStr">
        <is>
          <t>Form10A_2026-05-27 p265</t>
        </is>
      </c>
    </row>
    <row r="146">
      <c r="A146" s="38" t="inlineStr">
        <is>
          <t>Technologies mapped (over)</t>
        </is>
      </c>
      <c r="B146" s="3" t="n"/>
      <c r="C146" s="3" t="n"/>
      <c r="D146" s="40" t="n">
        <v>680</v>
      </c>
      <c r="E146" s="3" t="n"/>
      <c r="F146" s="3" t="n"/>
      <c r="G146" s="3" t="n"/>
      <c r="H146" s="3" t="n"/>
      <c r="I146" s="3" t="n"/>
      <c r="J146" s="4" t="inlineStr">
        <is>
          <t>Form10A_2026-05-27 p265</t>
        </is>
      </c>
    </row>
    <row r="147">
      <c r="A147" s="38" t="inlineStr">
        <is>
          <t>Suppliers mapped (over)</t>
        </is>
      </c>
      <c r="B147" s="3" t="n"/>
      <c r="C147" s="3" t="n"/>
      <c r="D147" s="40" t="n">
        <v>4400</v>
      </c>
      <c r="E147" s="3" t="n"/>
      <c r="F147" s="3" t="n"/>
      <c r="G147" s="3" t="n"/>
      <c r="H147" s="3" t="n"/>
      <c r="I147" s="3" t="n"/>
      <c r="J147" s="4" t="inlineStr">
        <is>
          <t>Form10A_2026-05-27 p265</t>
        </is>
      </c>
    </row>
    <row r="148">
      <c r="A148" s="38" t="inlineStr">
        <is>
          <t>Global Reporting countries tracked</t>
        </is>
      </c>
      <c r="B148" s="3" t="n"/>
      <c r="C148" s="3" t="n"/>
      <c r="D148" s="40" t="n">
        <v>100</v>
      </c>
      <c r="E148" s="3" t="n"/>
      <c r="F148" s="3" t="n"/>
      <c r="G148" s="3" t="n"/>
      <c r="H148" s="3" t="n"/>
      <c r="I148" s="3" t="n"/>
      <c r="J148" s="4" t="inlineStr">
        <is>
          <t>Form10A_2026-05-27 p265</t>
        </is>
      </c>
    </row>
    <row r="149">
      <c r="A149" s="14" t="inlineStr">
        <is>
          <t>Form10A_2026-05-27 · Summary - B2B / Industry (as of December 31, 2025)</t>
        </is>
      </c>
      <c r="B149" s="15" t="n"/>
      <c r="C149" s="15" t="n"/>
      <c r="D149" s="15" t="n"/>
      <c r="E149" s="15" t="n"/>
      <c r="F149" s="15" t="n"/>
      <c r="G149" s="15" t="n"/>
      <c r="H149" s="15" t="n"/>
      <c r="I149" s="15" t="n"/>
      <c r="J149" s="15" t="n"/>
    </row>
    <row r="150">
      <c r="A150" s="38" t="inlineStr">
        <is>
          <t>PIQ supply chain and technology datasets coverage of vehicle value</t>
        </is>
      </c>
      <c r="B150" s="3" t="n"/>
      <c r="C150" s="3" t="n"/>
      <c r="D150" s="41" t="n">
        <v>60</v>
      </c>
      <c r="E150" s="3" t="n"/>
      <c r="F150" s="3" t="n"/>
      <c r="G150" s="3" t="n"/>
      <c r="H150" s="3" t="n"/>
      <c r="I150" s="3" t="n"/>
      <c r="J150" s="4" t="inlineStr">
        <is>
          <t>Form10A_2026-05-27 p266</t>
        </is>
      </c>
    </row>
    <row r="151">
      <c r="A151" s="38" t="inlineStr">
        <is>
          <t>Ownership of Digital Automotive (DA) (approximately)</t>
        </is>
      </c>
      <c r="B151" s="3" t="n"/>
      <c r="C151" s="3" t="n"/>
      <c r="D151" s="41" t="n">
        <v>25</v>
      </c>
      <c r="E151" s="3" t="n"/>
      <c r="F151" s="3" t="n"/>
      <c r="G151" s="3" t="n"/>
      <c r="H151" s="3" t="n"/>
      <c r="I151" s="3" t="n"/>
      <c r="J151" s="4" t="inlineStr">
        <is>
          <t>Form10A_2026-05-27 p266</t>
        </is>
      </c>
    </row>
    <row r="152">
      <c r="A152" s="38" t="inlineStr">
        <is>
          <t>Total Addressable Market 2025 (printed $75 and $81 billion, third-party)</t>
        </is>
      </c>
      <c r="B152" s="3" t="n"/>
      <c r="C152" s="3" t="n"/>
      <c r="D152" s="42" t="inlineStr">
        <is>
          <t>75-81bn</t>
        </is>
      </c>
      <c r="E152" s="3" t="n"/>
      <c r="F152" s="3" t="n"/>
      <c r="G152" s="3" t="n"/>
      <c r="H152" s="3" t="n"/>
      <c r="I152" s="3" t="n"/>
      <c r="J152" s="4" t="inlineStr">
        <is>
          <t>Form10A_2026-05-27 p266</t>
        </is>
      </c>
    </row>
    <row r="153">
      <c r="A153" s="38" t="inlineStr">
        <is>
          <t>Core Market TAM 2025 (printed $13-15 billion)</t>
        </is>
      </c>
      <c r="B153" s="3" t="n"/>
      <c r="C153" s="3" t="n"/>
      <c r="D153" s="42" t="inlineStr">
        <is>
          <t>13-15bn</t>
        </is>
      </c>
      <c r="E153" s="3" t="n"/>
      <c r="F153" s="3" t="n"/>
      <c r="G153" s="3" t="n"/>
      <c r="H153" s="3" t="n"/>
      <c r="I153" s="3" t="n"/>
      <c r="J153" s="4" t="inlineStr">
        <is>
          <t>Form10A_2026-05-27 p266</t>
        </is>
      </c>
    </row>
    <row r="154">
      <c r="A154" s="38" t="inlineStr">
        <is>
          <t>Extended Core Opportunities 2025 (printed $25-27 billion)</t>
        </is>
      </c>
      <c r="B154" s="3" t="n"/>
      <c r="C154" s="3" t="n"/>
      <c r="D154" s="42" t="inlineStr">
        <is>
          <t>25-27bn</t>
        </is>
      </c>
      <c r="E154" s="3" t="n"/>
      <c r="F154" s="3" t="n"/>
      <c r="G154" s="3" t="n"/>
      <c r="H154" s="3" t="n"/>
      <c r="I154" s="3" t="n"/>
      <c r="J154" s="4" t="inlineStr">
        <is>
          <t>Form10A_2026-05-27 p266</t>
        </is>
      </c>
    </row>
    <row r="155">
      <c r="A155" s="38" t="inlineStr">
        <is>
          <t>Adjacencies (printed $37-39 billion)</t>
        </is>
      </c>
      <c r="B155" s="3" t="n"/>
      <c r="C155" s="3" t="n"/>
      <c r="D155" s="42" t="inlineStr">
        <is>
          <t>37-39bn</t>
        </is>
      </c>
      <c r="E155" s="3" t="n"/>
      <c r="F155" s="3" t="n"/>
      <c r="G155" s="3" t="n"/>
      <c r="H155" s="3" t="n"/>
      <c r="I155" s="3" t="n"/>
      <c r="J155" s="4" t="inlineStr">
        <is>
          <t>Form10A_2026-05-27 p266</t>
        </is>
      </c>
    </row>
    <row r="156">
      <c r="A156" s="14" t="inlineStr">
        <is>
          <t>Form10A_2026-05-27 · Summary - Competitive strengths (as of December 31, 2025)</t>
        </is>
      </c>
      <c r="B156" s="15" t="n"/>
      <c r="C156" s="15" t="n"/>
      <c r="D156" s="15" t="n"/>
      <c r="E156" s="15" t="n"/>
      <c r="F156" s="15" t="n"/>
      <c r="G156" s="15" t="n"/>
      <c r="H156" s="15" t="n"/>
      <c r="I156" s="15" t="n"/>
      <c r="J156" s="15" t="n"/>
    </row>
    <row r="157">
      <c r="A157" s="38" t="inlineStr">
        <is>
          <t>CARFAX average unaided awareness (survey of in-market consumers)</t>
        </is>
      </c>
      <c r="B157" s="3" t="n"/>
      <c r="C157" s="3" t="n"/>
      <c r="D157" s="41" t="n">
        <v>50</v>
      </c>
      <c r="E157" s="3" t="n"/>
      <c r="F157" s="3" t="n"/>
      <c r="G157" s="3" t="n"/>
      <c r="H157" s="3" t="n"/>
      <c r="I157" s="3" t="n"/>
      <c r="J157" s="4" t="inlineStr">
        <is>
          <t>Form10A_2026-05-27 p268</t>
        </is>
      </c>
    </row>
    <row r="158">
      <c r="A158" s="38" t="inlineStr">
        <is>
          <t>Transaction records (more than)</t>
        </is>
      </c>
      <c r="B158" s="3" t="n"/>
      <c r="C158" s="3" t="n"/>
      <c r="D158" s="40" t="n">
        <v>13000000000</v>
      </c>
      <c r="E158" s="3" t="n"/>
      <c r="F158" s="3" t="n"/>
      <c r="G158" s="3" t="n"/>
      <c r="H158" s="3" t="n"/>
      <c r="I158" s="3" t="n"/>
      <c r="J158" s="4" t="inlineStr">
        <is>
          <t>Form10A_2026-05-27 p268</t>
        </is>
      </c>
    </row>
    <row r="159">
      <c r="A159" s="38" t="inlineStr">
        <is>
          <t>Unique VINs tracked (approximately)</t>
        </is>
      </c>
      <c r="B159" s="3" t="n"/>
      <c r="C159" s="3" t="n"/>
      <c r="D159" s="40" t="n">
        <v>832000000</v>
      </c>
      <c r="E159" s="3" t="n"/>
      <c r="F159" s="3" t="n"/>
      <c r="G159" s="3" t="n"/>
      <c r="H159" s="3" t="n"/>
      <c r="I159" s="3" t="n"/>
      <c r="J159" s="4" t="inlineStr">
        <is>
          <t>Form10A_2026-05-27 p268</t>
        </is>
      </c>
    </row>
    <row r="160">
      <c r="A160" s="38" t="inlineStr">
        <is>
          <t>Marketing &amp; Sales penetration of top 30 OEMs in North America</t>
        </is>
      </c>
      <c r="B160" s="3" t="n"/>
      <c r="C160" s="3" t="n"/>
      <c r="D160" s="41" t="n">
        <v>100</v>
      </c>
      <c r="E160" s="3" t="n"/>
      <c r="F160" s="3" t="n"/>
      <c r="G160" s="3" t="n"/>
      <c r="H160" s="3" t="n"/>
      <c r="I160" s="3" t="n"/>
      <c r="J160" s="4" t="inlineStr">
        <is>
          <t>Form10A_2026-05-27 p268</t>
        </is>
      </c>
    </row>
    <row r="161">
      <c r="A161" s="38" t="inlineStr">
        <is>
          <t>Strategy &amp; Planning share of top 40 automotive suppliers served</t>
        </is>
      </c>
      <c r="B161" s="3" t="n"/>
      <c r="C161" s="3" t="n"/>
      <c r="D161" s="41" t="n">
        <v>98</v>
      </c>
      <c r="E161" s="3" t="n"/>
      <c r="F161" s="3" t="n"/>
      <c r="G161" s="3" t="n"/>
      <c r="H161" s="3" t="n"/>
      <c r="I161" s="3" t="n"/>
      <c r="J161" s="4" t="inlineStr">
        <is>
          <t>Form10A_2026-05-27 p268</t>
        </is>
      </c>
    </row>
    <row r="162">
      <c r="A162" s="38" t="inlineStr">
        <is>
          <t>Full-time equivalent employees (over)</t>
        </is>
      </c>
      <c r="B162" s="3" t="n"/>
      <c r="C162" s="3" t="n"/>
      <c r="D162" s="40" t="n">
        <v>3400</v>
      </c>
      <c r="E162" s="3" t="n"/>
      <c r="F162" s="3" t="n"/>
      <c r="G162" s="3" t="n"/>
      <c r="H162" s="3" t="n"/>
      <c r="I162" s="3" t="n"/>
      <c r="J162" s="4" t="inlineStr">
        <is>
          <t>Form10A_2026-05-27 p268</t>
        </is>
      </c>
    </row>
    <row r="163">
      <c r="A163" s="38" t="inlineStr">
        <is>
          <t>Sales brands covered (more than)</t>
        </is>
      </c>
      <c r="B163" s="3" t="n"/>
      <c r="C163" s="3" t="n"/>
      <c r="D163" s="40" t="n">
        <v>400</v>
      </c>
      <c r="E163" s="3" t="n"/>
      <c r="F163" s="3" t="n"/>
      <c r="G163" s="3" t="n"/>
      <c r="H163" s="3" t="n"/>
      <c r="I163" s="3" t="n"/>
      <c r="J163" s="4" t="inlineStr">
        <is>
          <t>Form10A_2026-05-27 p268</t>
        </is>
      </c>
    </row>
    <row r="164">
      <c r="A164" s="38" t="inlineStr">
        <is>
          <t>Global vehicle production covered (approximately)</t>
        </is>
      </c>
      <c r="B164" s="3" t="n"/>
      <c r="C164" s="3" t="n"/>
      <c r="D164" s="41" t="n">
        <v>99</v>
      </c>
      <c r="E164" s="3" t="n"/>
      <c r="F164" s="3" t="n"/>
      <c r="G164" s="3" t="n"/>
      <c r="H164" s="3" t="n"/>
      <c r="I164" s="3" t="n"/>
      <c r="J164" s="4" t="inlineStr">
        <is>
          <t>Form10A_2026-05-27 p268</t>
        </is>
      </c>
    </row>
    <row r="165">
      <c r="A165" s="14" t="inlineStr">
        <is>
          <t>Form10A_2026-05-27 · Summary - Demonstrated resilience</t>
        </is>
      </c>
      <c r="B165" s="15" t="n"/>
      <c r="C165" s="15" t="n"/>
      <c r="D165" s="15" t="n"/>
      <c r="E165" s="15" t="n"/>
      <c r="F165" s="15" t="n"/>
      <c r="G165" s="15" t="n"/>
      <c r="H165" s="15" t="n"/>
      <c r="I165" s="15" t="n"/>
      <c r="J165" s="15" t="n"/>
    </row>
    <row r="166">
      <c r="A166" s="38" t="inlineStr">
        <is>
          <t>Total revenue growth 2023 to 2024</t>
        </is>
      </c>
      <c r="B166" s="3" t="n"/>
      <c r="C166" s="41" t="n">
        <v>9</v>
      </c>
      <c r="D166" s="3" t="n"/>
      <c r="E166" s="3" t="n"/>
      <c r="F166" s="3" t="n"/>
      <c r="G166" s="3" t="n"/>
      <c r="H166" s="3" t="n"/>
      <c r="I166" s="3" t="n"/>
      <c r="J166" s="4" t="inlineStr">
        <is>
          <t>Form10A_2026-05-27 p269</t>
        </is>
      </c>
    </row>
    <row r="167">
      <c r="A167" s="14" t="inlineStr">
        <is>
          <t>Form10A_2026-05-27 · Summary - Expanding our data network (twelve months ended December 31, 2025)</t>
        </is>
      </c>
      <c r="B167" s="15" t="n"/>
      <c r="C167" s="15" t="n"/>
      <c r="D167" s="15" t="n"/>
      <c r="E167" s="15" t="n"/>
      <c r="F167" s="15" t="n"/>
      <c r="G167" s="15" t="n"/>
      <c r="H167" s="15" t="n"/>
      <c r="I167" s="15" t="n"/>
      <c r="J167" s="15" t="n"/>
    </row>
    <row r="168">
      <c r="A168" s="38" t="inlineStr">
        <is>
          <t>Average records added daily (approximately)</t>
        </is>
      </c>
      <c r="B168" s="3" t="n"/>
      <c r="C168" s="3" t="n"/>
      <c r="D168" s="40" t="n">
        <v>6000000</v>
      </c>
      <c r="E168" s="3" t="n"/>
      <c r="F168" s="3" t="n"/>
      <c r="G168" s="3" t="n"/>
      <c r="H168" s="3" t="n"/>
      <c r="I168" s="3" t="n"/>
      <c r="J168" s="4" t="inlineStr">
        <is>
          <t>Form10A_2026-05-27 p270</t>
        </is>
      </c>
    </row>
    <row r="169">
      <c r="A169" s="38" t="inlineStr">
        <is>
          <t>OEM Certified Pre-Owned programs (data sources)</t>
        </is>
      </c>
      <c r="B169" s="3" t="n"/>
      <c r="C169" s="3" t="n"/>
      <c r="D169" s="40" t="n">
        <v>36</v>
      </c>
      <c r="E169" s="3" t="n"/>
      <c r="F169" s="3" t="n"/>
      <c r="G169" s="3" t="n"/>
      <c r="H169" s="3" t="n"/>
      <c r="I169" s="3" t="n"/>
      <c r="J169" s="4" t="inlineStr">
        <is>
          <t>Form10A_2026-05-27 p270</t>
        </is>
      </c>
    </row>
    <row r="170">
      <c r="A170" s="38" t="inlineStr">
        <is>
          <t>Police agencies (more than)</t>
        </is>
      </c>
      <c r="B170" s="3" t="n"/>
      <c r="C170" s="3" t="n"/>
      <c r="D170" s="40" t="n">
        <v>6300</v>
      </c>
      <c r="E170" s="3" t="n"/>
      <c r="F170" s="3" t="n"/>
      <c r="G170" s="3" t="n"/>
      <c r="H170" s="3" t="n"/>
      <c r="I170" s="3" t="n"/>
      <c r="J170" s="4" t="inlineStr">
        <is>
          <t>Form10A_2026-05-27 p270</t>
        </is>
      </c>
    </row>
    <row r="171">
      <c r="A171" s="14" t="inlineStr">
        <is>
          <t>Form10A_2026-05-27 · Summary - Our Customers (as of December 31, 2025)</t>
        </is>
      </c>
      <c r="B171" s="15" t="n"/>
      <c r="C171" s="15" t="n"/>
      <c r="D171" s="15" t="n"/>
      <c r="E171" s="15" t="n"/>
      <c r="F171" s="15" t="n"/>
      <c r="G171" s="15" t="n"/>
      <c r="H171" s="15" t="n"/>
      <c r="I171" s="15" t="n"/>
      <c r="J171" s="15" t="n"/>
    </row>
    <row r="172">
      <c r="A172" s="38" t="inlineStr">
        <is>
          <t>Top 30 OEMs in North America served</t>
        </is>
      </c>
      <c r="B172" s="3" t="n"/>
      <c r="C172" s="3" t="n"/>
      <c r="D172" s="41" t="n">
        <v>100</v>
      </c>
      <c r="E172" s="3" t="n"/>
      <c r="F172" s="3" t="n"/>
      <c r="G172" s="3" t="n"/>
      <c r="H172" s="3" t="n"/>
      <c r="I172" s="3" t="n"/>
      <c r="J172" s="4" t="inlineStr">
        <is>
          <t>Form10A_2026-05-27 p272</t>
        </is>
      </c>
    </row>
    <row r="173">
      <c r="A173" s="38" t="inlineStr">
        <is>
          <t>Top 40 suppliers usage</t>
        </is>
      </c>
      <c r="B173" s="3" t="n"/>
      <c r="C173" s="3" t="n"/>
      <c r="D173" s="41" t="n">
        <v>98</v>
      </c>
      <c r="E173" s="3" t="n"/>
      <c r="F173" s="3" t="n"/>
      <c r="G173" s="3" t="n"/>
      <c r="H173" s="3" t="n"/>
      <c r="I173" s="3" t="n"/>
      <c r="J173" s="4" t="inlineStr">
        <is>
          <t>Form10A_2026-05-27 p272</t>
        </is>
      </c>
    </row>
    <row r="174">
      <c r="A174" s="38" t="inlineStr">
        <is>
          <t>Top 20 banks and insurers using data (printed 17 of the top 20)</t>
        </is>
      </c>
      <c r="B174" s="3" t="n"/>
      <c r="C174" s="3" t="n"/>
      <c r="D174" s="40" t="n">
        <v>17</v>
      </c>
      <c r="E174" s="3" t="n"/>
      <c r="F174" s="3" t="n"/>
      <c r="G174" s="3" t="n"/>
      <c r="H174" s="3" t="n"/>
      <c r="I174" s="3" t="n"/>
      <c r="J174" s="4" t="inlineStr">
        <is>
          <t>Form10A_2026-05-27 p272</t>
        </is>
      </c>
    </row>
    <row r="175">
      <c r="A175" s="38" t="inlineStr">
        <is>
          <t>Dealers and service shops reached (aftermarket, more than)</t>
        </is>
      </c>
      <c r="B175" s="3" t="n"/>
      <c r="C175" s="3" t="n"/>
      <c r="D175" s="40" t="n">
        <v>92000</v>
      </c>
      <c r="E175" s="3" t="n"/>
      <c r="F175" s="3" t="n"/>
      <c r="G175" s="3" t="n"/>
      <c r="H175" s="3" t="n"/>
      <c r="I175" s="3" t="n"/>
      <c r="J175" s="4" t="inlineStr">
        <is>
          <t>Form10A_2026-05-27 p272</t>
        </is>
      </c>
    </row>
    <row r="176">
      <c r="A176" s="14" t="inlineStr">
        <is>
          <t>Form10A_2026-05-27 · Business - Human Capital (as of March 31, 2026; full-time equivalent basis)</t>
        </is>
      </c>
      <c r="B176" s="15" t="n"/>
      <c r="C176" s="15" t="n"/>
      <c r="D176" s="15" t="n"/>
      <c r="E176" s="15" t="n"/>
      <c r="F176" s="15" t="n"/>
      <c r="G176" s="15" t="n"/>
      <c r="H176" s="15" t="n"/>
      <c r="I176" s="15" t="n"/>
      <c r="J176" s="15" t="n"/>
    </row>
    <row r="177">
      <c r="A177" s="38" t="inlineStr">
        <is>
          <t>Employees (full-time and part-time, FTE basis, approximately)</t>
        </is>
      </c>
      <c r="B177" s="3" t="n"/>
      <c r="C177" s="3" t="n"/>
      <c r="D177" s="3" t="n"/>
      <c r="E177" s="3" t="n"/>
      <c r="F177" s="40" t="n">
        <v>3522</v>
      </c>
      <c r="G177" s="3" t="n"/>
      <c r="H177" s="3" t="n"/>
      <c r="I177" s="3" t="n"/>
      <c r="J177" s="4" t="inlineStr">
        <is>
          <t>Form10A_2026-05-27 p384</t>
        </is>
      </c>
    </row>
    <row r="178">
      <c r="A178" s="38" t="inlineStr">
        <is>
          <t>Employees - Asia</t>
        </is>
      </c>
      <c r="B178" s="3" t="n"/>
      <c r="C178" s="3" t="n"/>
      <c r="D178" s="3" t="n"/>
      <c r="E178" s="3" t="n"/>
      <c r="F178" s="40" t="n">
        <v>616</v>
      </c>
      <c r="G178" s="3" t="n"/>
      <c r="H178" s="3" t="n"/>
      <c r="I178" s="3" t="n"/>
      <c r="J178" s="4" t="inlineStr">
        <is>
          <t>Form10A_2026-05-27 p384</t>
        </is>
      </c>
    </row>
    <row r="179">
      <c r="A179" s="38" t="inlineStr">
        <is>
          <t>Employees - U.S. and Canada</t>
        </is>
      </c>
      <c r="B179" s="3" t="n"/>
      <c r="C179" s="3" t="n"/>
      <c r="D179" s="3" t="n"/>
      <c r="E179" s="3" t="n"/>
      <c r="F179" s="40" t="n">
        <v>2398</v>
      </c>
      <c r="G179" s="3" t="n"/>
      <c r="H179" s="3" t="n"/>
      <c r="I179" s="3" t="n"/>
      <c r="J179" s="4" t="inlineStr">
        <is>
          <t>Form10A_2026-05-27 p384</t>
        </is>
      </c>
    </row>
    <row r="180">
      <c r="A180" s="38" t="inlineStr">
        <is>
          <t>Employees - Europe</t>
        </is>
      </c>
      <c r="B180" s="3" t="n"/>
      <c r="C180" s="3" t="n"/>
      <c r="D180" s="3" t="n"/>
      <c r="E180" s="3" t="n"/>
      <c r="F180" s="40" t="n">
        <v>445</v>
      </c>
      <c r="G180" s="3" t="n"/>
      <c r="H180" s="3" t="n"/>
      <c r="I180" s="3" t="n"/>
      <c r="J180" s="4" t="inlineStr">
        <is>
          <t>Form10A_2026-05-27 p384</t>
        </is>
      </c>
    </row>
    <row r="181">
      <c r="A181" s="38" t="inlineStr">
        <is>
          <t>Employees - Latin America</t>
        </is>
      </c>
      <c r="B181" s="3" t="n"/>
      <c r="C181" s="3" t="n"/>
      <c r="D181" s="3" t="n"/>
      <c r="E181" s="3" t="n"/>
      <c r="F181" s="40" t="n">
        <v>63</v>
      </c>
      <c r="G181" s="3" t="n"/>
      <c r="H181" s="3" t="n"/>
      <c r="I181" s="3" t="n"/>
      <c r="J181" s="4" t="inlineStr">
        <is>
          <t>Form10A_2026-05-27 p384</t>
        </is>
      </c>
    </row>
    <row r="182">
      <c r="A182" s="14" t="inlineStr">
        <is>
          <t>Form10A_2026-05-27 · Business - Properties (as of March 31, 2026)</t>
        </is>
      </c>
      <c r="B182" s="15" t="n"/>
      <c r="C182" s="15" t="n"/>
      <c r="D182" s="15" t="n"/>
      <c r="E182" s="15" t="n"/>
      <c r="F182" s="15" t="n"/>
      <c r="G182" s="15" t="n"/>
      <c r="H182" s="15" t="n"/>
      <c r="I182" s="15" t="n"/>
      <c r="J182" s="15" t="n"/>
    </row>
    <row r="183">
      <c r="A183" s="38" t="inlineStr">
        <is>
          <t>Leased office locations in the U.S.</t>
        </is>
      </c>
      <c r="B183" s="3" t="n"/>
      <c r="C183" s="3" t="n"/>
      <c r="D183" s="3" t="n"/>
      <c r="E183" s="3" t="n"/>
      <c r="F183" s="40" t="n">
        <v>6</v>
      </c>
      <c r="G183" s="3" t="n"/>
      <c r="H183" s="3" t="n"/>
      <c r="I183" s="3" t="n"/>
      <c r="J183" s="4" t="inlineStr">
        <is>
          <t>Form10A_2026-05-27 p385</t>
        </is>
      </c>
    </row>
    <row r="184">
      <c r="A184" s="14" t="inlineStr">
        <is>
          <t>Form10A_2026-05-27 · MD&amp;A Critical accounting estimates - Goodwill</t>
        </is>
      </c>
      <c r="B184" s="15" t="n"/>
      <c r="C184" s="15" t="n"/>
      <c r="D184" s="15" t="n"/>
      <c r="E184" s="15" t="n"/>
      <c r="F184" s="15" t="n"/>
      <c r="G184" s="15" t="n"/>
      <c r="H184" s="15" t="n"/>
      <c r="I184" s="15" t="n"/>
      <c r="J184" s="15" t="n"/>
    </row>
    <row r="185">
      <c r="A185" s="38" t="inlineStr">
        <is>
          <t>Goodwill as % of total assets</t>
        </is>
      </c>
      <c r="B185" s="3" t="n"/>
      <c r="C185" s="41" t="n">
        <v>67</v>
      </c>
      <c r="D185" s="41" t="n">
        <v>68</v>
      </c>
      <c r="E185" s="3" t="n"/>
      <c r="F185" s="3" t="n"/>
      <c r="G185" s="3" t="n"/>
      <c r="H185" s="3" t="n"/>
      <c r="I185" s="3" t="n"/>
      <c r="J185" s="4" t="inlineStr">
        <is>
          <t>Form10A_2026-05-27 p367</t>
        </is>
      </c>
    </row>
    <row r="186">
      <c r="A186" s="38" t="inlineStr">
        <is>
          <t>Goodwill reporting units (annual impairment test)</t>
        </is>
      </c>
      <c r="B186" s="3" t="n"/>
      <c r="C186" s="3" t="n"/>
      <c r="D186" s="40" t="n">
        <v>3</v>
      </c>
      <c r="E186" s="3" t="n"/>
      <c r="F186" s="3" t="n"/>
      <c r="G186" s="3" t="n"/>
      <c r="H186" s="3" t="n"/>
      <c r="I186" s="3" t="n"/>
      <c r="J186" s="4" t="inlineStr">
        <is>
          <t>Form10A_2026-05-27 p367</t>
        </is>
      </c>
    </row>
    <row r="187">
      <c r="A187" s="14" t="inlineStr">
        <is>
          <t>8K_2026-08-07 · Outlook basis</t>
        </is>
      </c>
      <c r="B187" s="15" t="n"/>
      <c r="C187" s="15" t="n"/>
      <c r="D187" s="15" t="n"/>
      <c r="E187" s="15" t="n"/>
      <c r="F187" s="15" t="n"/>
      <c r="G187" s="15" t="n"/>
      <c r="H187" s="15" t="n"/>
      <c r="I187" s="15" t="n"/>
      <c r="J187" s="15" t="n"/>
    </row>
    <row r="188">
      <c r="A188" s="38" t="inlineStr">
        <is>
          <t>Guidance basis (paraphrase)</t>
        </is>
      </c>
      <c r="B188" s="3" t="n"/>
      <c r="C188" s="3" t="n"/>
      <c r="D188" s="3" t="n"/>
      <c r="E188" s="3" t="n"/>
      <c r="F188" s="3" t="n"/>
      <c r="G188" s="3" t="n"/>
      <c r="H188" s="3" t="n"/>
      <c r="I188" s="42" t="inlineStr">
        <is>
          <t>Full year 2026 guidance reflects carve-out financial results for the first six months and consolidated financial results for the second six months; no reconciliation of forward-looking non-GAAP measures provided.</t>
        </is>
      </c>
      <c r="J188" s="4" t="inlineStr">
        <is>
          <t>8K_2026-08-07 p3</t>
        </is>
      </c>
    </row>
    <row r="189">
      <c r="A189" s="14" t="inlineStr">
        <is>
          <t>Slides_Q2-2026 · FY 2026 guidance footnotes</t>
        </is>
      </c>
      <c r="B189" s="15" t="n"/>
      <c r="C189" s="15" t="n"/>
      <c r="D189" s="15" t="n"/>
      <c r="E189" s="15" t="n"/>
      <c r="F189" s="15" t="n"/>
      <c r="G189" s="15" t="n"/>
      <c r="H189" s="15" t="n"/>
      <c r="I189" s="15" t="n"/>
      <c r="J189" s="15" t="n"/>
    </row>
    <row r="190">
      <c r="A190" s="38" t="inlineStr">
        <is>
          <t>Guidance basis / FX (paraphrase)</t>
        </is>
      </c>
      <c r="B190" s="3" t="n"/>
      <c r="C190" s="3" t="n"/>
      <c r="D190" s="3" t="n"/>
      <c r="E190" s="3" t="n"/>
      <c r="F190" s="3" t="n"/>
      <c r="G190" s="3" t="n"/>
      <c r="H190" s="3" t="n"/>
      <c r="I190" s="42" t="inlineStr">
        <is>
          <t>FY26 revenue guidance is on a reported basis, with no incremental net FX impact assumed in the second half of 2026; implies sequential improvement in underlying growth in 2H26.</t>
        </is>
      </c>
      <c r="J190" s="4" t="inlineStr">
        <is>
          <t>Slides_Q2-2026 p9</t>
        </is>
      </c>
    </row>
    <row r="191">
      <c r="A191" s="14" t="inlineStr">
        <is>
          <t>Form10_2026-05-07 · Business - Our Customers (as of December 31, 2025)</t>
        </is>
      </c>
      <c r="B191" s="15" t="n"/>
      <c r="C191" s="15" t="n"/>
      <c r="D191" s="15" t="n"/>
      <c r="E191" s="15" t="n"/>
      <c r="F191" s="15" t="n"/>
      <c r="G191" s="15" t="n"/>
      <c r="H191" s="15" t="n"/>
      <c r="I191" s="15" t="n"/>
      <c r="J191" s="15" t="n"/>
    </row>
    <row r="192">
      <c r="A192" s="38" t="inlineStr">
        <is>
          <t>Dealer customers (more than)</t>
        </is>
      </c>
      <c r="B192" s="3" t="n"/>
      <c r="C192" s="3" t="n"/>
      <c r="D192" s="40" t="n">
        <v>40000</v>
      </c>
      <c r="E192" s="3" t="n"/>
      <c r="F192" s="3" t="n"/>
      <c r="G192" s="3" t="n"/>
      <c r="H192" s="3" t="n"/>
      <c r="I192" s="3" t="n"/>
      <c r="J192" s="4" t="inlineStr">
        <is>
          <t>Form10_2026-05-07 p351</t>
        </is>
      </c>
    </row>
    <row r="193">
      <c r="A193" s="38" t="inlineStr">
        <is>
          <t>Car Care consumer audience members (more than)</t>
        </is>
      </c>
      <c r="B193" s="3" t="n"/>
      <c r="C193" s="3" t="n"/>
      <c r="D193" s="40" t="n">
        <v>53000000</v>
      </c>
      <c r="E193" s="3" t="n"/>
      <c r="F193" s="3" t="n"/>
      <c r="G193" s="3" t="n"/>
      <c r="H193" s="3" t="n"/>
      <c r="I193" s="3" t="n"/>
      <c r="J193" s="4" t="inlineStr">
        <is>
          <t>Form10_2026-05-07 p351</t>
        </is>
      </c>
    </row>
    <row r="194">
      <c r="A194" s="38" t="inlineStr">
        <is>
          <t>Top 40 suppliers usage</t>
        </is>
      </c>
      <c r="B194" s="3" t="n"/>
      <c r="C194" s="3" t="n"/>
      <c r="D194" s="41" t="n">
        <v>98</v>
      </c>
      <c r="E194" s="3" t="n"/>
      <c r="F194" s="3" t="n"/>
      <c r="G194" s="3" t="n"/>
      <c r="H194" s="3" t="n"/>
      <c r="I194" s="3" t="n"/>
      <c r="J194" s="4" t="inlineStr">
        <is>
          <t>Form10_2026-05-07 p351</t>
        </is>
      </c>
    </row>
    <row r="195">
      <c r="A195" s="38" t="inlineStr">
        <is>
          <t>Top 20 banks and insurers using data (printed 17 of the top 20)</t>
        </is>
      </c>
      <c r="B195" s="3" t="n"/>
      <c r="C195" s="3" t="n"/>
      <c r="D195" s="40" t="n">
        <v>17</v>
      </c>
      <c r="E195" s="3" t="n"/>
      <c r="F195" s="3" t="n"/>
      <c r="G195" s="3" t="n"/>
      <c r="H195" s="3" t="n"/>
      <c r="I195" s="3" t="n"/>
      <c r="J195" s="4" t="inlineStr">
        <is>
          <t>Form10_2026-05-07 p351</t>
        </is>
      </c>
    </row>
    <row r="196">
      <c r="A196" s="38" t="inlineStr">
        <is>
          <t>Dealers and service shops reached (more than)</t>
        </is>
      </c>
      <c r="B196" s="3" t="n"/>
      <c r="C196" s="3" t="n"/>
      <c r="D196" s="40" t="n">
        <v>92000</v>
      </c>
      <c r="E196" s="3" t="n"/>
      <c r="F196" s="3" t="n"/>
      <c r="G196" s="3" t="n"/>
      <c r="H196" s="3" t="n"/>
      <c r="I196" s="3" t="n"/>
      <c r="J196" s="4" t="inlineStr">
        <is>
          <t>Form10_2026-05-07 p351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5" customWidth="1" min="11" max="11"/>
    <col hidden="1" width="13" customWidth="1" min="26" max="26"/>
  </cols>
  <sheetData>
    <row r="1" ht="20" customHeight="1">
      <c r="A1" s="1" t="inlineStr">
        <is>
          <t>Debt — instrument by instrument</t>
        </is>
      </c>
      <c r="B1" s="2" t="n"/>
      <c r="C1" s="2" t="n"/>
      <c r="D1" s="2" t="n"/>
      <c r="E1" s="2" t="n"/>
      <c r="F1" s="2" t="n"/>
      <c r="G1" s="2" t="n"/>
      <c r="H1" s="2" t="n"/>
      <c r="I1" s="2" t="n"/>
      <c r="J1" s="2" t="n"/>
      <c r="K1" s="2" t="n"/>
    </row>
    <row r="2">
      <c r="A2" s="4" t="inlineStr">
        <is>
          <t>As printed; see notes_NOTES.md for unreadable cells and tables that do not foot.</t>
        </is>
      </c>
      <c r="B2" s="3" t="n"/>
      <c r="C2" s="3" t="n"/>
      <c r="D2" s="3" t="n"/>
      <c r="E2" s="3" t="n"/>
      <c r="F2" s="3" t="n"/>
      <c r="G2" s="3" t="n"/>
      <c r="H2" s="3" t="n"/>
      <c r="I2" s="3" t="n"/>
      <c r="J2" s="3" t="n"/>
      <c r="K2" s="3" t="n"/>
    </row>
    <row r="3">
      <c r="A3" s="3" t="n"/>
      <c r="B3" s="3" t="n"/>
      <c r="C3" s="3" t="n"/>
      <c r="D3" s="3" t="n"/>
      <c r="E3" s="3" t="n"/>
      <c r="F3" s="3" t="n"/>
      <c r="G3" s="3" t="n"/>
      <c r="H3" s="3" t="n"/>
      <c r="I3" s="3" t="n"/>
      <c r="J3" s="3" t="n"/>
      <c r="K3" s="3" t="n"/>
    </row>
    <row r="4">
      <c r="A4" s="9" t="inlineStr">
        <is>
          <t>Line item (verbatim caption)</t>
        </is>
      </c>
      <c r="B4" s="29" t="inlineStr">
        <is>
          <t>FY2023</t>
        </is>
      </c>
      <c r="C4" s="29" t="inlineStr">
        <is>
          <t>FY2024</t>
        </is>
      </c>
      <c r="D4" s="29" t="inlineStr">
        <is>
          <t>FY2025</t>
        </is>
      </c>
      <c r="E4" s="29" t="inlineStr">
        <is>
          <t>Q1-2025</t>
        </is>
      </c>
      <c r="F4" s="29" t="inlineStr">
        <is>
          <t>6M-2025</t>
        </is>
      </c>
      <c r="G4" s="29" t="inlineStr">
        <is>
          <t>Q1-2026</t>
        </is>
      </c>
      <c r="H4" s="29" t="inlineStr">
        <is>
          <t>Q2-2026</t>
        </is>
      </c>
      <c r="I4" s="29" t="inlineStr">
        <is>
          <t>6M-2026</t>
        </is>
      </c>
      <c r="J4" s="29" t="inlineStr">
        <is>
          <t>Q3-2026</t>
        </is>
      </c>
      <c r="K4" s="29" t="inlineStr">
        <is>
          <t>Source (doc p.)</t>
        </is>
      </c>
    </row>
    <row r="5">
      <c r="A5" s="14" t="inlineStr">
        <is>
          <t>Form10A_2026-05-27 · Canada Carfax Loan (related party; IHS Canada; dated 2018-10-01; matures 2027-10-05)</t>
        </is>
      </c>
      <c r="B5" s="15" t="n"/>
      <c r="C5" s="15" t="n"/>
      <c r="D5" s="15" t="n"/>
      <c r="E5" s="15" t="n"/>
      <c r="F5" s="15" t="n"/>
      <c r="G5" s="15" t="n"/>
      <c r="H5" s="15" t="n"/>
      <c r="I5" s="15" t="n"/>
      <c r="J5" s="15" t="n"/>
      <c r="K5" s="15" t="n"/>
    </row>
    <row r="6">
      <c r="A6" s="38" t="inlineStr">
        <is>
          <t>principal amount at origination (CAD millions; printed CAD $403 million)</t>
        </is>
      </c>
      <c r="B6" s="3" t="n"/>
      <c r="C6" s="3" t="n"/>
      <c r="D6" s="3" t="n"/>
      <c r="E6" s="3" t="n"/>
      <c r="F6" s="3" t="n"/>
      <c r="G6" s="42" t="inlineStr">
        <is>
          <t>403</t>
        </is>
      </c>
      <c r="H6" s="3" t="n"/>
      <c r="I6" s="3" t="n"/>
      <c r="J6" s="3" t="n"/>
      <c r="K6" s="4" t="inlineStr">
        <is>
          <t>Form10A_2026-05-27 p435</t>
        </is>
      </c>
    </row>
    <row r="7">
      <c r="A7" s="14" t="inlineStr">
        <is>
          <t>Form10A_2026-05-27 · Canada Carfax Loan</t>
        </is>
      </c>
      <c r="B7" s="15" t="n"/>
      <c r="C7" s="15" t="n"/>
      <c r="D7" s="15" t="n"/>
      <c r="E7" s="15" t="n"/>
      <c r="F7" s="15" t="n"/>
      <c r="G7" s="15" t="n"/>
      <c r="H7" s="15" t="n"/>
      <c r="I7" s="15" t="n"/>
      <c r="J7" s="15" t="n"/>
      <c r="K7" s="15" t="n"/>
    </row>
    <row r="8">
      <c r="A8" s="38" t="inlineStr">
        <is>
          <t>interest rate per annum</t>
        </is>
      </c>
      <c r="B8" s="3" t="n"/>
      <c r="C8" s="3" t="n"/>
      <c r="D8" s="3" t="n"/>
      <c r="E8" s="3" t="n"/>
      <c r="F8" s="3" t="n"/>
      <c r="G8" s="41" t="n">
        <v>6</v>
      </c>
      <c r="H8" s="3" t="n"/>
      <c r="I8" s="3" t="n"/>
      <c r="J8" s="3" t="n"/>
      <c r="K8" s="4" t="inlineStr">
        <is>
          <t>Form10A_2026-05-27 p435</t>
        </is>
      </c>
    </row>
    <row r="9">
      <c r="A9" s="38" t="inlineStr">
        <is>
          <t>outstanding loan balance payable to S&amp;P Global inclusive of accrued interest (Due to related parties - non-current)</t>
        </is>
      </c>
      <c r="B9" s="3" t="n"/>
      <c r="C9" s="3" t="n"/>
      <c r="D9" s="30" t="n">
        <v>230</v>
      </c>
      <c r="E9" s="3" t="n"/>
      <c r="F9" s="3" t="n"/>
      <c r="G9" s="30" t="n">
        <v>227</v>
      </c>
      <c r="H9" s="3" t="n"/>
      <c r="I9" s="3" t="n"/>
      <c r="J9" s="3" t="n"/>
      <c r="K9" s="4" t="inlineStr">
        <is>
          <t>Form10A_2026-05-27 p435</t>
        </is>
      </c>
    </row>
    <row r="10">
      <c r="A10" s="38" t="inlineStr">
        <is>
          <t>outstanding loan balance payable to S&amp;P Global inclusive of accrued interest (Due to related parties non-current)</t>
        </is>
      </c>
      <c r="B10" s="3" t="n"/>
      <c r="C10" s="30" t="n">
        <v>236</v>
      </c>
      <c r="D10" s="30" t="n">
        <v>230</v>
      </c>
      <c r="E10" s="3" t="n"/>
      <c r="F10" s="3" t="n"/>
      <c r="G10" s="3" t="n"/>
      <c r="H10" s="3" t="n"/>
      <c r="I10" s="3" t="n"/>
      <c r="J10" s="3" t="n"/>
      <c r="K10" s="4" t="inlineStr">
        <is>
          <t>Form10A_2026-05-27 p466</t>
        </is>
      </c>
    </row>
    <row r="11">
      <c r="A11" s="38" t="inlineStr">
        <is>
          <t>related party interest expense</t>
        </is>
      </c>
      <c r="B11" s="30" t="n">
        <v>18</v>
      </c>
      <c r="C11" s="30" t="n">
        <v>17</v>
      </c>
      <c r="D11" s="30" t="n">
        <v>14</v>
      </c>
      <c r="E11" s="30" t="n">
        <v>4</v>
      </c>
      <c r="F11" s="3" t="n"/>
      <c r="G11" s="30" t="n">
        <v>3</v>
      </c>
      <c r="H11" s="3" t="n"/>
      <c r="I11" s="3" t="n"/>
      <c r="J11" s="3" t="n"/>
      <c r="K11" s="4" t="inlineStr">
        <is>
          <t>Form10A_2026-05-27 p435; Form10A_2026-05-27 p466</t>
        </is>
      </c>
    </row>
    <row r="12">
      <c r="A12" s="38" t="inlineStr">
        <is>
          <t>voluntary prepayments on principal</t>
        </is>
      </c>
      <c r="B12" s="3" t="n"/>
      <c r="C12" s="3" t="n"/>
      <c r="D12" s="3" t="n"/>
      <c r="E12" s="30" t="n">
        <v>10</v>
      </c>
      <c r="F12" s="3" t="n"/>
      <c r="G12" s="30" t="n">
        <v>0</v>
      </c>
      <c r="H12" s="3" t="n"/>
      <c r="I12" s="3" t="n"/>
      <c r="J12" s="3" t="n"/>
      <c r="K12" s="4" t="inlineStr">
        <is>
          <t>Form10A_2026-05-27 p435</t>
        </is>
      </c>
    </row>
    <row r="13">
      <c r="A13" s="38" t="inlineStr">
        <is>
          <t>voluntary prepayments on the principal balance</t>
        </is>
      </c>
      <c r="B13" s="3" t="n"/>
      <c r="C13" s="30" t="n">
        <v>45</v>
      </c>
      <c r="D13" s="30" t="n">
        <v>18</v>
      </c>
      <c r="E13" s="3" t="n"/>
      <c r="F13" s="3" t="n"/>
      <c r="G13" s="3" t="n"/>
      <c r="H13" s="3" t="n"/>
      <c r="I13" s="3" t="n"/>
      <c r="J13" s="3" t="n"/>
      <c r="K13" s="4" t="inlineStr">
        <is>
          <t>Form10A_2026-05-27 p466</t>
        </is>
      </c>
    </row>
    <row r="14">
      <c r="A14" s="38" t="inlineStr">
        <is>
          <t>payments of interest</t>
        </is>
      </c>
      <c r="B14" s="30" t="n">
        <v>18</v>
      </c>
      <c r="C14" s="30" t="n">
        <v>17</v>
      </c>
      <c r="D14" s="30" t="n">
        <v>14</v>
      </c>
      <c r="E14" s="30" t="n">
        <v>3</v>
      </c>
      <c r="F14" s="3" t="n"/>
      <c r="G14" s="30" t="n">
        <v>3</v>
      </c>
      <c r="H14" s="3" t="n"/>
      <c r="I14" s="3" t="n"/>
      <c r="J14" s="3" t="n"/>
      <c r="K14" s="4" t="inlineStr">
        <is>
          <t>Form10A_2026-05-27 p435; Form10A_2026-05-27 p466</t>
        </is>
      </c>
    </row>
    <row r="15">
      <c r="A15" s="14" t="inlineStr">
        <is>
          <t>Form10A_2026-05-27 · Europe Carfax Loan (receivable from IHS Holdings; matured 2026-02-14; 6M LIBOR+0.5%)</t>
        </is>
      </c>
      <c r="B15" s="15" t="n"/>
      <c r="C15" s="15" t="n"/>
      <c r="D15" s="15" t="n"/>
      <c r="E15" s="15" t="n"/>
      <c r="F15" s="15" t="n"/>
      <c r="G15" s="15" t="n"/>
      <c r="H15" s="15" t="n"/>
      <c r="I15" s="15" t="n"/>
      <c r="J15" s="15" t="n"/>
      <c r="K15" s="15" t="n"/>
    </row>
    <row r="16">
      <c r="A16" s="38" t="inlineStr">
        <is>
          <t>maximum aggregate principal (EUR millions; printed EUR 10 million)</t>
        </is>
      </c>
      <c r="B16" s="3" t="n"/>
      <c r="C16" s="3" t="n"/>
      <c r="D16" s="3" t="n"/>
      <c r="E16" s="3" t="n"/>
      <c r="F16" s="3" t="n"/>
      <c r="G16" s="42" t="inlineStr">
        <is>
          <t>10</t>
        </is>
      </c>
      <c r="H16" s="3" t="n"/>
      <c r="I16" s="3" t="n"/>
      <c r="J16" s="3" t="n"/>
      <c r="K16" s="4" t="inlineStr">
        <is>
          <t>Form10A_2026-05-27 p436</t>
        </is>
      </c>
    </row>
    <row r="17">
      <c r="A17" s="14" t="inlineStr">
        <is>
          <t>Form10A_2026-05-27 · Subsequent event</t>
        </is>
      </c>
      <c r="B17" s="15" t="n"/>
      <c r="C17" s="15" t="n"/>
      <c r="D17" s="15" t="n"/>
      <c r="E17" s="15" t="n"/>
      <c r="F17" s="15" t="n"/>
      <c r="G17" s="15" t="n"/>
      <c r="H17" s="15" t="n"/>
      <c r="I17" s="15" t="n"/>
      <c r="J17" s="15" t="n"/>
      <c r="K17" s="15" t="n"/>
    </row>
    <row r="18">
      <c r="A18" s="38" t="inlineStr">
        <is>
          <t>revolving credit facility entered 2026-05-06 (the Credit Facility)</t>
        </is>
      </c>
      <c r="B18" s="3" t="n"/>
      <c r="C18" s="3" t="n"/>
      <c r="D18" s="3" t="n"/>
      <c r="E18" s="3" t="n"/>
      <c r="F18" s="3" t="n"/>
      <c r="G18" s="30" t="n">
        <v>500</v>
      </c>
      <c r="H18" s="3" t="n"/>
      <c r="I18" s="3" t="n"/>
      <c r="J18" s="3" t="n"/>
      <c r="K18" s="4" t="inlineStr">
        <is>
          <t>Form10A_2026-05-27 p437</t>
        </is>
      </c>
    </row>
    <row r="19">
      <c r="A19" s="14" t="inlineStr">
        <is>
          <t>Form10A_2026-05-27 · Europe Carfax Loan (receivable)</t>
        </is>
      </c>
      <c r="B19" s="15" t="n"/>
      <c r="C19" s="15" t="n"/>
      <c r="D19" s="15" t="n"/>
      <c r="E19" s="15" t="n"/>
      <c r="F19" s="15" t="n"/>
      <c r="G19" s="15" t="n"/>
      <c r="H19" s="15" t="n"/>
      <c r="I19" s="15" t="n"/>
      <c r="J19" s="15" t="n"/>
      <c r="K19" s="15" t="n"/>
    </row>
    <row r="20">
      <c r="A20" s="38" t="inlineStr">
        <is>
          <t>outstanding loan receivable from S&amp;P Global inclusive of accrued interest (Due from related parties - non-current)</t>
        </is>
      </c>
      <c r="B20" s="3" t="n"/>
      <c r="C20" s="30" t="n">
        <v>4</v>
      </c>
      <c r="D20" s="3" t="n"/>
      <c r="E20" s="3" t="n"/>
      <c r="F20" s="3" t="n"/>
      <c r="G20" s="3" t="n"/>
      <c r="H20" s="3" t="n"/>
      <c r="I20" s="3" t="n"/>
      <c r="J20" s="3" t="n"/>
      <c r="K20" s="4" t="inlineStr">
        <is>
          <t>Form10A_2026-05-27 p467</t>
        </is>
      </c>
    </row>
    <row r="21">
      <c r="A21" s="38" t="inlineStr">
        <is>
          <t>cash received related to principal and interest (repaid in full 2025-11-30)</t>
        </is>
      </c>
      <c r="B21" s="3" t="n"/>
      <c r="C21" s="3" t="n"/>
      <c r="D21" s="30" t="n">
        <v>5</v>
      </c>
      <c r="E21" s="3" t="n"/>
      <c r="F21" s="3" t="n"/>
      <c r="G21" s="3" t="n"/>
      <c r="H21" s="3" t="n"/>
      <c r="I21" s="3" t="n"/>
      <c r="J21" s="3" t="n"/>
      <c r="K21" s="4" t="inlineStr">
        <is>
          <t>Form10A_2026-05-27 p467</t>
        </is>
      </c>
    </row>
    <row r="22">
      <c r="A22" s="14" t="inlineStr">
        <is>
          <t>Form10A_2026-05-27 · Capitalization - Actual</t>
        </is>
      </c>
      <c r="B22" s="15" t="n"/>
      <c r="C22" s="15" t="n"/>
      <c r="D22" s="15" t="n"/>
      <c r="E22" s="15" t="n"/>
      <c r="F22" s="15" t="n"/>
      <c r="G22" s="15" t="n"/>
      <c r="H22" s="15" t="n"/>
      <c r="I22" s="15" t="n"/>
      <c r="J22" s="15" t="n"/>
      <c r="K22" s="15" t="n"/>
    </row>
    <row r="23">
      <c r="A23" s="38" t="inlineStr">
        <is>
          <t>Cash and cash equivalents</t>
        </is>
      </c>
      <c r="B23" s="3" t="n"/>
      <c r="C23" s="3" t="n"/>
      <c r="D23" s="3" t="n"/>
      <c r="E23" s="3" t="n"/>
      <c r="F23" s="3" t="n"/>
      <c r="G23" s="30" t="n">
        <v>122</v>
      </c>
      <c r="H23" s="3" t="n"/>
      <c r="I23" s="3" t="n"/>
      <c r="J23" s="3" t="n"/>
      <c r="K23" s="4" t="inlineStr">
        <is>
          <t>Form10A_2026-05-27 p331</t>
        </is>
      </c>
    </row>
    <row r="24">
      <c r="A24" s="38" t="inlineStr">
        <is>
          <t>Due to related parties – non-current (1)</t>
        </is>
      </c>
      <c r="B24" s="3" t="n"/>
      <c r="C24" s="3" t="n"/>
      <c r="D24" s="3" t="n"/>
      <c r="E24" s="3" t="n"/>
      <c r="F24" s="3" t="n"/>
      <c r="G24" s="30" t="n">
        <v>227</v>
      </c>
      <c r="H24" s="3" t="n"/>
      <c r="I24" s="3" t="n"/>
      <c r="J24" s="3" t="n"/>
      <c r="K24" s="4" t="inlineStr">
        <is>
          <t>Form10A_2026-05-27 p331</t>
        </is>
      </c>
    </row>
    <row r="25">
      <c r="A25" s="39" t="inlineStr">
        <is>
          <t>Total indebtedness</t>
        </is>
      </c>
      <c r="B25" s="3" t="n"/>
      <c r="C25" s="3" t="n"/>
      <c r="D25" s="3" t="n"/>
      <c r="E25" s="3" t="n"/>
      <c r="F25" s="3" t="n"/>
      <c r="G25" s="18" t="n">
        <v>227</v>
      </c>
      <c r="H25" s="3" t="n"/>
      <c r="I25" s="3" t="n"/>
      <c r="J25" s="3" t="n"/>
      <c r="K25" s="4" t="inlineStr">
        <is>
          <t>Form10A_2026-05-27 p331</t>
        </is>
      </c>
    </row>
    <row r="26">
      <c r="A26" s="38" t="inlineStr">
        <is>
          <t>Accumulated other comprehensive (loss) income</t>
        </is>
      </c>
      <c r="B26" s="3" t="n"/>
      <c r="C26" s="3" t="n"/>
      <c r="D26" s="3" t="n"/>
      <c r="E26" s="3" t="n"/>
      <c r="F26" s="3" t="n"/>
      <c r="G26" s="30" t="n">
        <v>-3</v>
      </c>
      <c r="H26" s="3" t="n"/>
      <c r="I26" s="3" t="n"/>
      <c r="J26" s="3" t="n"/>
      <c r="K26" s="4" t="inlineStr">
        <is>
          <t>Form10A_2026-05-27 p331</t>
        </is>
      </c>
    </row>
    <row r="27">
      <c r="A27" s="38" t="inlineStr">
        <is>
          <t>Parent company investment (4)</t>
        </is>
      </c>
      <c r="B27" s="3" t="n"/>
      <c r="C27" s="3" t="n"/>
      <c r="D27" s="3" t="n"/>
      <c r="E27" s="3" t="n"/>
      <c r="F27" s="3" t="n"/>
      <c r="G27" s="30" t="n">
        <v>11586</v>
      </c>
      <c r="H27" s="3" t="n"/>
      <c r="I27" s="3" t="n"/>
      <c r="J27" s="3" t="n"/>
      <c r="K27" s="4" t="inlineStr">
        <is>
          <t>Form10A_2026-05-27 p331</t>
        </is>
      </c>
    </row>
    <row r="28">
      <c r="A28" s="39" t="inlineStr">
        <is>
          <t>Total equity</t>
        </is>
      </c>
      <c r="B28" s="3" t="n"/>
      <c r="C28" s="3" t="n"/>
      <c r="D28" s="3" t="n"/>
      <c r="E28" s="3" t="n"/>
      <c r="F28" s="3" t="n"/>
      <c r="G28" s="18" t="n">
        <v>11583</v>
      </c>
      <c r="H28" s="3" t="n"/>
      <c r="I28" s="3" t="n"/>
      <c r="J28" s="3" t="n"/>
      <c r="K28" s="4" t="inlineStr">
        <is>
          <t>Form10A_2026-05-27 p331</t>
        </is>
      </c>
    </row>
    <row r="29">
      <c r="A29" s="39" t="inlineStr">
        <is>
          <t>Total capitalization</t>
        </is>
      </c>
      <c r="B29" s="3" t="n"/>
      <c r="C29" s="3" t="n"/>
      <c r="D29" s="3" t="n"/>
      <c r="E29" s="3" t="n"/>
      <c r="F29" s="3" t="n"/>
      <c r="G29" s="18" t="n">
        <v>11810</v>
      </c>
      <c r="H29" s="3" t="n"/>
      <c r="I29" s="3" t="n"/>
      <c r="J29" s="3" t="n"/>
      <c r="K29" s="4" t="inlineStr">
        <is>
          <t>Form10A_2026-05-27 p331</t>
        </is>
      </c>
    </row>
    <row r="30">
      <c r="A30" s="14" t="inlineStr">
        <is>
          <t>Form10A_2026-05-27 · Capitalization - Pro Forma</t>
        </is>
      </c>
      <c r="B30" s="15" t="n"/>
      <c r="C30" s="15" t="n"/>
      <c r="D30" s="15" t="n"/>
      <c r="E30" s="15" t="n"/>
      <c r="F30" s="15" t="n"/>
      <c r="G30" s="15" t="n"/>
      <c r="H30" s="15" t="n"/>
      <c r="I30" s="15" t="n"/>
      <c r="J30" s="15" t="n"/>
      <c r="K30" s="15" t="n"/>
    </row>
    <row r="31">
      <c r="A31" s="38" t="inlineStr">
        <is>
          <t>Cash and cash equivalents</t>
        </is>
      </c>
      <c r="B31" s="3" t="n"/>
      <c r="C31" s="3" t="n"/>
      <c r="D31" s="3" t="n"/>
      <c r="E31" s="3" t="n"/>
      <c r="F31" s="3" t="n"/>
      <c r="G31" s="30" t="n">
        <v>200</v>
      </c>
      <c r="H31" s="3" t="n"/>
      <c r="I31" s="3" t="n"/>
      <c r="J31" s="3" t="n"/>
      <c r="K31" s="4" t="inlineStr">
        <is>
          <t>Form10A_2026-05-27 p331</t>
        </is>
      </c>
    </row>
    <row r="32">
      <c r="A32" s="38" t="inlineStr">
        <is>
          <t>Long-term debt (2)</t>
        </is>
      </c>
      <c r="B32" s="3" t="n"/>
      <c r="C32" s="3" t="n"/>
      <c r="D32" s="3" t="n"/>
      <c r="E32" s="3" t="n"/>
      <c r="F32" s="3" t="n"/>
      <c r="G32" s="30" t="n">
        <v>1981</v>
      </c>
      <c r="H32" s="3" t="n"/>
      <c r="I32" s="3" t="n"/>
      <c r="J32" s="3" t="n"/>
      <c r="K32" s="4" t="inlineStr">
        <is>
          <t>Form10A_2026-05-27 p331</t>
        </is>
      </c>
    </row>
    <row r="33">
      <c r="A33" s="39" t="inlineStr">
        <is>
          <t>Total indebtedness</t>
        </is>
      </c>
      <c r="B33" s="3" t="n"/>
      <c r="C33" s="3" t="n"/>
      <c r="D33" s="3" t="n"/>
      <c r="E33" s="3" t="n"/>
      <c r="F33" s="3" t="n"/>
      <c r="G33" s="18" t="n">
        <v>1981</v>
      </c>
      <c r="H33" s="3" t="n"/>
      <c r="I33" s="3" t="n"/>
      <c r="J33" s="3" t="n"/>
      <c r="K33" s="4" t="inlineStr">
        <is>
          <t>Form10A_2026-05-27 p331</t>
        </is>
      </c>
    </row>
    <row r="34">
      <c r="A34" s="38" t="inlineStr">
        <is>
          <t>Common stock par value $0.01 per share (3)</t>
        </is>
      </c>
      <c r="B34" s="3" t="n"/>
      <c r="C34" s="3" t="n"/>
      <c r="D34" s="3" t="n"/>
      <c r="E34" s="3" t="n"/>
      <c r="F34" s="3" t="n"/>
      <c r="G34" s="30" t="n">
        <v>3</v>
      </c>
      <c r="H34" s="3" t="n"/>
      <c r="I34" s="3" t="n"/>
      <c r="J34" s="3" t="n"/>
      <c r="K34" s="4" t="inlineStr">
        <is>
          <t>Form10A_2026-05-27 p331</t>
        </is>
      </c>
    </row>
    <row r="35">
      <c r="A35" s="38" t="inlineStr">
        <is>
          <t>Additional paid-in capital (4)</t>
        </is>
      </c>
      <c r="B35" s="3" t="n"/>
      <c r="C35" s="3" t="n"/>
      <c r="D35" s="3" t="n"/>
      <c r="E35" s="3" t="n"/>
      <c r="F35" s="3" t="n"/>
      <c r="G35" s="30" t="n">
        <v>9927</v>
      </c>
      <c r="H35" s="3" t="n"/>
      <c r="I35" s="3" t="n"/>
      <c r="J35" s="3" t="n"/>
      <c r="K35" s="4" t="inlineStr">
        <is>
          <t>Form10A_2026-05-27 p331</t>
        </is>
      </c>
    </row>
    <row r="36">
      <c r="A36" s="38" t="inlineStr">
        <is>
          <t>Accumulated other comprehensive (loss) income</t>
        </is>
      </c>
      <c r="B36" s="3" t="n"/>
      <c r="C36" s="3" t="n"/>
      <c r="D36" s="3" t="n"/>
      <c r="E36" s="3" t="n"/>
      <c r="F36" s="3" t="n"/>
      <c r="G36" s="30" t="n">
        <v>-3</v>
      </c>
      <c r="H36" s="3" t="n"/>
      <c r="I36" s="3" t="n"/>
      <c r="J36" s="3" t="n"/>
      <c r="K36" s="4" t="inlineStr">
        <is>
          <t>Form10A_2026-05-27 p331</t>
        </is>
      </c>
    </row>
    <row r="37">
      <c r="A37" s="39" t="inlineStr">
        <is>
          <t>Total equity</t>
        </is>
      </c>
      <c r="B37" s="3" t="n"/>
      <c r="C37" s="3" t="n"/>
      <c r="D37" s="3" t="n"/>
      <c r="E37" s="3" t="n"/>
      <c r="F37" s="3" t="n"/>
      <c r="G37" s="18" t="n">
        <v>9927</v>
      </c>
      <c r="H37" s="3" t="n"/>
      <c r="I37" s="3" t="n"/>
      <c r="J37" s="3" t="n"/>
      <c r="K37" s="4" t="inlineStr">
        <is>
          <t>Form10A_2026-05-27 p331</t>
        </is>
      </c>
    </row>
    <row r="38">
      <c r="A38" s="39" t="inlineStr">
        <is>
          <t>Total capitalization</t>
        </is>
      </c>
      <c r="B38" s="3" t="n"/>
      <c r="C38" s="3" t="n"/>
      <c r="D38" s="3" t="n"/>
      <c r="E38" s="3" t="n"/>
      <c r="F38" s="3" t="n"/>
      <c r="G38" s="18" t="n">
        <v>11908</v>
      </c>
      <c r="H38" s="3" t="n"/>
      <c r="I38" s="3" t="n"/>
      <c r="J38" s="3" t="n"/>
      <c r="K38" s="4" t="inlineStr">
        <is>
          <t>Form10A_2026-05-27 p331</t>
        </is>
      </c>
    </row>
    <row r="39">
      <c r="A39" s="14" t="inlineStr">
        <is>
          <t>Form10A_2026-05-27 · Revolving credit facility</t>
        </is>
      </c>
      <c r="B39" s="15" t="n"/>
      <c r="C39" s="15" t="n"/>
      <c r="D39" s="15" t="n"/>
      <c r="E39" s="15" t="n"/>
      <c r="F39" s="15" t="n"/>
      <c r="G39" s="15" t="n"/>
      <c r="H39" s="15" t="n"/>
      <c r="I39" s="15" t="n"/>
      <c r="J39" s="15" t="n"/>
      <c r="K39" s="15" t="n"/>
    </row>
    <row r="40">
      <c r="A40" s="38" t="inlineStr">
        <is>
          <t>revolving credit facility capacity (undrawn at Separation)</t>
        </is>
      </c>
      <c r="B40" s="3" t="n"/>
      <c r="C40" s="3" t="n"/>
      <c r="D40" s="3" t="n"/>
      <c r="E40" s="3" t="n"/>
      <c r="F40" s="3" t="n"/>
      <c r="G40" s="30" t="n">
        <v>500</v>
      </c>
      <c r="H40" s="3" t="n"/>
      <c r="I40" s="3" t="n"/>
      <c r="J40" s="3" t="n"/>
      <c r="K40" s="4" t="inlineStr">
        <is>
          <t>Form10A_2026-05-27 p337</t>
        </is>
      </c>
    </row>
    <row r="41">
      <c r="A41" s="38" t="inlineStr">
        <is>
          <t>deferred debt issuance costs - credit facility (Other non-current assets)</t>
        </is>
      </c>
      <c r="B41" s="3" t="n"/>
      <c r="C41" s="3" t="n"/>
      <c r="D41" s="3" t="n"/>
      <c r="E41" s="3" t="n"/>
      <c r="F41" s="3" t="n"/>
      <c r="G41" s="30" t="n">
        <v>3</v>
      </c>
      <c r="H41" s="3" t="n"/>
      <c r="I41" s="3" t="n"/>
      <c r="J41" s="3" t="n"/>
      <c r="K41" s="4" t="inlineStr">
        <is>
          <t>Form10A_2026-05-27 p337</t>
        </is>
      </c>
    </row>
    <row r="42">
      <c r="A42" s="14" t="inlineStr">
        <is>
          <t>Form10A_2026-05-27 · Senior notes</t>
        </is>
      </c>
      <c r="B42" s="15" t="n"/>
      <c r="C42" s="15" t="n"/>
      <c r="D42" s="15" t="n"/>
      <c r="E42" s="15" t="n"/>
      <c r="F42" s="15" t="n"/>
      <c r="G42" s="15" t="n"/>
      <c r="H42" s="15" t="n"/>
      <c r="I42" s="15" t="n"/>
      <c r="J42" s="15" t="n"/>
      <c r="K42" s="15" t="n"/>
    </row>
    <row r="43">
      <c r="A43" s="39" t="inlineStr">
        <is>
          <t>senior notes aggregate principal amount</t>
        </is>
      </c>
      <c r="B43" s="3" t="n"/>
      <c r="C43" s="3" t="n"/>
      <c r="D43" s="3" t="n"/>
      <c r="E43" s="3" t="n"/>
      <c r="F43" s="3" t="n"/>
      <c r="G43" s="18" t="n">
        <v>2000</v>
      </c>
      <c r="H43" s="3" t="n"/>
      <c r="I43" s="3" t="n"/>
      <c r="J43" s="3" t="n"/>
      <c r="K43" s="4" t="inlineStr">
        <is>
          <t>Form10A_2026-05-27 p337</t>
        </is>
      </c>
    </row>
    <row r="44">
      <c r="A44" s="38" t="inlineStr">
        <is>
          <t>5.050% senior notes due 2029 - principal</t>
        </is>
      </c>
      <c r="B44" s="3" t="n"/>
      <c r="C44" s="3" t="n"/>
      <c r="D44" s="3" t="n"/>
      <c r="E44" s="3" t="n"/>
      <c r="F44" s="3" t="n"/>
      <c r="G44" s="30" t="n">
        <v>650</v>
      </c>
      <c r="H44" s="3" t="n"/>
      <c r="I44" s="3" t="n"/>
      <c r="J44" s="3" t="n"/>
      <c r="K44" s="4" t="inlineStr">
        <is>
          <t>Form10A_2026-05-27 p337</t>
        </is>
      </c>
    </row>
    <row r="45">
      <c r="A45" s="38" t="inlineStr">
        <is>
          <t>5.450% senior notes due 2031 - principal</t>
        </is>
      </c>
      <c r="B45" s="3" t="n"/>
      <c r="C45" s="3" t="n"/>
      <c r="D45" s="3" t="n"/>
      <c r="E45" s="3" t="n"/>
      <c r="F45" s="3" t="n"/>
      <c r="G45" s="30" t="n">
        <v>650</v>
      </c>
      <c r="H45" s="3" t="n"/>
      <c r="I45" s="3" t="n"/>
      <c r="J45" s="3" t="n"/>
      <c r="K45" s="4" t="inlineStr">
        <is>
          <t>Form10A_2026-05-27 p337</t>
        </is>
      </c>
    </row>
    <row r="46">
      <c r="A46" s="38" t="inlineStr">
        <is>
          <t>6.050% senior notes due 2036 - principal</t>
        </is>
      </c>
      <c r="B46" s="3" t="n"/>
      <c r="C46" s="3" t="n"/>
      <c r="D46" s="3" t="n"/>
      <c r="E46" s="3" t="n"/>
      <c r="F46" s="3" t="n"/>
      <c r="G46" s="30" t="n">
        <v>700</v>
      </c>
      <c r="H46" s="3" t="n"/>
      <c r="I46" s="3" t="n"/>
      <c r="J46" s="3" t="n"/>
      <c r="K46" s="4" t="inlineStr">
        <is>
          <t>Form10A_2026-05-27 p337</t>
        </is>
      </c>
    </row>
    <row r="47">
      <c r="A47" s="38" t="inlineStr">
        <is>
          <t>5.050% senior notes due 2029 - coupon</t>
        </is>
      </c>
      <c r="B47" s="3" t="n"/>
      <c r="C47" s="3" t="n"/>
      <c r="D47" s="3" t="n"/>
      <c r="E47" s="3" t="n"/>
      <c r="F47" s="3" t="n"/>
      <c r="G47" s="41" t="n">
        <v>5.05</v>
      </c>
      <c r="H47" s="3" t="n"/>
      <c r="I47" s="3" t="n"/>
      <c r="J47" s="3" t="n"/>
      <c r="K47" s="4" t="inlineStr">
        <is>
          <t>Form10A_2026-05-27 p337</t>
        </is>
      </c>
    </row>
    <row r="48">
      <c r="A48" s="38" t="inlineStr">
        <is>
          <t>5.450% senior notes due 2031 - coupon</t>
        </is>
      </c>
      <c r="B48" s="3" t="n"/>
      <c r="C48" s="3" t="n"/>
      <c r="D48" s="3" t="n"/>
      <c r="E48" s="3" t="n"/>
      <c r="F48" s="3" t="n"/>
      <c r="G48" s="41" t="n">
        <v>5.45</v>
      </c>
      <c r="H48" s="3" t="n"/>
      <c r="I48" s="3" t="n"/>
      <c r="J48" s="3" t="n"/>
      <c r="K48" s="4" t="inlineStr">
        <is>
          <t>Form10A_2026-05-27 p337</t>
        </is>
      </c>
    </row>
    <row r="49">
      <c r="A49" s="38" t="inlineStr">
        <is>
          <t>6.050% senior notes due 2036 - coupon</t>
        </is>
      </c>
      <c r="B49" s="3" t="n"/>
      <c r="C49" s="3" t="n"/>
      <c r="D49" s="3" t="n"/>
      <c r="E49" s="3" t="n"/>
      <c r="F49" s="3" t="n"/>
      <c r="G49" s="41" t="n">
        <v>6.05</v>
      </c>
      <c r="H49" s="3" t="n"/>
      <c r="I49" s="3" t="n"/>
      <c r="J49" s="3" t="n"/>
      <c r="K49" s="4" t="inlineStr">
        <is>
          <t>Form10A_2026-05-27 p337</t>
        </is>
      </c>
    </row>
    <row r="50">
      <c r="A50" s="38" t="inlineStr">
        <is>
          <t>debt issuance costs - senior notes</t>
        </is>
      </c>
      <c r="B50" s="3" t="n"/>
      <c r="C50" s="3" t="n"/>
      <c r="D50" s="3" t="n"/>
      <c r="E50" s="3" t="n"/>
      <c r="F50" s="3" t="n"/>
      <c r="G50" s="30" t="n">
        <v>16</v>
      </c>
      <c r="H50" s="3" t="n"/>
      <c r="I50" s="3" t="n"/>
      <c r="J50" s="3" t="n"/>
      <c r="K50" s="4" t="inlineStr">
        <is>
          <t>Form10A_2026-05-27 p337</t>
        </is>
      </c>
    </row>
    <row r="51">
      <c r="A51" s="38" t="inlineStr">
        <is>
          <t>total original issue discount</t>
        </is>
      </c>
      <c r="B51" s="3" t="n"/>
      <c r="C51" s="3" t="n"/>
      <c r="D51" s="3" t="n"/>
      <c r="E51" s="3" t="n"/>
      <c r="F51" s="3" t="n"/>
      <c r="G51" s="30" t="n">
        <v>3</v>
      </c>
      <c r="H51" s="3" t="n"/>
      <c r="I51" s="3" t="n"/>
      <c r="J51" s="3" t="n"/>
      <c r="K51" s="4" t="inlineStr">
        <is>
          <t>Form10A_2026-05-27 p337</t>
        </is>
      </c>
    </row>
    <row r="52">
      <c r="A52" s="38" t="inlineStr">
        <is>
          <t>special mandatory redemption price (% of principal) if escrow conditions not met by 2027-06-30</t>
        </is>
      </c>
      <c r="B52" s="3" t="n"/>
      <c r="C52" s="3" t="n"/>
      <c r="D52" s="3" t="n"/>
      <c r="E52" s="3" t="n"/>
      <c r="F52" s="3" t="n"/>
      <c r="G52" s="41" t="n">
        <v>101</v>
      </c>
      <c r="H52" s="3" t="n"/>
      <c r="I52" s="3" t="n"/>
      <c r="J52" s="3" t="n"/>
      <c r="K52" s="4" t="inlineStr">
        <is>
          <t>Form10A_2026-05-27 p364</t>
        </is>
      </c>
    </row>
    <row r="53">
      <c r="A53" s="38" t="inlineStr">
        <is>
          <t>approximate cash payment to S&amp;P Global from senior notes proceeds (printed as approximately $1.9 billion)</t>
        </is>
      </c>
      <c r="B53" s="3" t="n"/>
      <c r="C53" s="3" t="n"/>
      <c r="D53" s="3" t="n"/>
      <c r="E53" s="3" t="n"/>
      <c r="F53" s="3" t="n"/>
      <c r="G53" s="30" t="n">
        <v>1900</v>
      </c>
      <c r="H53" s="3" t="n"/>
      <c r="I53" s="3" t="n"/>
      <c r="J53" s="3" t="n"/>
      <c r="K53" s="4" t="inlineStr">
        <is>
          <t>Form10A_2026-05-27 p364</t>
        </is>
      </c>
    </row>
    <row r="54">
      <c r="A54" s="14" t="inlineStr">
        <is>
          <t>Form10A_2026-05-27 · Spin financing</t>
        </is>
      </c>
      <c r="B54" s="15" t="n"/>
      <c r="C54" s="15" t="n"/>
      <c r="D54" s="15" t="n"/>
      <c r="E54" s="15" t="n"/>
      <c r="F54" s="15" t="n"/>
      <c r="G54" s="15" t="n"/>
      <c r="H54" s="15" t="n"/>
      <c r="I54" s="15" t="n"/>
      <c r="J54" s="15" t="n"/>
      <c r="K54" s="15" t="n"/>
    </row>
    <row r="55">
      <c r="A55" s="38" t="inlineStr">
        <is>
          <t>expected net cash proceeds from Debt Financing Transactions</t>
        </is>
      </c>
      <c r="B55" s="3" t="n"/>
      <c r="C55" s="3" t="n"/>
      <c r="D55" s="3" t="n"/>
      <c r="E55" s="3" t="n"/>
      <c r="F55" s="3" t="n"/>
      <c r="G55" s="30" t="n">
        <v>1978</v>
      </c>
      <c r="H55" s="3" t="n"/>
      <c r="I55" s="3" t="n"/>
      <c r="J55" s="3" t="n"/>
      <c r="K55" s="4" t="inlineStr">
        <is>
          <t>Form10A_2026-05-27 p337</t>
        </is>
      </c>
    </row>
    <row r="56">
      <c r="A56" s="38" t="inlineStr">
        <is>
          <t>net cash distribution to S&amp;P Global (approximately; substantially concurrently with the Separation)</t>
        </is>
      </c>
      <c r="B56" s="3" t="n"/>
      <c r="C56" s="3" t="n"/>
      <c r="D56" s="3" t="n"/>
      <c r="E56" s="3" t="n"/>
      <c r="F56" s="3" t="n"/>
      <c r="G56" s="30" t="n">
        <v>1900</v>
      </c>
      <c r="H56" s="3" t="n"/>
      <c r="I56" s="3" t="n"/>
      <c r="J56" s="3" t="n"/>
      <c r="K56" s="4" t="inlineStr">
        <is>
          <t>Form10A_2026-05-27 p337</t>
        </is>
      </c>
    </row>
    <row r="57">
      <c r="A57" s="38" t="inlineStr">
        <is>
          <t>target cash balance upon completion of the Separation (approximately)</t>
        </is>
      </c>
      <c r="B57" s="3" t="n"/>
      <c r="C57" s="3" t="n"/>
      <c r="D57" s="3" t="n"/>
      <c r="E57" s="3" t="n"/>
      <c r="F57" s="3" t="n"/>
      <c r="G57" s="30" t="n">
        <v>200</v>
      </c>
      <c r="H57" s="3" t="n"/>
      <c r="I57" s="3" t="n"/>
      <c r="J57" s="3" t="n"/>
      <c r="K57" s="4" t="inlineStr">
        <is>
          <t>Form10A_2026-05-27 p337</t>
        </is>
      </c>
    </row>
    <row r="58">
      <c r="A58" s="14" t="inlineStr">
        <is>
          <t>Form10A_2026-05-27 · Pro forma cash adjustments (c)</t>
        </is>
      </c>
      <c r="B58" s="15" t="n"/>
      <c r="C58" s="15" t="n"/>
      <c r="D58" s="15" t="n"/>
      <c r="E58" s="15" t="n"/>
      <c r="F58" s="15" t="n"/>
      <c r="G58" s="15" t="n"/>
      <c r="H58" s="15" t="n"/>
      <c r="I58" s="15" t="n"/>
      <c r="J58" s="15" t="n"/>
      <c r="K58" s="15" t="n"/>
    </row>
    <row r="59">
      <c r="A59" s="38" t="inlineStr">
        <is>
          <t>Cash proceeds from issuance of senior notes</t>
        </is>
      </c>
      <c r="B59" s="3" t="n"/>
      <c r="C59" s="3" t="n"/>
      <c r="D59" s="3" t="n"/>
      <c r="E59" s="3" t="n"/>
      <c r="F59" s="3" t="n"/>
      <c r="G59" s="30" t="n">
        <v>1997</v>
      </c>
      <c r="H59" s="3" t="n"/>
      <c r="I59" s="3" t="n"/>
      <c r="J59" s="3" t="n"/>
      <c r="K59" s="4" t="inlineStr">
        <is>
          <t>Form10A_2026-05-27 p337</t>
        </is>
      </c>
    </row>
    <row r="60">
      <c r="A60" s="38" t="inlineStr">
        <is>
          <t>Cash payment of debt issuance costs – senior notes</t>
        </is>
      </c>
      <c r="B60" s="3" t="n"/>
      <c r="C60" s="3" t="n"/>
      <c r="D60" s="3" t="n"/>
      <c r="E60" s="3" t="n"/>
      <c r="F60" s="3" t="n"/>
      <c r="G60" s="30" t="n">
        <v>-16</v>
      </c>
      <c r="H60" s="3" t="n"/>
      <c r="I60" s="3" t="n"/>
      <c r="J60" s="3" t="n"/>
      <c r="K60" s="4" t="inlineStr">
        <is>
          <t>Form10A_2026-05-27 p337</t>
        </is>
      </c>
    </row>
    <row r="61">
      <c r="A61" s="38" t="inlineStr">
        <is>
          <t>Cash payment of debt issuance costs – revolving credit facility</t>
        </is>
      </c>
      <c r="B61" s="3" t="n"/>
      <c r="C61" s="3" t="n"/>
      <c r="D61" s="3" t="n"/>
      <c r="E61" s="3" t="n"/>
      <c r="F61" s="3" t="n"/>
      <c r="G61" s="30" t="n">
        <v>-3</v>
      </c>
      <c r="H61" s="3" t="n"/>
      <c r="I61" s="3" t="n"/>
      <c r="J61" s="3" t="n"/>
      <c r="K61" s="4" t="inlineStr">
        <is>
          <t>Form10A_2026-05-27 p337</t>
        </is>
      </c>
    </row>
    <row r="62">
      <c r="A62" s="38" t="inlineStr">
        <is>
          <t>Net cash distribution to S&amp;P Global</t>
        </is>
      </c>
      <c r="B62" s="3" t="n"/>
      <c r="C62" s="3" t="n"/>
      <c r="D62" s="3" t="n"/>
      <c r="E62" s="3" t="n"/>
      <c r="F62" s="3" t="n"/>
      <c r="G62" s="30" t="n">
        <v>-1900</v>
      </c>
      <c r="H62" s="3" t="n"/>
      <c r="I62" s="3" t="n"/>
      <c r="J62" s="3" t="n"/>
      <c r="K62" s="4" t="inlineStr">
        <is>
          <t>Form10A_2026-05-27 p337</t>
        </is>
      </c>
    </row>
    <row r="63">
      <c r="A63" s="39" t="inlineStr">
        <is>
          <t>Total pro forma adjustment to Cash and cash equivalents</t>
        </is>
      </c>
      <c r="B63" s="3" t="n"/>
      <c r="C63" s="3" t="n"/>
      <c r="D63" s="3" t="n"/>
      <c r="E63" s="3" t="n"/>
      <c r="F63" s="3" t="n"/>
      <c r="G63" s="18" t="n">
        <v>78</v>
      </c>
      <c r="H63" s="3" t="n"/>
      <c r="I63" s="3" t="n"/>
      <c r="J63" s="3" t="n"/>
      <c r="K63" s="4" t="inlineStr">
        <is>
          <t>Form10A_2026-05-27 p337</t>
        </is>
      </c>
    </row>
    <row r="64">
      <c r="A64" s="14" t="inlineStr">
        <is>
          <t>Form10A_2026-05-27 · Pro forma interest (h)</t>
        </is>
      </c>
      <c r="B64" s="15" t="n"/>
      <c r="C64" s="15" t="n"/>
      <c r="D64" s="15" t="n"/>
      <c r="E64" s="15" t="n"/>
      <c r="F64" s="15" t="n"/>
      <c r="G64" s="15" t="n"/>
      <c r="H64" s="15" t="n"/>
      <c r="I64" s="15" t="n"/>
      <c r="J64" s="15" t="n"/>
      <c r="K64" s="15" t="n"/>
    </row>
    <row r="65">
      <c r="A65" s="38" t="inlineStr">
        <is>
          <t>weighted average interest rate incl. amortization of deferred financing fees and OID</t>
        </is>
      </c>
      <c r="B65" s="3" t="n"/>
      <c r="C65" s="3" t="n"/>
      <c r="D65" s="3" t="n"/>
      <c r="E65" s="3" t="n"/>
      <c r="F65" s="3" t="n"/>
      <c r="G65" s="41" t="n">
        <v>5.74</v>
      </c>
      <c r="H65" s="3" t="n"/>
      <c r="I65" s="3" t="n"/>
      <c r="J65" s="3" t="n"/>
      <c r="K65" s="4" t="inlineStr">
        <is>
          <t>Form10A_2026-05-27 p338</t>
        </is>
      </c>
    </row>
    <row r="66">
      <c r="A66" s="38" t="inlineStr">
        <is>
          <t>Interest expense on and amortization of original discount and deferred issuance costs related to the Debt Financing Transactions</t>
        </is>
      </c>
      <c r="B66" s="3" t="n"/>
      <c r="C66" s="3" t="n"/>
      <c r="D66" s="30" t="n">
        <v>114</v>
      </c>
      <c r="E66" s="3" t="n"/>
      <c r="F66" s="3" t="n"/>
      <c r="G66" s="30" t="n">
        <v>29</v>
      </c>
      <c r="H66" s="3" t="n"/>
      <c r="I66" s="3" t="n"/>
      <c r="J66" s="3" t="n"/>
      <c r="K66" s="4" t="inlineStr">
        <is>
          <t>Form10A_2026-05-27 p338</t>
        </is>
      </c>
    </row>
    <row r="67">
      <c r="A67" s="38" t="inlineStr">
        <is>
          <t>Removal of Interest expense on related party note settled as distribution to S&amp;P Global</t>
        </is>
      </c>
      <c r="B67" s="3" t="n"/>
      <c r="C67" s="3" t="n"/>
      <c r="D67" s="30" t="n">
        <v>-14</v>
      </c>
      <c r="E67" s="3" t="n"/>
      <c r="F67" s="3" t="n"/>
      <c r="G67" s="3" t="n"/>
      <c r="H67" s="3" t="n"/>
      <c r="I67" s="3" t="n"/>
      <c r="J67" s="3" t="n"/>
      <c r="K67" s="4" t="inlineStr">
        <is>
          <t>Form10A_2026-05-27 p338</t>
        </is>
      </c>
    </row>
    <row r="68">
      <c r="A68" s="39" t="inlineStr">
        <is>
          <t>Total pro forma adjustment to Interest expense, net</t>
        </is>
      </c>
      <c r="B68" s="3" t="n"/>
      <c r="C68" s="3" t="n"/>
      <c r="D68" s="18" t="n">
        <v>100</v>
      </c>
      <c r="E68" s="3" t="n"/>
      <c r="F68" s="3" t="n"/>
      <c r="G68" s="18" t="n">
        <v>26</v>
      </c>
      <c r="H68" s="3" t="n"/>
      <c r="I68" s="3" t="n"/>
      <c r="J68" s="3" t="n"/>
      <c r="K68" s="4" t="inlineStr">
        <is>
          <t>Form10A_2026-05-27 p338</t>
        </is>
      </c>
    </row>
    <row r="69">
      <c r="A69" s="14" t="inlineStr">
        <is>
          <t>Form10A_2026-05-27 · Revolving Credit Facility (entered 2026-05-06)</t>
        </is>
      </c>
      <c r="B69" s="15" t="n"/>
      <c r="C69" s="15" t="n"/>
      <c r="D69" s="15" t="n"/>
      <c r="E69" s="15" t="n"/>
      <c r="F69" s="15" t="n"/>
      <c r="G69" s="15" t="n"/>
      <c r="H69" s="15" t="n"/>
      <c r="I69" s="15" t="n"/>
      <c r="J69" s="15" t="n"/>
      <c r="K69" s="15" t="n"/>
    </row>
    <row r="70">
      <c r="A70" s="38" t="inlineStr">
        <is>
          <t>Credit Facility tenor from Initial Availability Date (years)</t>
        </is>
      </c>
      <c r="B70" s="3" t="n"/>
      <c r="C70" s="3" t="n"/>
      <c r="D70" s="3" t="n"/>
      <c r="E70" s="3" t="n"/>
      <c r="F70" s="3" t="n"/>
      <c r="G70" s="40" t="n">
        <v>5</v>
      </c>
      <c r="H70" s="3" t="n"/>
      <c r="I70" s="3" t="n"/>
      <c r="J70" s="3" t="n"/>
      <c r="K70" s="4" t="inlineStr">
        <is>
          <t>Form10A_2026-05-27 p363</t>
        </is>
      </c>
    </row>
    <row r="71">
      <c r="A71" s="14" t="inlineStr">
        <is>
          <t>Form10A_2026-05-27 · Revolving Credit Facility</t>
        </is>
      </c>
      <c r="B71" s="15" t="n"/>
      <c r="C71" s="15" t="n"/>
      <c r="D71" s="15" t="n"/>
      <c r="E71" s="15" t="n"/>
      <c r="F71" s="15" t="n"/>
      <c r="G71" s="15" t="n"/>
      <c r="H71" s="15" t="n"/>
      <c r="I71" s="15" t="n"/>
      <c r="J71" s="15" t="n"/>
      <c r="K71" s="15" t="n"/>
    </row>
    <row r="72">
      <c r="A72" s="38" t="inlineStr">
        <is>
          <t>applicable margin term rate loans - minimum</t>
        </is>
      </c>
      <c r="B72" s="3" t="n"/>
      <c r="C72" s="3" t="n"/>
      <c r="D72" s="3" t="n"/>
      <c r="E72" s="3" t="n"/>
      <c r="F72" s="3" t="n"/>
      <c r="G72" s="41" t="n">
        <v>1</v>
      </c>
      <c r="H72" s="3" t="n"/>
      <c r="I72" s="3" t="n"/>
      <c r="J72" s="3" t="n"/>
      <c r="K72" s="4" t="inlineStr">
        <is>
          <t>Form10A_2026-05-27 p364</t>
        </is>
      </c>
    </row>
    <row r="73">
      <c r="A73" s="38" t="inlineStr">
        <is>
          <t>applicable margin term rate loans - maximum</t>
        </is>
      </c>
      <c r="B73" s="3" t="n"/>
      <c r="C73" s="3" t="n"/>
      <c r="D73" s="3" t="n"/>
      <c r="E73" s="3" t="n"/>
      <c r="F73" s="3" t="n"/>
      <c r="G73" s="41" t="n">
        <v>1.625</v>
      </c>
      <c r="H73" s="3" t="n"/>
      <c r="I73" s="3" t="n"/>
      <c r="J73" s="3" t="n"/>
      <c r="K73" s="4" t="inlineStr">
        <is>
          <t>Form10A_2026-05-27 p364</t>
        </is>
      </c>
    </row>
    <row r="74">
      <c r="A74" s="38" t="inlineStr">
        <is>
          <t>applicable margin base rate loans - minimum</t>
        </is>
      </c>
      <c r="B74" s="3" t="n"/>
      <c r="C74" s="3" t="n"/>
      <c r="D74" s="3" t="n"/>
      <c r="E74" s="3" t="n"/>
      <c r="F74" s="3" t="n"/>
      <c r="G74" s="41" t="n">
        <v>0</v>
      </c>
      <c r="H74" s="3" t="n"/>
      <c r="I74" s="3" t="n"/>
      <c r="J74" s="3" t="n"/>
      <c r="K74" s="4" t="inlineStr">
        <is>
          <t>Form10A_2026-05-27 p364</t>
        </is>
      </c>
    </row>
    <row r="75">
      <c r="A75" s="38" t="inlineStr">
        <is>
          <t>applicable margin base rate loans - maximum</t>
        </is>
      </c>
      <c r="B75" s="3" t="n"/>
      <c r="C75" s="3" t="n"/>
      <c r="D75" s="3" t="n"/>
      <c r="E75" s="3" t="n"/>
      <c r="F75" s="3" t="n"/>
      <c r="G75" s="41" t="n">
        <v>0.625</v>
      </c>
      <c r="H75" s="3" t="n"/>
      <c r="I75" s="3" t="n"/>
      <c r="J75" s="3" t="n"/>
      <c r="K75" s="4" t="inlineStr">
        <is>
          <t>Form10A_2026-05-27 p364</t>
        </is>
      </c>
    </row>
    <row r="76">
      <c r="A76" s="38" t="inlineStr">
        <is>
          <t>covenant: maximum total net leverage ratio (x)</t>
        </is>
      </c>
      <c r="B76" s="3" t="n"/>
      <c r="C76" s="3" t="n"/>
      <c r="D76" s="3" t="n"/>
      <c r="E76" s="3" t="n"/>
      <c r="F76" s="3" t="n"/>
      <c r="G76" s="40" t="n">
        <v>3.5</v>
      </c>
      <c r="H76" s="3" t="n"/>
      <c r="I76" s="3" t="n"/>
      <c r="J76" s="3" t="n"/>
      <c r="K76" s="4" t="inlineStr">
        <is>
          <t>Form10A_2026-05-27 p364</t>
        </is>
      </c>
    </row>
    <row r="77">
      <c r="A77" s="38" t="inlineStr">
        <is>
          <t>covenant: step-up maximum total net leverage ratio after qualifying material acquisition (x; four fiscal quarters)</t>
        </is>
      </c>
      <c r="B77" s="3" t="n"/>
      <c r="C77" s="3" t="n"/>
      <c r="D77" s="3" t="n"/>
      <c r="E77" s="3" t="n"/>
      <c r="F77" s="3" t="n"/>
      <c r="G77" s="40" t="n">
        <v>4</v>
      </c>
      <c r="H77" s="3" t="n"/>
      <c r="I77" s="3" t="n"/>
      <c r="J77" s="3" t="n"/>
      <c r="K77" s="4" t="inlineStr">
        <is>
          <t>Form10A_2026-05-27 p364</t>
        </is>
      </c>
    </row>
    <row r="78">
      <c r="A78" s="38" t="inlineStr">
        <is>
          <t>maturity extension options (one-year each; maximum number)</t>
        </is>
      </c>
      <c r="B78" s="3" t="n"/>
      <c r="C78" s="3" t="n"/>
      <c r="D78" s="3" t="n"/>
      <c r="E78" s="3" t="n"/>
      <c r="F78" s="3" t="n"/>
      <c r="G78" s="40" t="n">
        <v>2</v>
      </c>
      <c r="H78" s="3" t="n"/>
      <c r="I78" s="3" t="n"/>
      <c r="J78" s="3" t="n"/>
      <c r="K78" s="4" t="inlineStr">
        <is>
          <t>Form10A_2026-05-27 p364</t>
        </is>
      </c>
    </row>
    <row r="79">
      <c r="A79" s="14" t="inlineStr">
        <is>
          <t>10Q_Q2-2026 · Debt table</t>
        </is>
      </c>
      <c r="B79" s="15" t="n"/>
      <c r="C79" s="15" t="n"/>
      <c r="D79" s="15" t="n"/>
      <c r="E79" s="15" t="n"/>
      <c r="F79" s="15" t="n"/>
      <c r="G79" s="15" t="n"/>
      <c r="H79" s="15" t="n"/>
      <c r="I79" s="15" t="n"/>
      <c r="J79" s="15" t="n"/>
      <c r="K79" s="15" t="n"/>
    </row>
    <row r="80">
      <c r="A80" s="38" t="inlineStr">
        <is>
          <t>5.050% Senior notes due 2029</t>
        </is>
      </c>
      <c r="B80" s="3" t="n"/>
      <c r="C80" s="3" t="n"/>
      <c r="D80" s="3" t="n"/>
      <c r="E80" s="3" t="n"/>
      <c r="F80" s="3" t="n"/>
      <c r="G80" s="3" t="n"/>
      <c r="H80" s="30" t="n">
        <v>650</v>
      </c>
      <c r="I80" s="3" t="n"/>
      <c r="J80" s="3" t="n"/>
      <c r="K80" s="4" t="inlineStr">
        <is>
          <t>10Q_Q2-2026 p11</t>
        </is>
      </c>
    </row>
    <row r="81">
      <c r="A81" s="38" t="inlineStr">
        <is>
          <t>5.450% Senior notes due 2031</t>
        </is>
      </c>
      <c r="B81" s="3" t="n"/>
      <c r="C81" s="3" t="n"/>
      <c r="D81" s="3" t="n"/>
      <c r="E81" s="3" t="n"/>
      <c r="F81" s="3" t="n"/>
      <c r="G81" s="3" t="n"/>
      <c r="H81" s="30" t="n">
        <v>650</v>
      </c>
      <c r="I81" s="3" t="n"/>
      <c r="J81" s="3" t="n"/>
      <c r="K81" s="4" t="inlineStr">
        <is>
          <t>10Q_Q2-2026 p11</t>
        </is>
      </c>
    </row>
    <row r="82">
      <c r="A82" s="38" t="inlineStr">
        <is>
          <t>6.050% Senior notes due 2036</t>
        </is>
      </c>
      <c r="B82" s="3" t="n"/>
      <c r="C82" s="3" t="n"/>
      <c r="D82" s="3" t="n"/>
      <c r="E82" s="3" t="n"/>
      <c r="F82" s="3" t="n"/>
      <c r="G82" s="3" t="n"/>
      <c r="H82" s="30" t="n">
        <v>700</v>
      </c>
      <c r="I82" s="3" t="n"/>
      <c r="J82" s="3" t="n"/>
      <c r="K82" s="4" t="inlineStr">
        <is>
          <t>10Q_Q2-2026 p11</t>
        </is>
      </c>
    </row>
    <row r="83">
      <c r="A83" s="38" t="inlineStr">
        <is>
          <t>Less: Unamortized debt issuance costs and discount on debt</t>
        </is>
      </c>
      <c r="B83" s="3" t="n"/>
      <c r="C83" s="3" t="n"/>
      <c r="D83" s="3" t="n"/>
      <c r="E83" s="3" t="n"/>
      <c r="F83" s="3" t="n"/>
      <c r="G83" s="3" t="n"/>
      <c r="H83" s="30" t="n">
        <v>-19</v>
      </c>
      <c r="I83" s="3" t="n"/>
      <c r="J83" s="3" t="n"/>
      <c r="K83" s="4" t="inlineStr">
        <is>
          <t>10Q_Q2-2026 p11</t>
        </is>
      </c>
    </row>
    <row r="84">
      <c r="A84" s="39" t="inlineStr">
        <is>
          <t>Total debt</t>
        </is>
      </c>
      <c r="B84" s="3" t="n"/>
      <c r="C84" s="3" t="n"/>
      <c r="D84" s="3" t="n"/>
      <c r="E84" s="3" t="n"/>
      <c r="F84" s="3" t="n"/>
      <c r="G84" s="3" t="n"/>
      <c r="H84" s="18" t="n">
        <v>1981</v>
      </c>
      <c r="I84" s="3" t="n"/>
      <c r="J84" s="3" t="n"/>
      <c r="K84" s="4" t="inlineStr">
        <is>
          <t>10Q_Q2-2026 p11</t>
        </is>
      </c>
    </row>
    <row r="85">
      <c r="A85" s="14" t="inlineStr">
        <is>
          <t>10Q_Q2-2026 · Debt table (comparative)</t>
        </is>
      </c>
      <c r="B85" s="15" t="n"/>
      <c r="C85" s="15" t="n"/>
      <c r="D85" s="15" t="n"/>
      <c r="E85" s="15" t="n"/>
      <c r="F85" s="15" t="n"/>
      <c r="G85" s="15" t="n"/>
      <c r="H85" s="15" t="n"/>
      <c r="I85" s="15" t="n"/>
      <c r="J85" s="15" t="n"/>
      <c r="K85" s="15" t="n"/>
    </row>
    <row r="86">
      <c r="A86" s="38" t="inlineStr">
        <is>
          <t>5.050% Senior notes due 2029</t>
        </is>
      </c>
      <c r="B86" s="3" t="n"/>
      <c r="C86" s="3" t="n"/>
      <c r="D86" s="30" t="n">
        <v>0</v>
      </c>
      <c r="E86" s="3" t="n"/>
      <c r="F86" s="3" t="n"/>
      <c r="G86" s="3" t="n"/>
      <c r="H86" s="3" t="n"/>
      <c r="I86" s="3" t="n"/>
      <c r="J86" s="3" t="n"/>
      <c r="K86" s="4" t="inlineStr">
        <is>
          <t>10Q_Q2-2026 p11</t>
        </is>
      </c>
    </row>
    <row r="87">
      <c r="A87" s="38" t="inlineStr">
        <is>
          <t>5.450% Senior notes due 2031</t>
        </is>
      </c>
      <c r="B87" s="3" t="n"/>
      <c r="C87" s="3" t="n"/>
      <c r="D87" s="30" t="n">
        <v>0</v>
      </c>
      <c r="E87" s="3" t="n"/>
      <c r="F87" s="3" t="n"/>
      <c r="G87" s="3" t="n"/>
      <c r="H87" s="3" t="n"/>
      <c r="I87" s="3" t="n"/>
      <c r="J87" s="3" t="n"/>
      <c r="K87" s="4" t="inlineStr">
        <is>
          <t>10Q_Q2-2026 p11</t>
        </is>
      </c>
    </row>
    <row r="88">
      <c r="A88" s="38" t="inlineStr">
        <is>
          <t>6.050% Senior notes due 2036</t>
        </is>
      </c>
      <c r="B88" s="3" t="n"/>
      <c r="C88" s="3" t="n"/>
      <c r="D88" s="30" t="n">
        <v>0</v>
      </c>
      <c r="E88" s="3" t="n"/>
      <c r="F88" s="3" t="n"/>
      <c r="G88" s="3" t="n"/>
      <c r="H88" s="3" t="n"/>
      <c r="I88" s="3" t="n"/>
      <c r="J88" s="3" t="n"/>
      <c r="K88" s="4" t="inlineStr">
        <is>
          <t>10Q_Q2-2026 p11</t>
        </is>
      </c>
    </row>
    <row r="89">
      <c r="A89" s="38" t="inlineStr">
        <is>
          <t>Less: Unamortized debt issuance costs and discount on debt</t>
        </is>
      </c>
      <c r="B89" s="3" t="n"/>
      <c r="C89" s="3" t="n"/>
      <c r="D89" s="30" t="n">
        <v>0</v>
      </c>
      <c r="E89" s="3" t="n"/>
      <c r="F89" s="3" t="n"/>
      <c r="G89" s="3" t="n"/>
      <c r="H89" s="3" t="n"/>
      <c r="I89" s="3" t="n"/>
      <c r="J89" s="3" t="n"/>
      <c r="K89" s="4" t="inlineStr">
        <is>
          <t>10Q_Q2-2026 p11</t>
        </is>
      </c>
    </row>
    <row r="90">
      <c r="A90" s="39" t="inlineStr">
        <is>
          <t>Total debt</t>
        </is>
      </c>
      <c r="B90" s="3" t="n"/>
      <c r="C90" s="3" t="n"/>
      <c r="D90" s="18" t="n">
        <v>0</v>
      </c>
      <c r="E90" s="3" t="n"/>
      <c r="F90" s="3" t="n"/>
      <c r="G90" s="3" t="n"/>
      <c r="H90" s="3" t="n"/>
      <c r="I90" s="3" t="n"/>
      <c r="J90" s="3" t="n"/>
      <c r="K90" s="4" t="inlineStr">
        <is>
          <t>10Q_Q2-2026 p11</t>
        </is>
      </c>
    </row>
    <row r="91">
      <c r="A91" s="14" t="inlineStr">
        <is>
          <t>10Q_Q2-2026 · Senior Notes (issued 2026-05-29; escrow released 2026-06-30; interest Jun 15/Dec 15 from 2026-12-15)</t>
        </is>
      </c>
      <c r="B91" s="15" t="n"/>
      <c r="C91" s="15" t="n"/>
      <c r="D91" s="15" t="n"/>
      <c r="E91" s="15" t="n"/>
      <c r="F91" s="15" t="n"/>
      <c r="G91" s="15" t="n"/>
      <c r="H91" s="15" t="n"/>
      <c r="I91" s="15" t="n"/>
      <c r="J91" s="15" t="n"/>
      <c r="K91" s="15" t="n"/>
    </row>
    <row r="92">
      <c r="A92" s="38" t="inlineStr">
        <is>
          <t>aggregate principal amount issued</t>
        </is>
      </c>
      <c r="B92" s="3" t="n"/>
      <c r="C92" s="3" t="n"/>
      <c r="D92" s="3" t="n"/>
      <c r="E92" s="3" t="n"/>
      <c r="F92" s="3" t="n"/>
      <c r="G92" s="3" t="n"/>
      <c r="H92" s="30" t="n">
        <v>2000</v>
      </c>
      <c r="I92" s="3" t="n"/>
      <c r="J92" s="3" t="n"/>
      <c r="K92" s="4" t="inlineStr">
        <is>
          <t>10Q_Q2-2026 p11</t>
        </is>
      </c>
    </row>
    <row r="93">
      <c r="A93" s="14" t="inlineStr">
        <is>
          <t>10Q_Q2-2026 · Senior Notes</t>
        </is>
      </c>
      <c r="B93" s="15" t="n"/>
      <c r="C93" s="15" t="n"/>
      <c r="D93" s="15" t="n"/>
      <c r="E93" s="15" t="n"/>
      <c r="F93" s="15" t="n"/>
      <c r="G93" s="15" t="n"/>
      <c r="H93" s="15" t="n"/>
      <c r="I93" s="15" t="n"/>
      <c r="J93" s="15" t="n"/>
      <c r="K93" s="15" t="n"/>
    </row>
    <row r="94">
      <c r="A94" s="38" t="inlineStr">
        <is>
          <t>debt issuance costs incurred (approximately)</t>
        </is>
      </c>
      <c r="B94" s="3" t="n"/>
      <c r="C94" s="3" t="n"/>
      <c r="D94" s="3" t="n"/>
      <c r="E94" s="3" t="n"/>
      <c r="F94" s="3" t="n"/>
      <c r="G94" s="3" t="n"/>
      <c r="H94" s="30" t="n">
        <v>16</v>
      </c>
      <c r="I94" s="3" t="n"/>
      <c r="J94" s="3" t="n"/>
      <c r="K94" s="4" t="inlineStr">
        <is>
          <t>10Q_Q2-2026 p12</t>
        </is>
      </c>
    </row>
    <row r="95">
      <c r="A95" s="38" t="inlineStr">
        <is>
          <t>change of control repurchase price (% of principal)</t>
        </is>
      </c>
      <c r="B95" s="3" t="n"/>
      <c r="C95" s="3" t="n"/>
      <c r="D95" s="3" t="n"/>
      <c r="E95" s="3" t="n"/>
      <c r="F95" s="3" t="n"/>
      <c r="G95" s="3" t="n"/>
      <c r="H95" s="41" t="n">
        <v>101</v>
      </c>
      <c r="I95" s="3" t="n"/>
      <c r="J95" s="3" t="n"/>
      <c r="K95" s="4" t="inlineStr">
        <is>
          <t>10Q_Q2-2026 p12</t>
        </is>
      </c>
    </row>
    <row r="96">
      <c r="A96" s="14" t="inlineStr">
        <is>
          <t>10Q_Q2-2026 · Spin distribution</t>
        </is>
      </c>
      <c r="B96" s="15" t="n"/>
      <c r="C96" s="15" t="n"/>
      <c r="D96" s="15" t="n"/>
      <c r="E96" s="15" t="n"/>
      <c r="F96" s="15" t="n"/>
      <c r="G96" s="15" t="n"/>
      <c r="H96" s="15" t="n"/>
      <c r="I96" s="15" t="n"/>
      <c r="J96" s="15" t="n"/>
      <c r="K96" s="15" t="n"/>
    </row>
    <row r="97">
      <c r="A97" s="38" t="inlineStr">
        <is>
          <t>dividend paid to S&amp;P Global as consideration for transfer of assets liabilities and entities (printed $2.0 billion)</t>
        </is>
      </c>
      <c r="B97" s="3" t="n"/>
      <c r="C97" s="3" t="n"/>
      <c r="D97" s="3" t="n"/>
      <c r="E97" s="3" t="n"/>
      <c r="F97" s="3" t="n"/>
      <c r="G97" s="3" t="n"/>
      <c r="H97" s="30" t="n">
        <v>2000</v>
      </c>
      <c r="I97" s="3" t="n"/>
      <c r="J97" s="3" t="n"/>
      <c r="K97" s="4" t="inlineStr">
        <is>
          <t>10Q_Q2-2026 p12</t>
        </is>
      </c>
    </row>
    <row r="98">
      <c r="A98" s="14" t="inlineStr">
        <is>
          <t>10Q_Q2-2026 · Cash flow</t>
        </is>
      </c>
      <c r="B98" s="15" t="n"/>
      <c r="C98" s="15" t="n"/>
      <c r="D98" s="15" t="n"/>
      <c r="E98" s="15" t="n"/>
      <c r="F98" s="15" t="n"/>
      <c r="G98" s="15" t="n"/>
      <c r="H98" s="15" t="n"/>
      <c r="I98" s="15" t="n"/>
      <c r="J98" s="15" t="n"/>
      <c r="K98" s="15" t="n"/>
    </row>
    <row r="99">
      <c r="A99" s="38" t="inlineStr">
        <is>
          <t>Proceeds from issuance of Senior Notes</t>
        </is>
      </c>
      <c r="B99" s="3" t="n"/>
      <c r="C99" s="3" t="n"/>
      <c r="D99" s="3" t="n"/>
      <c r="E99" s="3" t="n"/>
      <c r="F99" s="3" t="n"/>
      <c r="G99" s="3" t="n"/>
      <c r="H99" s="3" t="n"/>
      <c r="I99" s="30" t="n">
        <v>1986</v>
      </c>
      <c r="J99" s="3" t="n"/>
      <c r="K99" s="4" t="inlineStr">
        <is>
          <t>10Q_Q2-2026 p7</t>
        </is>
      </c>
    </row>
    <row r="100">
      <c r="A100" s="38" t="inlineStr">
        <is>
          <t>Net transfers to Parent</t>
        </is>
      </c>
      <c r="B100" s="3" t="n"/>
      <c r="C100" s="3" t="n"/>
      <c r="D100" s="3" t="n"/>
      <c r="E100" s="3" t="n"/>
      <c r="F100" s="3" t="n"/>
      <c r="G100" s="3" t="n"/>
      <c r="H100" s="3" t="n"/>
      <c r="I100" s="30" t="n">
        <v>-2011</v>
      </c>
      <c r="J100" s="3" t="n"/>
      <c r="K100" s="4" t="inlineStr">
        <is>
          <t>10Q_Q2-2026 p7</t>
        </is>
      </c>
    </row>
    <row r="101">
      <c r="A101" s="14" t="inlineStr">
        <is>
          <t>10Q_Q2-2026 · Supplemental non-cash</t>
        </is>
      </c>
      <c r="B101" s="15" t="n"/>
      <c r="C101" s="15" t="n"/>
      <c r="D101" s="15" t="n"/>
      <c r="E101" s="15" t="n"/>
      <c r="F101" s="15" t="n"/>
      <c r="G101" s="15" t="n"/>
      <c r="H101" s="15" t="n"/>
      <c r="I101" s="15" t="n"/>
      <c r="J101" s="15" t="n"/>
      <c r="K101" s="15" t="n"/>
    </row>
    <row r="102">
      <c r="A102" s="38" t="inlineStr">
        <is>
          <t>Consolidation of Canada Carfax Loan</t>
        </is>
      </c>
      <c r="B102" s="3" t="n"/>
      <c r="C102" s="3" t="n"/>
      <c r="D102" s="3" t="n"/>
      <c r="E102" s="3" t="n"/>
      <c r="F102" s="3" t="n"/>
      <c r="G102" s="3" t="n"/>
      <c r="H102" s="3" t="n"/>
      <c r="I102" s="30" t="n">
        <v>230</v>
      </c>
      <c r="J102" s="3" t="n"/>
      <c r="K102" s="4" t="inlineStr">
        <is>
          <t>10Q_Q2-2026 p7</t>
        </is>
      </c>
    </row>
    <row r="103">
      <c r="A103" s="38" t="inlineStr">
        <is>
          <t>Accrued debt issuance costs</t>
        </is>
      </c>
      <c r="B103" s="3" t="n"/>
      <c r="C103" s="3" t="n"/>
      <c r="D103" s="3" t="n"/>
      <c r="E103" s="3" t="n"/>
      <c r="F103" s="3" t="n"/>
      <c r="G103" s="3" t="n"/>
      <c r="H103" s="3" t="n"/>
      <c r="I103" s="30" t="n">
        <v>5</v>
      </c>
      <c r="J103" s="3" t="n"/>
      <c r="K103" s="4" t="inlineStr">
        <is>
          <t>10Q_Q2-2026 p7</t>
        </is>
      </c>
    </row>
    <row r="104">
      <c r="A104" s="14" t="inlineStr">
        <is>
          <t>10Q_Q2-2026 · Revolving Credit Facility (matures 2031-07-01; available 2026-07-01)</t>
        </is>
      </c>
      <c r="B104" s="15" t="n"/>
      <c r="C104" s="15" t="n"/>
      <c r="D104" s="15" t="n"/>
      <c r="E104" s="15" t="n"/>
      <c r="F104" s="15" t="n"/>
      <c r="G104" s="15" t="n"/>
      <c r="H104" s="15" t="n"/>
      <c r="I104" s="15" t="n"/>
      <c r="J104" s="15" t="n"/>
      <c r="K104" s="15" t="n"/>
    </row>
    <row r="105">
      <c r="A105" s="38" t="inlineStr">
        <is>
          <t>Credit Facility commitment</t>
        </is>
      </c>
      <c r="B105" s="3" t="n"/>
      <c r="C105" s="3" t="n"/>
      <c r="D105" s="3" t="n"/>
      <c r="E105" s="3" t="n"/>
      <c r="F105" s="3" t="n"/>
      <c r="G105" s="3" t="n"/>
      <c r="H105" s="30" t="n">
        <v>500</v>
      </c>
      <c r="I105" s="3" t="n"/>
      <c r="J105" s="3" t="n"/>
      <c r="K105" s="4" t="inlineStr">
        <is>
          <t>10Q_Q2-2026 p12</t>
        </is>
      </c>
    </row>
    <row r="106">
      <c r="A106" s="14" t="inlineStr">
        <is>
          <t>10Q_Q2-2026 · Revolving Credit Facility</t>
        </is>
      </c>
      <c r="B106" s="15" t="n"/>
      <c r="C106" s="15" t="n"/>
      <c r="D106" s="15" t="n"/>
      <c r="E106" s="15" t="n"/>
      <c r="F106" s="15" t="n"/>
      <c r="G106" s="15" t="n"/>
      <c r="H106" s="15" t="n"/>
      <c r="I106" s="15" t="n"/>
      <c r="J106" s="15" t="n"/>
      <c r="K106" s="15" t="n"/>
    </row>
    <row r="107">
      <c r="A107" s="38" t="inlineStr">
        <is>
          <t>optional capacity increase (accordion) up to</t>
        </is>
      </c>
      <c r="B107" s="3" t="n"/>
      <c r="C107" s="3" t="n"/>
      <c r="D107" s="3" t="n"/>
      <c r="E107" s="3" t="n"/>
      <c r="F107" s="3" t="n"/>
      <c r="G107" s="3" t="n"/>
      <c r="H107" s="30" t="n">
        <v>250</v>
      </c>
      <c r="I107" s="3" t="n"/>
      <c r="J107" s="3" t="n"/>
      <c r="K107" s="4" t="inlineStr">
        <is>
          <t>10Q_Q2-2026 p12</t>
        </is>
      </c>
    </row>
    <row r="108">
      <c r="A108" s="38" t="inlineStr">
        <is>
          <t>applicable margin term rate loans - minimum</t>
        </is>
      </c>
      <c r="B108" s="3" t="n"/>
      <c r="C108" s="3" t="n"/>
      <c r="D108" s="3" t="n"/>
      <c r="E108" s="3" t="n"/>
      <c r="F108" s="3" t="n"/>
      <c r="G108" s="3" t="n"/>
      <c r="H108" s="41" t="n">
        <v>1</v>
      </c>
      <c r="I108" s="3" t="n"/>
      <c r="J108" s="3" t="n"/>
      <c r="K108" s="4" t="inlineStr">
        <is>
          <t>10Q_Q2-2026 p12</t>
        </is>
      </c>
    </row>
    <row r="109">
      <c r="A109" s="38" t="inlineStr">
        <is>
          <t>applicable margin term rate loans - maximum</t>
        </is>
      </c>
      <c r="B109" s="3" t="n"/>
      <c r="C109" s="3" t="n"/>
      <c r="D109" s="3" t="n"/>
      <c r="E109" s="3" t="n"/>
      <c r="F109" s="3" t="n"/>
      <c r="G109" s="3" t="n"/>
      <c r="H109" s="41" t="n">
        <v>1.625</v>
      </c>
      <c r="I109" s="3" t="n"/>
      <c r="J109" s="3" t="n"/>
      <c r="K109" s="4" t="inlineStr">
        <is>
          <t>10Q_Q2-2026 p12</t>
        </is>
      </c>
    </row>
    <row r="110">
      <c r="A110" s="38" t="inlineStr">
        <is>
          <t>applicable margin base rate loans - minimum</t>
        </is>
      </c>
      <c r="B110" s="3" t="n"/>
      <c r="C110" s="3" t="n"/>
      <c r="D110" s="3" t="n"/>
      <c r="E110" s="3" t="n"/>
      <c r="F110" s="3" t="n"/>
      <c r="G110" s="3" t="n"/>
      <c r="H110" s="41" t="n">
        <v>0</v>
      </c>
      <c r="I110" s="3" t="n"/>
      <c r="J110" s="3" t="n"/>
      <c r="K110" s="4" t="inlineStr">
        <is>
          <t>10Q_Q2-2026 p12</t>
        </is>
      </c>
    </row>
    <row r="111">
      <c r="A111" s="38" t="inlineStr">
        <is>
          <t>applicable margin base rate loans - maximum</t>
        </is>
      </c>
      <c r="B111" s="3" t="n"/>
      <c r="C111" s="3" t="n"/>
      <c r="D111" s="3" t="n"/>
      <c r="E111" s="3" t="n"/>
      <c r="F111" s="3" t="n"/>
      <c r="G111" s="3" t="n"/>
      <c r="H111" s="41" t="n">
        <v>0.625</v>
      </c>
      <c r="I111" s="3" t="n"/>
      <c r="J111" s="3" t="n"/>
      <c r="K111" s="4" t="inlineStr">
        <is>
          <t>10Q_Q2-2026 p12</t>
        </is>
      </c>
    </row>
    <row r="112">
      <c r="A112" s="38" t="inlineStr">
        <is>
          <t>covenant: maximum total net leverage ratio (x)</t>
        </is>
      </c>
      <c r="B112" s="3" t="n"/>
      <c r="C112" s="3" t="n"/>
      <c r="D112" s="3" t="n"/>
      <c r="E112" s="3" t="n"/>
      <c r="F112" s="3" t="n"/>
      <c r="G112" s="3" t="n"/>
      <c r="H112" s="40" t="n">
        <v>3.5</v>
      </c>
      <c r="I112" s="3" t="n"/>
      <c r="J112" s="3" t="n"/>
      <c r="K112" s="4" t="inlineStr">
        <is>
          <t>10Q_Q2-2026 p13</t>
        </is>
      </c>
    </row>
    <row r="113">
      <c r="A113" s="38" t="inlineStr">
        <is>
          <t>covenant: step-up maximum after qualifying material acquisition (x)</t>
        </is>
      </c>
      <c r="B113" s="3" t="n"/>
      <c r="C113" s="3" t="n"/>
      <c r="D113" s="3" t="n"/>
      <c r="E113" s="3" t="n"/>
      <c r="F113" s="3" t="n"/>
      <c r="G113" s="3" t="n"/>
      <c r="H113" s="40" t="n">
        <v>4</v>
      </c>
      <c r="I113" s="3" t="n"/>
      <c r="J113" s="3" t="n"/>
      <c r="K113" s="4" t="inlineStr">
        <is>
          <t>10Q_Q2-2026 p13</t>
        </is>
      </c>
    </row>
    <row r="114">
      <c r="A114" s="38" t="inlineStr">
        <is>
          <t>outstanding borrowings</t>
        </is>
      </c>
      <c r="B114" s="3" t="n"/>
      <c r="C114" s="3" t="n"/>
      <c r="D114" s="3" t="n"/>
      <c r="E114" s="3" t="n"/>
      <c r="F114" s="3" t="n"/>
      <c r="G114" s="3" t="n"/>
      <c r="H114" s="30" t="n">
        <v>0</v>
      </c>
      <c r="I114" s="3" t="n"/>
      <c r="J114" s="3" t="n"/>
      <c r="K114" s="4" t="inlineStr">
        <is>
          <t>10Q_Q2-2026 p13</t>
        </is>
      </c>
    </row>
    <row r="115">
      <c r="A115" s="14" t="inlineStr">
        <is>
          <t>10Q_Q2-2026 · Canada Carfax Loan (contributed by S&amp;P Global 2026-06-25; eliminated in consolidation)</t>
        </is>
      </c>
      <c r="B115" s="15" t="n"/>
      <c r="C115" s="15" t="n"/>
      <c r="D115" s="15" t="n"/>
      <c r="E115" s="15" t="n"/>
      <c r="F115" s="15" t="n"/>
      <c r="G115" s="15" t="n"/>
      <c r="H115" s="15" t="n"/>
      <c r="I115" s="15" t="n"/>
      <c r="J115" s="15" t="n"/>
      <c r="K115" s="15" t="n"/>
    </row>
    <row r="116">
      <c r="A116" s="38" t="inlineStr">
        <is>
          <t>related party interest expense</t>
        </is>
      </c>
      <c r="B116" s="3" t="n"/>
      <c r="C116" s="3" t="n"/>
      <c r="D116" s="3" t="n"/>
      <c r="E116" s="3" t="n"/>
      <c r="F116" s="3" t="n"/>
      <c r="G116" s="3" t="n"/>
      <c r="H116" s="3" t="n"/>
      <c r="I116" s="30" t="n">
        <v>7</v>
      </c>
      <c r="J116" s="3" t="n"/>
      <c r="K116" s="4" t="inlineStr">
        <is>
          <t>10Q_Q2-2026 p17</t>
        </is>
      </c>
    </row>
    <row r="117">
      <c r="A117" s="14" t="inlineStr">
        <is>
          <t>10Q_Q2-2026 · Canada Carfax Loan</t>
        </is>
      </c>
      <c r="B117" s="15" t="n"/>
      <c r="C117" s="15" t="n"/>
      <c r="D117" s="15" t="n"/>
      <c r="E117" s="15" t="n"/>
      <c r="F117" s="15" t="n"/>
      <c r="G117" s="15" t="n"/>
      <c r="H117" s="15" t="n"/>
      <c r="I117" s="15" t="n"/>
      <c r="J117" s="15" t="n"/>
      <c r="K117" s="15" t="n"/>
    </row>
    <row r="118">
      <c r="A118" s="38" t="inlineStr">
        <is>
          <t>related party interest expense</t>
        </is>
      </c>
      <c r="B118" s="3" t="n"/>
      <c r="C118" s="3" t="n"/>
      <c r="D118" s="3" t="n"/>
      <c r="E118" s="3" t="n"/>
      <c r="F118" s="30" t="n">
        <v>7</v>
      </c>
      <c r="G118" s="3" t="n"/>
      <c r="H118" s="3" t="n"/>
      <c r="I118" s="3" t="n"/>
      <c r="J118" s="3" t="n"/>
      <c r="K118" s="4" t="inlineStr">
        <is>
          <t>10Q_Q2-2026 p17</t>
        </is>
      </c>
    </row>
    <row r="119">
      <c r="A119" s="38" t="inlineStr">
        <is>
          <t>voluntary prepayments on principal</t>
        </is>
      </c>
      <c r="B119" s="3" t="n"/>
      <c r="C119" s="3" t="n"/>
      <c r="D119" s="3" t="n"/>
      <c r="E119" s="3" t="n"/>
      <c r="F119" s="30" t="n">
        <v>18</v>
      </c>
      <c r="G119" s="3" t="n"/>
      <c r="H119" s="3" t="n"/>
      <c r="I119" s="30" t="n">
        <v>0</v>
      </c>
      <c r="J119" s="3" t="n"/>
      <c r="K119" s="4" t="inlineStr">
        <is>
          <t>10Q_Q2-2026 p17</t>
        </is>
      </c>
    </row>
    <row r="120">
      <c r="A120" s="38" t="inlineStr">
        <is>
          <t>payments of interest</t>
        </is>
      </c>
      <c r="B120" s="3" t="n"/>
      <c r="C120" s="3" t="n"/>
      <c r="D120" s="3" t="n"/>
      <c r="E120" s="3" t="n"/>
      <c r="F120" s="30" t="n">
        <v>7</v>
      </c>
      <c r="G120" s="3" t="n"/>
      <c r="H120" s="3" t="n"/>
      <c r="I120" s="30" t="n">
        <v>7</v>
      </c>
      <c r="J120" s="3" t="n"/>
      <c r="K120" s="4" t="inlineStr">
        <is>
          <t>10Q_Q2-2026 p17</t>
        </is>
      </c>
    </row>
    <row r="121">
      <c r="A121" s="38" t="inlineStr">
        <is>
          <t>outstanding loan balance payable to S&amp;P Global inclusive of accrued interest</t>
        </is>
      </c>
      <c r="B121" s="3" t="n"/>
      <c r="C121" s="3" t="n"/>
      <c r="D121" s="30" t="n">
        <v>230</v>
      </c>
      <c r="E121" s="3" t="n"/>
      <c r="F121" s="3" t="n"/>
      <c r="G121" s="3" t="n"/>
      <c r="H121" s="3" t="n"/>
      <c r="I121" s="3" t="n"/>
      <c r="J121" s="3" t="n"/>
      <c r="K121" s="4" t="inlineStr">
        <is>
          <t>10Q_Q2-2026 p17</t>
        </is>
      </c>
    </row>
    <row r="122">
      <c r="A122" s="14" t="inlineStr">
        <is>
          <t>10Q_Q2-2026 · Hedging (effective 2026-07-01; terminates 2026-09-30)</t>
        </is>
      </c>
      <c r="B122" s="15" t="n"/>
      <c r="C122" s="15" t="n"/>
      <c r="D122" s="15" t="n"/>
      <c r="E122" s="15" t="n"/>
      <c r="F122" s="15" t="n"/>
      <c r="G122" s="15" t="n"/>
      <c r="H122" s="15" t="n"/>
      <c r="I122" s="15" t="n"/>
      <c r="J122" s="15" t="n"/>
      <c r="K122" s="15" t="n"/>
    </row>
    <row r="123">
      <c r="A123" s="38" t="inlineStr">
        <is>
          <t>foreign currency forward contract USD/CAD entered in connection with the Canada Carfax Loan (notional not disclosed)</t>
        </is>
      </c>
      <c r="B123" s="3" t="n"/>
      <c r="C123" s="3" t="n"/>
      <c r="D123" s="3" t="n"/>
      <c r="E123" s="3" t="n"/>
      <c r="F123" s="3" t="n"/>
      <c r="G123" s="3" t="n"/>
      <c r="H123" s="3" t="n"/>
      <c r="I123" s="3" t="n"/>
      <c r="J123" s="42" t="inlineStr"/>
      <c r="K123" s="4" t="inlineStr">
        <is>
          <t>10Q_Q2-2026 p31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5" customWidth="1" min="11" max="11"/>
    <col hidden="1" width="13" customWidth="1" min="26" max="26"/>
  </cols>
  <sheetData>
    <row r="1" ht="20" customHeight="1">
      <c r="A1" s="1" t="inlineStr">
        <is>
          <t>Income taxes — ETR reconciliation, current/deferred, DTA/DTL</t>
        </is>
      </c>
      <c r="B1" s="2" t="n"/>
      <c r="C1" s="2" t="n"/>
      <c r="D1" s="2" t="n"/>
      <c r="E1" s="2" t="n"/>
      <c r="F1" s="2" t="n"/>
      <c r="G1" s="2" t="n"/>
      <c r="H1" s="2" t="n"/>
      <c r="I1" s="2" t="n"/>
      <c r="J1" s="2" t="n"/>
      <c r="K1" s="2" t="n"/>
    </row>
    <row r="2">
      <c r="A2" s="4" t="inlineStr">
        <is>
          <t>As printed; see notes_NOTES.md for unreadable cells and tables that do not foot.</t>
        </is>
      </c>
      <c r="B2" s="3" t="n"/>
      <c r="C2" s="3" t="n"/>
      <c r="D2" s="3" t="n"/>
      <c r="E2" s="3" t="n"/>
      <c r="F2" s="3" t="n"/>
      <c r="G2" s="3" t="n"/>
      <c r="H2" s="3" t="n"/>
      <c r="I2" s="3" t="n"/>
      <c r="J2" s="3" t="n"/>
      <c r="K2" s="3" t="n"/>
    </row>
    <row r="3">
      <c r="A3" s="3" t="n"/>
      <c r="B3" s="3" t="n"/>
      <c r="C3" s="3" t="n"/>
      <c r="D3" s="3" t="n"/>
      <c r="E3" s="3" t="n"/>
      <c r="F3" s="3" t="n"/>
      <c r="G3" s="3" t="n"/>
      <c r="H3" s="3" t="n"/>
      <c r="I3" s="3" t="n"/>
      <c r="J3" s="3" t="n"/>
      <c r="K3" s="3" t="n"/>
    </row>
    <row r="4">
      <c r="A4" s="9" t="inlineStr">
        <is>
          <t>Line item (verbatim caption)</t>
        </is>
      </c>
      <c r="B4" s="29" t="inlineStr">
        <is>
          <t>FY2023</t>
        </is>
      </c>
      <c r="C4" s="29" t="inlineStr">
        <is>
          <t>FY2024</t>
        </is>
      </c>
      <c r="D4" s="29" t="inlineStr">
        <is>
          <t>FY2025</t>
        </is>
      </c>
      <c r="E4" s="29" t="inlineStr">
        <is>
          <t>Q1-2025</t>
        </is>
      </c>
      <c r="F4" s="29" t="inlineStr">
        <is>
          <t>Q2-2025</t>
        </is>
      </c>
      <c r="G4" s="29" t="inlineStr">
        <is>
          <t>6M-2025</t>
        </is>
      </c>
      <c r="H4" s="29" t="inlineStr">
        <is>
          <t>Q1-2026</t>
        </is>
      </c>
      <c r="I4" s="29" t="inlineStr">
        <is>
          <t>Q2-2026</t>
        </is>
      </c>
      <c r="J4" s="29" t="inlineStr">
        <is>
          <t>6M-2026</t>
        </is>
      </c>
      <c r="K4" s="29" t="inlineStr">
        <is>
          <t>Source (doc p.)</t>
        </is>
      </c>
    </row>
    <row r="5">
      <c r="A5" s="14" t="inlineStr">
        <is>
          <t>Form10A_2026-05-27 · Income before taxes by source</t>
        </is>
      </c>
      <c r="B5" s="15" t="n"/>
      <c r="C5" s="15" t="n"/>
      <c r="D5" s="15" t="n"/>
      <c r="E5" s="15" t="n"/>
      <c r="F5" s="15" t="n"/>
      <c r="G5" s="15" t="n"/>
      <c r="H5" s="15" t="n"/>
      <c r="I5" s="15" t="n"/>
      <c r="J5" s="15" t="n"/>
      <c r="K5" s="15" t="n"/>
    </row>
    <row r="6">
      <c r="A6" s="38" t="inlineStr">
        <is>
          <t>Domestic operations</t>
        </is>
      </c>
      <c r="B6" s="30" t="n">
        <v>184</v>
      </c>
      <c r="C6" s="30" t="n">
        <v>225</v>
      </c>
      <c r="D6" s="30" t="n">
        <v>276</v>
      </c>
      <c r="E6" s="3" t="n"/>
      <c r="F6" s="3" t="n"/>
      <c r="G6" s="3" t="n"/>
      <c r="H6" s="3" t="n"/>
      <c r="I6" s="3" t="n"/>
      <c r="J6" s="3" t="n"/>
      <c r="K6" s="4" t="inlineStr">
        <is>
          <t>Form10A_2026-05-27 p455</t>
        </is>
      </c>
    </row>
    <row r="7">
      <c r="A7" s="38" t="inlineStr">
        <is>
          <t>Foreign operations</t>
        </is>
      </c>
      <c r="B7" s="30" t="n">
        <v>40</v>
      </c>
      <c r="C7" s="30" t="n">
        <v>59</v>
      </c>
      <c r="D7" s="30" t="n">
        <v>50</v>
      </c>
      <c r="E7" s="3" t="n"/>
      <c r="F7" s="3" t="n"/>
      <c r="G7" s="3" t="n"/>
      <c r="H7" s="3" t="n"/>
      <c r="I7" s="3" t="n"/>
      <c r="J7" s="3" t="n"/>
      <c r="K7" s="4" t="inlineStr">
        <is>
          <t>Form10A_2026-05-27 p455</t>
        </is>
      </c>
    </row>
    <row r="8">
      <c r="A8" s="39" t="inlineStr">
        <is>
          <t>Total income before taxes</t>
        </is>
      </c>
      <c r="B8" s="18" t="n">
        <v>224</v>
      </c>
      <c r="C8" s="18" t="n">
        <v>284</v>
      </c>
      <c r="D8" s="18" t="n">
        <v>326</v>
      </c>
      <c r="E8" s="3" t="n"/>
      <c r="F8" s="3" t="n"/>
      <c r="G8" s="3" t="n"/>
      <c r="H8" s="3" t="n"/>
      <c r="I8" s="3" t="n"/>
      <c r="J8" s="3" t="n"/>
      <c r="K8" s="4" t="inlineStr">
        <is>
          <t>Form10A_2026-05-27 p455</t>
        </is>
      </c>
    </row>
    <row r="9">
      <c r="A9" s="14" t="inlineStr">
        <is>
          <t>Form10A_2026-05-27 · Provision for taxes on income</t>
        </is>
      </c>
      <c r="B9" s="15" t="n"/>
      <c r="C9" s="15" t="n"/>
      <c r="D9" s="15" t="n"/>
      <c r="E9" s="15" t="n"/>
      <c r="F9" s="15" t="n"/>
      <c r="G9" s="15" t="n"/>
      <c r="H9" s="15" t="n"/>
      <c r="I9" s="15" t="n"/>
      <c r="J9" s="15" t="n"/>
      <c r="K9" s="15" t="n"/>
    </row>
    <row r="10">
      <c r="A10" s="38" t="inlineStr">
        <is>
          <t>Federal: Current</t>
        </is>
      </c>
      <c r="B10" s="30" t="n">
        <v>90</v>
      </c>
      <c r="C10" s="30" t="n">
        <v>103</v>
      </c>
      <c r="D10" s="30" t="n">
        <v>110</v>
      </c>
      <c r="E10" s="3" t="n"/>
      <c r="F10" s="3" t="n"/>
      <c r="G10" s="3" t="n"/>
      <c r="H10" s="3" t="n"/>
      <c r="I10" s="3" t="n"/>
      <c r="J10" s="3" t="n"/>
      <c r="K10" s="4" t="inlineStr">
        <is>
          <t>Form10A_2026-05-27 p455</t>
        </is>
      </c>
    </row>
    <row r="11">
      <c r="A11" s="38" t="inlineStr">
        <is>
          <t>Federal: Deferred</t>
        </is>
      </c>
      <c r="B11" s="30" t="n">
        <v>-59</v>
      </c>
      <c r="C11" s="30" t="n">
        <v>-64</v>
      </c>
      <c r="D11" s="30" t="n">
        <v>-62</v>
      </c>
      <c r="E11" s="3" t="n"/>
      <c r="F11" s="3" t="n"/>
      <c r="G11" s="3" t="n"/>
      <c r="H11" s="3" t="n"/>
      <c r="I11" s="3" t="n"/>
      <c r="J11" s="3" t="n"/>
      <c r="K11" s="4" t="inlineStr">
        <is>
          <t>Form10A_2026-05-27 p455</t>
        </is>
      </c>
    </row>
    <row r="12">
      <c r="A12" s="39" t="inlineStr">
        <is>
          <t>Total federal</t>
        </is>
      </c>
      <c r="B12" s="3" t="n"/>
      <c r="C12" s="18" t="n">
        <v>39</v>
      </c>
      <c r="D12" s="18" t="n">
        <v>48</v>
      </c>
      <c r="E12" s="3" t="n"/>
      <c r="F12" s="3" t="n"/>
      <c r="G12" s="3" t="n"/>
      <c r="H12" s="3" t="n"/>
      <c r="I12" s="3" t="n"/>
      <c r="J12" s="3" t="n"/>
      <c r="K12" s="4" t="inlineStr">
        <is>
          <t>Form10A_2026-05-27 p455</t>
        </is>
      </c>
    </row>
    <row r="13">
      <c r="A13" s="38" t="inlineStr">
        <is>
          <t>Foreign: Current</t>
        </is>
      </c>
      <c r="B13" s="3" t="n"/>
      <c r="C13" s="3" t="n"/>
      <c r="D13" s="30" t="n">
        <v>30</v>
      </c>
      <c r="E13" s="3" t="n"/>
      <c r="F13" s="3" t="n"/>
      <c r="G13" s="3" t="n"/>
      <c r="H13" s="3" t="n"/>
      <c r="I13" s="3" t="n"/>
      <c r="J13" s="3" t="n"/>
      <c r="K13" s="4" t="inlineStr">
        <is>
          <t>Form10A_2026-05-27 p455</t>
        </is>
      </c>
    </row>
    <row r="14">
      <c r="A14" s="38" t="inlineStr">
        <is>
          <t>Foreign: Deferred</t>
        </is>
      </c>
      <c r="B14" s="3" t="n"/>
      <c r="C14" s="3" t="n"/>
      <c r="D14" s="30" t="n">
        <v>-12</v>
      </c>
      <c r="E14" s="3" t="n"/>
      <c r="F14" s="3" t="n"/>
      <c r="G14" s="3" t="n"/>
      <c r="H14" s="3" t="n"/>
      <c r="I14" s="3" t="n"/>
      <c r="J14" s="3" t="n"/>
      <c r="K14" s="4" t="inlineStr">
        <is>
          <t>Form10A_2026-05-27 p455</t>
        </is>
      </c>
    </row>
    <row r="15">
      <c r="A15" s="39" t="inlineStr">
        <is>
          <t>Total foreign</t>
        </is>
      </c>
      <c r="B15" s="3" t="n"/>
      <c r="C15" s="3" t="n"/>
      <c r="D15" s="18" t="n">
        <v>18</v>
      </c>
      <c r="E15" s="3" t="n"/>
      <c r="F15" s="3" t="n"/>
      <c r="G15" s="3" t="n"/>
      <c r="H15" s="3" t="n"/>
      <c r="I15" s="3" t="n"/>
      <c r="J15" s="3" t="n"/>
      <c r="K15" s="4" t="inlineStr">
        <is>
          <t>Form10A_2026-05-27 p455</t>
        </is>
      </c>
    </row>
    <row r="16">
      <c r="A16" s="38" t="inlineStr">
        <is>
          <t>State and local: Current</t>
        </is>
      </c>
      <c r="B16" s="3" t="n"/>
      <c r="C16" s="3" t="n"/>
      <c r="D16" s="30" t="n">
        <v>56</v>
      </c>
      <c r="E16" s="3" t="n"/>
      <c r="F16" s="3" t="n"/>
      <c r="G16" s="3" t="n"/>
      <c r="H16" s="3" t="n"/>
      <c r="I16" s="3" t="n"/>
      <c r="J16" s="3" t="n"/>
      <c r="K16" s="4" t="inlineStr">
        <is>
          <t>Form10A_2026-05-27 p455</t>
        </is>
      </c>
    </row>
    <row r="17">
      <c r="A17" s="38" t="inlineStr">
        <is>
          <t>State and local: Deferred</t>
        </is>
      </c>
      <c r="B17" s="3" t="n"/>
      <c r="C17" s="3" t="n"/>
      <c r="D17" s="30" t="n">
        <v>-16</v>
      </c>
      <c r="E17" s="3" t="n"/>
      <c r="F17" s="3" t="n"/>
      <c r="G17" s="3" t="n"/>
      <c r="H17" s="3" t="n"/>
      <c r="I17" s="3" t="n"/>
      <c r="J17" s="3" t="n"/>
      <c r="K17" s="4" t="inlineStr">
        <is>
          <t>Form10A_2026-05-27 p455</t>
        </is>
      </c>
    </row>
    <row r="18">
      <c r="A18" s="39" t="inlineStr">
        <is>
          <t>Total state and local</t>
        </is>
      </c>
      <c r="B18" s="3" t="n"/>
      <c r="C18" s="3" t="n"/>
      <c r="D18" s="18" t="n">
        <v>40</v>
      </c>
      <c r="E18" s="3" t="n"/>
      <c r="F18" s="3" t="n"/>
      <c r="G18" s="3" t="n"/>
      <c r="H18" s="3" t="n"/>
      <c r="I18" s="3" t="n"/>
      <c r="J18" s="3" t="n"/>
      <c r="K18" s="4" t="inlineStr">
        <is>
          <t>Form10A_2026-05-27 p455</t>
        </is>
      </c>
    </row>
    <row r="19">
      <c r="A19" s="39" t="inlineStr">
        <is>
          <t>Total provision for taxes</t>
        </is>
      </c>
      <c r="B19" s="18" t="n">
        <v>61</v>
      </c>
      <c r="C19" s="18" t="n">
        <v>76</v>
      </c>
      <c r="D19" s="18" t="n">
        <v>106</v>
      </c>
      <c r="E19" s="3" t="n"/>
      <c r="F19" s="3" t="n"/>
      <c r="G19" s="3" t="n"/>
      <c r="H19" s="3" t="n"/>
      <c r="I19" s="3" t="n"/>
      <c r="J19" s="3" t="n"/>
      <c r="K19" s="4" t="inlineStr">
        <is>
          <t>Form10A_2026-05-27 p455</t>
        </is>
      </c>
    </row>
    <row r="20">
      <c r="A20" s="14" t="inlineStr">
        <is>
          <t>Form10A_2026-05-27 · ETR reconciliation (amount)</t>
        </is>
      </c>
      <c r="B20" s="15" t="n"/>
      <c r="C20" s="15" t="n"/>
      <c r="D20" s="15" t="n"/>
      <c r="E20" s="15" t="n"/>
      <c r="F20" s="15" t="n"/>
      <c r="G20" s="15" t="n"/>
      <c r="H20" s="15" t="n"/>
      <c r="I20" s="15" t="n"/>
      <c r="J20" s="15" t="n"/>
      <c r="K20" s="15" t="n"/>
    </row>
    <row r="21">
      <c r="A21" s="38" t="inlineStr">
        <is>
          <t>U.S. federal statutory tax rate</t>
        </is>
      </c>
      <c r="B21" s="3" t="n"/>
      <c r="C21" s="3" t="n"/>
      <c r="D21" s="30" t="n">
        <v>68</v>
      </c>
      <c r="E21" s="3" t="n"/>
      <c r="F21" s="3" t="n"/>
      <c r="G21" s="3" t="n"/>
      <c r="H21" s="3" t="n"/>
      <c r="I21" s="3" t="n"/>
      <c r="J21" s="3" t="n"/>
      <c r="K21" s="4" t="inlineStr">
        <is>
          <t>Form10A_2026-05-27 p456</t>
        </is>
      </c>
    </row>
    <row r="22">
      <c r="A22" s="38" t="inlineStr">
        <is>
          <t>State &amp; local income taxes, net of federal income tax (1)</t>
        </is>
      </c>
      <c r="B22" s="3" t="n"/>
      <c r="C22" s="3" t="n"/>
      <c r="D22" s="30" t="n">
        <v>31</v>
      </c>
      <c r="E22" s="3" t="n"/>
      <c r="F22" s="3" t="n"/>
      <c r="G22" s="3" t="n"/>
      <c r="H22" s="3" t="n"/>
      <c r="I22" s="3" t="n"/>
      <c r="J22" s="3" t="n"/>
      <c r="K22" s="4" t="inlineStr">
        <is>
          <t>Form10A_2026-05-27 p456</t>
        </is>
      </c>
    </row>
    <row r="23">
      <c r="A23" s="38" t="inlineStr">
        <is>
          <t>Foreign tax effects - Canada - Local Taxes</t>
        </is>
      </c>
      <c r="B23" s="3" t="n"/>
      <c r="C23" s="3" t="n"/>
      <c r="D23" s="30" t="n">
        <v>4</v>
      </c>
      <c r="E23" s="3" t="n"/>
      <c r="F23" s="3" t="n"/>
      <c r="G23" s="3" t="n"/>
      <c r="H23" s="3" t="n"/>
      <c r="I23" s="3" t="n"/>
      <c r="J23" s="3" t="n"/>
      <c r="K23" s="4" t="inlineStr">
        <is>
          <t>Form10A_2026-05-27 p456</t>
        </is>
      </c>
    </row>
    <row r="24">
      <c r="A24" s="38" t="inlineStr">
        <is>
          <t>Foreign tax effects - Canada - Other</t>
        </is>
      </c>
      <c r="B24" s="3" t="n"/>
      <c r="C24" s="3" t="n"/>
      <c r="D24" s="30" t="n">
        <v>-2</v>
      </c>
      <c r="E24" s="3" t="n"/>
      <c r="F24" s="3" t="n"/>
      <c r="G24" s="3" t="n"/>
      <c r="H24" s="3" t="n"/>
      <c r="I24" s="3" t="n"/>
      <c r="J24" s="3" t="n"/>
      <c r="K24" s="4" t="inlineStr">
        <is>
          <t>Form10A_2026-05-27 p456</t>
        </is>
      </c>
    </row>
    <row r="25">
      <c r="A25" s="38" t="inlineStr">
        <is>
          <t>Foreign tax effects - United Kingdom - Changes in valuation allowance</t>
        </is>
      </c>
      <c r="B25" s="3" t="n"/>
      <c r="C25" s="3" t="n"/>
      <c r="D25" s="30" t="n">
        <v>5</v>
      </c>
      <c r="E25" s="3" t="n"/>
      <c r="F25" s="3" t="n"/>
      <c r="G25" s="3" t="n"/>
      <c r="H25" s="3" t="n"/>
      <c r="I25" s="3" t="n"/>
      <c r="J25" s="3" t="n"/>
      <c r="K25" s="4" t="inlineStr">
        <is>
          <t>Form10A_2026-05-27 p456</t>
        </is>
      </c>
    </row>
    <row r="26">
      <c r="A26" s="38" t="inlineStr">
        <is>
          <t>Foreign tax effects - United Kingdom - Other</t>
        </is>
      </c>
      <c r="B26" s="3" t="n"/>
      <c r="C26" s="3" t="n"/>
      <c r="D26" s="30" t="n">
        <v>-1</v>
      </c>
      <c r="E26" s="3" t="n"/>
      <c r="F26" s="3" t="n"/>
      <c r="G26" s="3" t="n"/>
      <c r="H26" s="3" t="n"/>
      <c r="I26" s="3" t="n"/>
      <c r="J26" s="3" t="n"/>
      <c r="K26" s="4" t="inlineStr">
        <is>
          <t>Form10A_2026-05-27 p456</t>
        </is>
      </c>
    </row>
    <row r="27">
      <c r="A27" s="38" t="inlineStr">
        <is>
          <t>Tax credits</t>
        </is>
      </c>
      <c r="B27" s="3" t="n"/>
      <c r="C27" s="3" t="n"/>
      <c r="D27" s="30" t="n">
        <v>-3</v>
      </c>
      <c r="E27" s="3" t="n"/>
      <c r="F27" s="3" t="n"/>
      <c r="G27" s="3" t="n"/>
      <c r="H27" s="3" t="n"/>
      <c r="I27" s="3" t="n"/>
      <c r="J27" s="3" t="n"/>
      <c r="K27" s="4" t="inlineStr">
        <is>
          <t>Form10A_2026-05-27 p456</t>
        </is>
      </c>
    </row>
    <row r="28">
      <c r="A28" s="38" t="inlineStr">
        <is>
          <t>Nontaxable or nondeductible items</t>
        </is>
      </c>
      <c r="B28" s="3" t="n"/>
      <c r="C28" s="3" t="n"/>
      <c r="D28" s="30" t="n">
        <v>1</v>
      </c>
      <c r="E28" s="3" t="n"/>
      <c r="F28" s="3" t="n"/>
      <c r="G28" s="3" t="n"/>
      <c r="H28" s="3" t="n"/>
      <c r="I28" s="3" t="n"/>
      <c r="J28" s="3" t="n"/>
      <c r="K28" s="4" t="inlineStr">
        <is>
          <t>Form10A_2026-05-27 p456</t>
        </is>
      </c>
    </row>
    <row r="29">
      <c r="A29" s="38" t="inlineStr">
        <is>
          <t>Changes in unrecognized tax benefits</t>
        </is>
      </c>
      <c r="B29" s="3" t="n"/>
      <c r="C29" s="3" t="n"/>
      <c r="D29" s="30" t="n">
        <v>1</v>
      </c>
      <c r="E29" s="3" t="n"/>
      <c r="F29" s="3" t="n"/>
      <c r="G29" s="3" t="n"/>
      <c r="H29" s="3" t="n"/>
      <c r="I29" s="3" t="n"/>
      <c r="J29" s="3" t="n"/>
      <c r="K29" s="4" t="inlineStr">
        <is>
          <t>Form10A_2026-05-27 p456</t>
        </is>
      </c>
    </row>
    <row r="30">
      <c r="A30" s="39" t="inlineStr">
        <is>
          <t>Effective income tax rate</t>
        </is>
      </c>
      <c r="B30" s="3" t="n"/>
      <c r="C30" s="3" t="n"/>
      <c r="D30" s="18" t="n">
        <v>106</v>
      </c>
      <c r="E30" s="3" t="n"/>
      <c r="F30" s="3" t="n"/>
      <c r="G30" s="3" t="n"/>
      <c r="H30" s="3" t="n"/>
      <c r="I30" s="3" t="n"/>
      <c r="J30" s="3" t="n"/>
      <c r="K30" s="4" t="inlineStr">
        <is>
          <t>Form10A_2026-05-27 p456</t>
        </is>
      </c>
    </row>
    <row r="31">
      <c r="A31" s="14" t="inlineStr">
        <is>
          <t>Form10A_2026-05-27 · ETR reconciliation (percent)</t>
        </is>
      </c>
      <c r="B31" s="15" t="n"/>
      <c r="C31" s="15" t="n"/>
      <c r="D31" s="15" t="n"/>
      <c r="E31" s="15" t="n"/>
      <c r="F31" s="15" t="n"/>
      <c r="G31" s="15" t="n"/>
      <c r="H31" s="15" t="n"/>
      <c r="I31" s="15" t="n"/>
      <c r="J31" s="15" t="n"/>
      <c r="K31" s="15" t="n"/>
    </row>
    <row r="32">
      <c r="A32" s="38" t="inlineStr">
        <is>
          <t>U.S. federal statutory tax rate</t>
        </is>
      </c>
      <c r="B32" s="3" t="n"/>
      <c r="C32" s="3" t="n"/>
      <c r="D32" s="41" t="n">
        <v>21</v>
      </c>
      <c r="E32" s="3" t="n"/>
      <c r="F32" s="3" t="n"/>
      <c r="G32" s="3" t="n"/>
      <c r="H32" s="3" t="n"/>
      <c r="I32" s="3" t="n"/>
      <c r="J32" s="3" t="n"/>
      <c r="K32" s="4" t="inlineStr">
        <is>
          <t>Form10A_2026-05-27 p456</t>
        </is>
      </c>
    </row>
    <row r="33">
      <c r="A33" s="38" t="inlineStr">
        <is>
          <t>State &amp; local income taxes, net of federal income tax (1)</t>
        </is>
      </c>
      <c r="B33" s="3" t="n"/>
      <c r="C33" s="3" t="n"/>
      <c r="D33" s="41" t="n">
        <v>9.6</v>
      </c>
      <c r="E33" s="3" t="n"/>
      <c r="F33" s="3" t="n"/>
      <c r="G33" s="3" t="n"/>
      <c r="H33" s="3" t="n"/>
      <c r="I33" s="3" t="n"/>
      <c r="J33" s="3" t="n"/>
      <c r="K33" s="4" t="inlineStr">
        <is>
          <t>Form10A_2026-05-27 p456</t>
        </is>
      </c>
    </row>
    <row r="34">
      <c r="A34" s="38" t="inlineStr">
        <is>
          <t>Foreign tax effects - Canada - Local Taxes</t>
        </is>
      </c>
      <c r="B34" s="3" t="n"/>
      <c r="C34" s="3" t="n"/>
      <c r="D34" s="41" t="n">
        <v>1.1</v>
      </c>
      <c r="E34" s="3" t="n"/>
      <c r="F34" s="3" t="n"/>
      <c r="G34" s="3" t="n"/>
      <c r="H34" s="3" t="n"/>
      <c r="I34" s="3" t="n"/>
      <c r="J34" s="3" t="n"/>
      <c r="K34" s="4" t="inlineStr">
        <is>
          <t>Form10A_2026-05-27 p456</t>
        </is>
      </c>
    </row>
    <row r="35">
      <c r="A35" s="38" t="inlineStr">
        <is>
          <t>Foreign tax effects - Canada - Other</t>
        </is>
      </c>
      <c r="B35" s="3" t="n"/>
      <c r="C35" s="3" t="n"/>
      <c r="D35" s="41" t="n">
        <v>-0.6</v>
      </c>
      <c r="E35" s="3" t="n"/>
      <c r="F35" s="3" t="n"/>
      <c r="G35" s="3" t="n"/>
      <c r="H35" s="3" t="n"/>
      <c r="I35" s="3" t="n"/>
      <c r="J35" s="3" t="n"/>
      <c r="K35" s="4" t="inlineStr">
        <is>
          <t>Form10A_2026-05-27 p456</t>
        </is>
      </c>
    </row>
    <row r="36">
      <c r="A36" s="38" t="inlineStr">
        <is>
          <t>Foreign tax effects - United Kingdom - Changes in valuation allowance</t>
        </is>
      </c>
      <c r="B36" s="3" t="n"/>
      <c r="C36" s="3" t="n"/>
      <c r="D36" s="41" t="n">
        <v>1.5</v>
      </c>
      <c r="E36" s="3" t="n"/>
      <c r="F36" s="3" t="n"/>
      <c r="G36" s="3" t="n"/>
      <c r="H36" s="3" t="n"/>
      <c r="I36" s="3" t="n"/>
      <c r="J36" s="3" t="n"/>
      <c r="K36" s="4" t="inlineStr">
        <is>
          <t>Form10A_2026-05-27 p456</t>
        </is>
      </c>
    </row>
    <row r="37">
      <c r="A37" s="38" t="inlineStr">
        <is>
          <t>Foreign tax effects - United Kingdom - Other</t>
        </is>
      </c>
      <c r="B37" s="3" t="n"/>
      <c r="C37" s="3" t="n"/>
      <c r="D37" s="41" t="n">
        <v>-0.2</v>
      </c>
      <c r="E37" s="3" t="n"/>
      <c r="F37" s="3" t="n"/>
      <c r="G37" s="3" t="n"/>
      <c r="H37" s="3" t="n"/>
      <c r="I37" s="3" t="n"/>
      <c r="J37" s="3" t="n"/>
      <c r="K37" s="4" t="inlineStr">
        <is>
          <t>Form10A_2026-05-27 p456</t>
        </is>
      </c>
    </row>
    <row r="38">
      <c r="A38" s="38" t="inlineStr">
        <is>
          <t>Foreign tax effects - Other foreign jurisdictions</t>
        </is>
      </c>
      <c r="B38" s="3" t="n"/>
      <c r="C38" s="3" t="n"/>
      <c r="D38" s="41" t="n">
        <v>0.7</v>
      </c>
      <c r="E38" s="3" t="n"/>
      <c r="F38" s="3" t="n"/>
      <c r="G38" s="3" t="n"/>
      <c r="H38" s="3" t="n"/>
      <c r="I38" s="3" t="n"/>
      <c r="J38" s="3" t="n"/>
      <c r="K38" s="4" t="inlineStr">
        <is>
          <t>Form10A_2026-05-27 p456</t>
        </is>
      </c>
    </row>
    <row r="39">
      <c r="A39" s="38" t="inlineStr">
        <is>
          <t>Effect of cross-border tax laws</t>
        </is>
      </c>
      <c r="B39" s="3" t="n"/>
      <c r="C39" s="3" t="n"/>
      <c r="D39" s="41" t="n">
        <v>-0.1</v>
      </c>
      <c r="E39" s="3" t="n"/>
      <c r="F39" s="3" t="n"/>
      <c r="G39" s="3" t="n"/>
      <c r="H39" s="3" t="n"/>
      <c r="I39" s="3" t="n"/>
      <c r="J39" s="3" t="n"/>
      <c r="K39" s="4" t="inlineStr">
        <is>
          <t>Form10A_2026-05-27 p456</t>
        </is>
      </c>
    </row>
    <row r="40">
      <c r="A40" s="38" t="inlineStr">
        <is>
          <t>Tax credits</t>
        </is>
      </c>
      <c r="B40" s="3" t="n"/>
      <c r="C40" s="3" t="n"/>
      <c r="D40" s="41" t="n">
        <v>-0.9</v>
      </c>
      <c r="E40" s="3" t="n"/>
      <c r="F40" s="3" t="n"/>
      <c r="G40" s="3" t="n"/>
      <c r="H40" s="3" t="n"/>
      <c r="I40" s="3" t="n"/>
      <c r="J40" s="3" t="n"/>
      <c r="K40" s="4" t="inlineStr">
        <is>
          <t>Form10A_2026-05-27 p456</t>
        </is>
      </c>
    </row>
    <row r="41">
      <c r="A41" s="38" t="inlineStr">
        <is>
          <t>Nontaxable or nondeductible items</t>
        </is>
      </c>
      <c r="B41" s="3" t="n"/>
      <c r="C41" s="3" t="n"/>
      <c r="D41" s="41" t="n">
        <v>0.2</v>
      </c>
      <c r="E41" s="3" t="n"/>
      <c r="F41" s="3" t="n"/>
      <c r="G41" s="3" t="n"/>
      <c r="H41" s="3" t="n"/>
      <c r="I41" s="3" t="n"/>
      <c r="J41" s="3" t="n"/>
      <c r="K41" s="4" t="inlineStr">
        <is>
          <t>Form10A_2026-05-27 p456</t>
        </is>
      </c>
    </row>
    <row r="42">
      <c r="A42" s="38" t="inlineStr">
        <is>
          <t>Changes in unrecognized tax benefits</t>
        </is>
      </c>
      <c r="B42" s="3" t="n"/>
      <c r="C42" s="3" t="n"/>
      <c r="D42" s="41" t="n">
        <v>0.2</v>
      </c>
      <c r="E42" s="3" t="n"/>
      <c r="F42" s="3" t="n"/>
      <c r="G42" s="3" t="n"/>
      <c r="H42" s="3" t="n"/>
      <c r="I42" s="3" t="n"/>
      <c r="J42" s="3" t="n"/>
      <c r="K42" s="4" t="inlineStr">
        <is>
          <t>Form10A_2026-05-27 p456</t>
        </is>
      </c>
    </row>
    <row r="43">
      <c r="A43" s="39" t="inlineStr">
        <is>
          <t>Effective income tax rate</t>
        </is>
      </c>
      <c r="B43" s="3" t="n"/>
      <c r="C43" s="3" t="n"/>
      <c r="D43" s="43" t="n">
        <v>32.5</v>
      </c>
      <c r="E43" s="3" t="n"/>
      <c r="F43" s="3" t="n"/>
      <c r="G43" s="3" t="n"/>
      <c r="H43" s="3" t="n"/>
      <c r="I43" s="3" t="n"/>
      <c r="J43" s="3" t="n"/>
      <c r="K43" s="4" t="inlineStr">
        <is>
          <t>Form10A_2026-05-27 p456</t>
        </is>
      </c>
    </row>
    <row r="44">
      <c r="A44" s="14" t="inlineStr">
        <is>
          <t>Form10A_2026-05-27 · ETR reconciliation (percent; pre-ASU 2023-09)</t>
        </is>
      </c>
      <c r="B44" s="15" t="n"/>
      <c r="C44" s="15" t="n"/>
      <c r="D44" s="15" t="n"/>
      <c r="E44" s="15" t="n"/>
      <c r="F44" s="15" t="n"/>
      <c r="G44" s="15" t="n"/>
      <c r="H44" s="15" t="n"/>
      <c r="I44" s="15" t="n"/>
      <c r="J44" s="15" t="n"/>
      <c r="K44" s="15" t="n"/>
    </row>
    <row r="45">
      <c r="A45" s="38" t="inlineStr">
        <is>
          <t>U.S. federal statutory income tax rate</t>
        </is>
      </c>
      <c r="B45" s="41" t="n">
        <v>21</v>
      </c>
      <c r="C45" s="41" t="n">
        <v>21</v>
      </c>
      <c r="D45" s="3" t="n"/>
      <c r="E45" s="3" t="n"/>
      <c r="F45" s="3" t="n"/>
      <c r="G45" s="3" t="n"/>
      <c r="H45" s="3" t="n"/>
      <c r="I45" s="3" t="n"/>
      <c r="J45" s="3" t="n"/>
      <c r="K45" s="4" t="inlineStr">
        <is>
          <t>Form10A_2026-05-27 p456</t>
        </is>
      </c>
    </row>
    <row r="46">
      <c r="A46" s="38" t="inlineStr">
        <is>
          <t>State and local income taxes</t>
        </is>
      </c>
      <c r="B46" s="41" t="n">
        <v>6.3</v>
      </c>
      <c r="C46" s="41" t="n">
        <v>6</v>
      </c>
      <c r="D46" s="3" t="n"/>
      <c r="E46" s="3" t="n"/>
      <c r="F46" s="3" t="n"/>
      <c r="G46" s="3" t="n"/>
      <c r="H46" s="3" t="n"/>
      <c r="I46" s="3" t="n"/>
      <c r="J46" s="3" t="n"/>
      <c r="K46" s="4" t="inlineStr">
        <is>
          <t>Form10A_2026-05-27 p456</t>
        </is>
      </c>
    </row>
    <row r="47">
      <c r="A47" s="38" t="inlineStr">
        <is>
          <t>Foreign operations</t>
        </is>
      </c>
      <c r="B47" s="41" t="n">
        <v>2.7</v>
      </c>
      <c r="C47" s="41" t="n">
        <v>2.4</v>
      </c>
      <c r="D47" s="3" t="n"/>
      <c r="E47" s="3" t="n"/>
      <c r="F47" s="3" t="n"/>
      <c r="G47" s="3" t="n"/>
      <c r="H47" s="3" t="n"/>
      <c r="I47" s="3" t="n"/>
      <c r="J47" s="3" t="n"/>
      <c r="K47" s="4" t="inlineStr">
        <is>
          <t>Form10A_2026-05-27 p456</t>
        </is>
      </c>
    </row>
    <row r="48">
      <c r="A48" s="38" t="inlineStr">
        <is>
          <t>Stock-based compensation</t>
        </is>
      </c>
      <c r="B48" s="41" t="n">
        <v>-0.2</v>
      </c>
      <c r="C48" s="41" t="n">
        <v>-0.6</v>
      </c>
      <c r="D48" s="3" t="n"/>
      <c r="E48" s="3" t="n"/>
      <c r="F48" s="3" t="n"/>
      <c r="G48" s="3" t="n"/>
      <c r="H48" s="3" t="n"/>
      <c r="I48" s="3" t="n"/>
      <c r="J48" s="3" t="n"/>
      <c r="K48" s="4" t="inlineStr">
        <is>
          <t>Form10A_2026-05-27 p456</t>
        </is>
      </c>
    </row>
    <row r="49">
      <c r="A49" s="38" t="inlineStr">
        <is>
          <t>Tax credits and incentives</t>
        </is>
      </c>
      <c r="B49" s="41" t="n">
        <v>-3.4</v>
      </c>
      <c r="C49" s="41" t="n">
        <v>-2.7</v>
      </c>
      <c r="D49" s="3" t="n"/>
      <c r="E49" s="3" t="n"/>
      <c r="F49" s="3" t="n"/>
      <c r="G49" s="3" t="n"/>
      <c r="H49" s="3" t="n"/>
      <c r="I49" s="3" t="n"/>
      <c r="J49" s="3" t="n"/>
      <c r="K49" s="4" t="inlineStr">
        <is>
          <t>Form10A_2026-05-27 p456</t>
        </is>
      </c>
    </row>
    <row r="50">
      <c r="A50" s="38" t="inlineStr">
        <is>
          <t>Other, net</t>
        </is>
      </c>
      <c r="B50" s="41" t="n">
        <v>0.9</v>
      </c>
      <c r="C50" s="41" t="n">
        <v>0.7</v>
      </c>
      <c r="D50" s="3" t="n"/>
      <c r="E50" s="3" t="n"/>
      <c r="F50" s="3" t="n"/>
      <c r="G50" s="3" t="n"/>
      <c r="H50" s="3" t="n"/>
      <c r="I50" s="3" t="n"/>
      <c r="J50" s="3" t="n"/>
      <c r="K50" s="4" t="inlineStr">
        <is>
          <t>Form10A_2026-05-27 p456</t>
        </is>
      </c>
    </row>
    <row r="51">
      <c r="A51" s="39" t="inlineStr">
        <is>
          <t>Effective income tax rate</t>
        </is>
      </c>
      <c r="B51" s="43" t="n">
        <v>27.3</v>
      </c>
      <c r="C51" s="43" t="n">
        <v>26.8</v>
      </c>
      <c r="D51" s="3" t="n"/>
      <c r="E51" s="3" t="n"/>
      <c r="F51" s="3" t="n"/>
      <c r="G51" s="3" t="n"/>
      <c r="H51" s="3" t="n"/>
      <c r="I51" s="3" t="n"/>
      <c r="J51" s="3" t="n"/>
      <c r="K51" s="4" t="inlineStr">
        <is>
          <t>Form10A_2026-05-27 p456</t>
        </is>
      </c>
    </row>
    <row r="52">
      <c r="A52" s="14" t="inlineStr">
        <is>
          <t>Form10A_2026-05-27 · Income tax payments</t>
        </is>
      </c>
      <c r="B52" s="15" t="n"/>
      <c r="C52" s="15" t="n"/>
      <c r="D52" s="15" t="n"/>
      <c r="E52" s="15" t="n"/>
      <c r="F52" s="15" t="n"/>
      <c r="G52" s="15" t="n"/>
      <c r="H52" s="15" t="n"/>
      <c r="I52" s="15" t="n"/>
      <c r="J52" s="15" t="n"/>
      <c r="K52" s="15" t="n"/>
    </row>
    <row r="53">
      <c r="A53" s="38" t="inlineStr">
        <is>
          <t>net income tax payments</t>
        </is>
      </c>
      <c r="B53" s="30" t="n">
        <v>15</v>
      </c>
      <c r="C53" s="30" t="n">
        <v>29</v>
      </c>
      <c r="D53" s="30" t="n">
        <v>26</v>
      </c>
      <c r="E53" s="3" t="n"/>
      <c r="F53" s="3" t="n"/>
      <c r="G53" s="3" t="n"/>
      <c r="H53" s="3" t="n"/>
      <c r="I53" s="3" t="n"/>
      <c r="J53" s="3" t="n"/>
      <c r="K53" s="4" t="inlineStr">
        <is>
          <t>Form10A_2026-05-27 p456</t>
        </is>
      </c>
    </row>
    <row r="54">
      <c r="A54" s="14" t="inlineStr">
        <is>
          <t>Form10A_2026-05-27 · Deferred tax assets and liabilities</t>
        </is>
      </c>
      <c r="B54" s="15" t="n"/>
      <c r="C54" s="15" t="n"/>
      <c r="D54" s="15" t="n"/>
      <c r="E54" s="15" t="n"/>
      <c r="F54" s="15" t="n"/>
      <c r="G54" s="15" t="n"/>
      <c r="H54" s="15" t="n"/>
      <c r="I54" s="15" t="n"/>
      <c r="J54" s="15" t="n"/>
      <c r="K54" s="15" t="n"/>
    </row>
    <row r="55">
      <c r="A55" s="38" t="inlineStr">
        <is>
          <t>Deferred tax assets: Accrued expenses</t>
        </is>
      </c>
      <c r="B55" s="3" t="n"/>
      <c r="C55" s="30" t="n">
        <v>14</v>
      </c>
      <c r="D55" s="30" t="n">
        <v>15</v>
      </c>
      <c r="E55" s="3" t="n"/>
      <c r="F55" s="3" t="n"/>
      <c r="G55" s="3" t="n"/>
      <c r="H55" s="3" t="n"/>
      <c r="I55" s="3" t="n"/>
      <c r="J55" s="3" t="n"/>
      <c r="K55" s="4" t="inlineStr">
        <is>
          <t>Form10A_2026-05-27 p457</t>
        </is>
      </c>
    </row>
    <row r="56">
      <c r="A56" s="38" t="inlineStr">
        <is>
          <t>Deferred tax assets: Losses and other carryforwards</t>
        </is>
      </c>
      <c r="B56" s="3" t="n"/>
      <c r="C56" s="3" t="n"/>
      <c r="D56" s="30" t="n">
        <v>5</v>
      </c>
      <c r="E56" s="3" t="n"/>
      <c r="F56" s="3" t="n"/>
      <c r="G56" s="3" t="n"/>
      <c r="H56" s="3" t="n"/>
      <c r="I56" s="3" t="n"/>
      <c r="J56" s="3" t="n"/>
      <c r="K56" s="4" t="inlineStr">
        <is>
          <t>Form10A_2026-05-27 p457</t>
        </is>
      </c>
    </row>
    <row r="57">
      <c r="A57" s="38" t="inlineStr">
        <is>
          <t>Deferred tax assets: Research &amp; Development expenditures</t>
        </is>
      </c>
      <c r="B57" s="3" t="n"/>
      <c r="C57" s="30" t="n">
        <v>34</v>
      </c>
      <c r="D57" s="30" t="n">
        <v>46</v>
      </c>
      <c r="E57" s="3" t="n"/>
      <c r="F57" s="3" t="n"/>
      <c r="G57" s="3" t="n"/>
      <c r="H57" s="3" t="n"/>
      <c r="I57" s="3" t="n"/>
      <c r="J57" s="3" t="n"/>
      <c r="K57" s="4" t="inlineStr">
        <is>
          <t>Form10A_2026-05-27 p457</t>
        </is>
      </c>
    </row>
    <row r="58">
      <c r="A58" s="38" t="inlineStr">
        <is>
          <t>Deferred tax assets: Other</t>
        </is>
      </c>
      <c r="B58" s="3" t="n"/>
      <c r="C58" s="30" t="n">
        <v>12</v>
      </c>
      <c r="D58" s="30" t="n">
        <v>12</v>
      </c>
      <c r="E58" s="3" t="n"/>
      <c r="F58" s="3" t="n"/>
      <c r="G58" s="3" t="n"/>
      <c r="H58" s="3" t="n"/>
      <c r="I58" s="3" t="n"/>
      <c r="J58" s="3" t="n"/>
      <c r="K58" s="4" t="inlineStr">
        <is>
          <t>Form10A_2026-05-27 p457</t>
        </is>
      </c>
    </row>
    <row r="59">
      <c r="A59" s="39" t="inlineStr">
        <is>
          <t>Total deferred tax assets</t>
        </is>
      </c>
      <c r="B59" s="3" t="n"/>
      <c r="C59" s="18" t="n">
        <v>60</v>
      </c>
      <c r="D59" s="18" t="n">
        <v>78</v>
      </c>
      <c r="E59" s="3" t="n"/>
      <c r="F59" s="3" t="n"/>
      <c r="G59" s="3" t="n"/>
      <c r="H59" s="3" t="n"/>
      <c r="I59" s="3" t="n"/>
      <c r="J59" s="3" t="n"/>
      <c r="K59" s="4" t="inlineStr">
        <is>
          <t>Form10A_2026-05-27 p457</t>
        </is>
      </c>
    </row>
    <row r="60">
      <c r="A60" s="38" t="inlineStr">
        <is>
          <t>Deferred tax liabilities: Goodwill and intangible assets</t>
        </is>
      </c>
      <c r="B60" s="3" t="n"/>
      <c r="C60" s="30" t="n">
        <v>-1141</v>
      </c>
      <c r="D60" s="30" t="n">
        <v>-1066</v>
      </c>
      <c r="E60" s="3" t="n"/>
      <c r="F60" s="3" t="n"/>
      <c r="G60" s="3" t="n"/>
      <c r="H60" s="3" t="n"/>
      <c r="I60" s="3" t="n"/>
      <c r="J60" s="3" t="n"/>
      <c r="K60" s="4" t="inlineStr">
        <is>
          <t>Form10A_2026-05-27 p457</t>
        </is>
      </c>
    </row>
    <row r="61">
      <c r="A61" s="38" t="inlineStr">
        <is>
          <t>Deferred tax liabilities: Other</t>
        </is>
      </c>
      <c r="B61" s="3" t="n"/>
      <c r="C61" s="30" t="n">
        <v>-15</v>
      </c>
      <c r="D61" s="30" t="n">
        <v>-13</v>
      </c>
      <c r="E61" s="3" t="n"/>
      <c r="F61" s="3" t="n"/>
      <c r="G61" s="3" t="n"/>
      <c r="H61" s="3" t="n"/>
      <c r="I61" s="3" t="n"/>
      <c r="J61" s="3" t="n"/>
      <c r="K61" s="4" t="inlineStr">
        <is>
          <t>Form10A_2026-05-27 p457</t>
        </is>
      </c>
    </row>
    <row r="62">
      <c r="A62" s="39" t="inlineStr">
        <is>
          <t>Total deferred tax liabilities</t>
        </is>
      </c>
      <c r="B62" s="3" t="n"/>
      <c r="C62" s="18" t="n">
        <v>-1156</v>
      </c>
      <c r="D62" s="18" t="n">
        <v>-1079</v>
      </c>
      <c r="E62" s="3" t="n"/>
      <c r="F62" s="3" t="n"/>
      <c r="G62" s="3" t="n"/>
      <c r="H62" s="3" t="n"/>
      <c r="I62" s="3" t="n"/>
      <c r="J62" s="3" t="n"/>
      <c r="K62" s="4" t="inlineStr">
        <is>
          <t>Form10A_2026-05-27 p457</t>
        </is>
      </c>
    </row>
    <row r="63">
      <c r="A63" s="39" t="inlineStr">
        <is>
          <t>Net deferred income tax asset before valuation allowance</t>
        </is>
      </c>
      <c r="B63" s="3" t="n"/>
      <c r="C63" s="18" t="n">
        <v>-1096</v>
      </c>
      <c r="D63" s="18" t="n">
        <v>-1001</v>
      </c>
      <c r="E63" s="3" t="n"/>
      <c r="F63" s="3" t="n"/>
      <c r="G63" s="3" t="n"/>
      <c r="H63" s="3" t="n"/>
      <c r="I63" s="3" t="n"/>
      <c r="J63" s="3" t="n"/>
      <c r="K63" s="4" t="inlineStr">
        <is>
          <t>Form10A_2026-05-27 p457</t>
        </is>
      </c>
    </row>
    <row r="64">
      <c r="A64" s="39" t="inlineStr">
        <is>
          <t>Net deferred income tax liability</t>
        </is>
      </c>
      <c r="B64" s="3" t="n"/>
      <c r="C64" s="18" t="n">
        <v>-1096</v>
      </c>
      <c r="D64" s="18" t="n">
        <v>-1006</v>
      </c>
      <c r="E64" s="3" t="n"/>
      <c r="F64" s="3" t="n"/>
      <c r="G64" s="3" t="n"/>
      <c r="H64" s="3" t="n"/>
      <c r="I64" s="3" t="n"/>
      <c r="J64" s="3" t="n"/>
      <c r="K64" s="4" t="inlineStr">
        <is>
          <t>Form10A_2026-05-27 p457</t>
        </is>
      </c>
    </row>
    <row r="65">
      <c r="A65" s="14" t="inlineStr">
        <is>
          <t>Form10A_2026-05-27 · Carryforwards</t>
        </is>
      </c>
      <c r="B65" s="15" t="n"/>
      <c r="C65" s="15" t="n"/>
      <c r="D65" s="15" t="n"/>
      <c r="E65" s="15" t="n"/>
      <c r="F65" s="15" t="n"/>
      <c r="G65" s="15" t="n"/>
      <c r="H65" s="15" t="n"/>
      <c r="I65" s="15" t="n"/>
      <c r="J65" s="15" t="n"/>
      <c r="K65" s="15" t="n"/>
    </row>
    <row r="66">
      <c r="A66" s="38" t="inlineStr">
        <is>
          <t>gross interest carryforward</t>
        </is>
      </c>
      <c r="B66" s="3" t="n"/>
      <c r="C66" s="3" t="n"/>
      <c r="D66" s="30" t="n">
        <v>20</v>
      </c>
      <c r="E66" s="3" t="n"/>
      <c r="F66" s="3" t="n"/>
      <c r="G66" s="3" t="n"/>
      <c r="H66" s="3" t="n"/>
      <c r="I66" s="3" t="n"/>
      <c r="J66" s="3" t="n"/>
      <c r="K66" s="4" t="inlineStr">
        <is>
          <t>Form10A_2026-05-27 p457</t>
        </is>
      </c>
    </row>
    <row r="67">
      <c r="A67" s="38" t="inlineStr">
        <is>
          <t>foreign net operating loss carryforwards</t>
        </is>
      </c>
      <c r="B67" s="3" t="n"/>
      <c r="C67" s="3" t="n"/>
      <c r="D67" s="30" t="n">
        <v>1</v>
      </c>
      <c r="E67" s="3" t="n"/>
      <c r="F67" s="3" t="n"/>
      <c r="G67" s="3" t="n"/>
      <c r="H67" s="3" t="n"/>
      <c r="I67" s="3" t="n"/>
      <c r="J67" s="3" t="n"/>
      <c r="K67" s="4" t="inlineStr">
        <is>
          <t>Form10A_2026-05-27 p457</t>
        </is>
      </c>
    </row>
    <row r="68">
      <c r="A68" s="14" t="inlineStr">
        <is>
          <t>Form10A_2026-05-27 · Unrecognized tax benefits</t>
        </is>
      </c>
      <c r="B68" s="15" t="n"/>
      <c r="C68" s="15" t="n"/>
      <c r="D68" s="15" t="n"/>
      <c r="E68" s="15" t="n"/>
      <c r="F68" s="15" t="n"/>
      <c r="G68" s="15" t="n"/>
      <c r="H68" s="15" t="n"/>
      <c r="I68" s="15" t="n"/>
      <c r="J68" s="15" t="n"/>
      <c r="K68" s="15" t="n"/>
    </row>
    <row r="69">
      <c r="A69" s="38" t="inlineStr">
        <is>
          <t>Balance at beginning of year</t>
        </is>
      </c>
      <c r="B69" s="30" t="n">
        <v>3</v>
      </c>
      <c r="C69" s="30" t="n">
        <v>4</v>
      </c>
      <c r="D69" s="30" t="n">
        <v>5</v>
      </c>
      <c r="E69" s="3" t="n"/>
      <c r="F69" s="3" t="n"/>
      <c r="G69" s="3" t="n"/>
      <c r="H69" s="3" t="n"/>
      <c r="I69" s="3" t="n"/>
      <c r="J69" s="3" t="n"/>
      <c r="K69" s="4" t="inlineStr">
        <is>
          <t>Form10A_2026-05-27 p458</t>
        </is>
      </c>
    </row>
    <row r="70">
      <c r="A70" s="38" t="inlineStr">
        <is>
          <t>Additions based on tax positions related to the current year</t>
        </is>
      </c>
      <c r="B70" s="30" t="n">
        <v>1</v>
      </c>
      <c r="C70" s="30" t="n">
        <v>1</v>
      </c>
      <c r="D70" s="3" t="n"/>
      <c r="E70" s="3" t="n"/>
      <c r="F70" s="3" t="n"/>
      <c r="G70" s="3" t="n"/>
      <c r="H70" s="3" t="n"/>
      <c r="I70" s="3" t="n"/>
      <c r="J70" s="3" t="n"/>
      <c r="K70" s="4" t="inlineStr">
        <is>
          <t>Form10A_2026-05-27 p458</t>
        </is>
      </c>
    </row>
    <row r="71">
      <c r="A71" s="38" t="inlineStr">
        <is>
          <t>Reduction for settlements</t>
        </is>
      </c>
      <c r="B71" s="3" t="n"/>
      <c r="C71" s="3" t="n"/>
      <c r="D71" s="30" t="n">
        <v>-3</v>
      </c>
      <c r="E71" s="3" t="n"/>
      <c r="F71" s="3" t="n"/>
      <c r="G71" s="3" t="n"/>
      <c r="H71" s="3" t="n"/>
      <c r="I71" s="3" t="n"/>
      <c r="J71" s="3" t="n"/>
      <c r="K71" s="4" t="inlineStr">
        <is>
          <t>Form10A_2026-05-27 p458</t>
        </is>
      </c>
    </row>
    <row r="72">
      <c r="A72" s="39" t="inlineStr">
        <is>
          <t>Balance at end of year</t>
        </is>
      </c>
      <c r="B72" s="18" t="n">
        <v>4</v>
      </c>
      <c r="C72" s="18" t="n">
        <v>5</v>
      </c>
      <c r="D72" s="18" t="n">
        <v>2</v>
      </c>
      <c r="E72" s="3" t="n"/>
      <c r="F72" s="3" t="n"/>
      <c r="G72" s="3" t="n"/>
      <c r="H72" s="3" t="n"/>
      <c r="I72" s="3" t="n"/>
      <c r="J72" s="3" t="n"/>
      <c r="K72" s="4" t="inlineStr">
        <is>
          <t>Form10A_2026-05-27 p458</t>
        </is>
      </c>
    </row>
    <row r="73">
      <c r="A73" s="38" t="inlineStr">
        <is>
          <t>total federal state and local and foreign unrecognized tax benefits (excl. interest and penalties)</t>
        </is>
      </c>
      <c r="B73" s="3" t="n"/>
      <c r="C73" s="3" t="n"/>
      <c r="D73" s="30" t="n">
        <v>2</v>
      </c>
      <c r="E73" s="3" t="n"/>
      <c r="F73" s="3" t="n"/>
      <c r="G73" s="3" t="n"/>
      <c r="H73" s="30" t="n">
        <v>3</v>
      </c>
      <c r="I73" s="3" t="n"/>
      <c r="J73" s="3" t="n"/>
      <c r="K73" s="4" t="inlineStr">
        <is>
          <t>Form10A_2026-05-27 p429</t>
        </is>
      </c>
    </row>
    <row r="74">
      <c r="A74" s="14" t="inlineStr">
        <is>
          <t>Form10A_2026-05-27 · Schedule II</t>
        </is>
      </c>
      <c r="B74" s="15" t="n"/>
      <c r="C74" s="15" t="n"/>
      <c r="D74" s="15" t="n"/>
      <c r="E74" s="15" t="n"/>
      <c r="F74" s="15" t="n"/>
      <c r="G74" s="15" t="n"/>
      <c r="H74" s="15" t="n"/>
      <c r="I74" s="15" t="n"/>
      <c r="J74" s="15" t="n"/>
      <c r="K74" s="15" t="n"/>
    </row>
    <row r="75">
      <c r="A75" s="38" t="inlineStr">
        <is>
          <t>Valuation allowances related to deferred tax assets</t>
        </is>
      </c>
      <c r="B75" s="3" t="n"/>
      <c r="C75" s="3" t="n"/>
      <c r="D75" s="30" t="n">
        <v>5</v>
      </c>
      <c r="E75" s="3" t="n"/>
      <c r="F75" s="3" t="n"/>
      <c r="G75" s="3" t="n"/>
      <c r="H75" s="3" t="n"/>
      <c r="I75" s="3" t="n"/>
      <c r="J75" s="3" t="n"/>
      <c r="K75" s="4" t="inlineStr">
        <is>
          <t>Form10A_2026-05-27 p468</t>
        </is>
      </c>
    </row>
    <row r="76">
      <c r="A76" s="14" t="inlineStr">
        <is>
          <t>Form10A_2026-05-27 · Interim ETR</t>
        </is>
      </c>
      <c r="B76" s="15" t="n"/>
      <c r="C76" s="15" t="n"/>
      <c r="D76" s="15" t="n"/>
      <c r="E76" s="15" t="n"/>
      <c r="F76" s="15" t="n"/>
      <c r="G76" s="15" t="n"/>
      <c r="H76" s="15" t="n"/>
      <c r="I76" s="15" t="n"/>
      <c r="J76" s="15" t="n"/>
      <c r="K76" s="15" t="n"/>
    </row>
    <row r="77">
      <c r="A77" s="38" t="inlineStr">
        <is>
          <t>effective income tax rate</t>
        </is>
      </c>
      <c r="B77" s="3" t="n"/>
      <c r="C77" s="3" t="n"/>
      <c r="D77" s="3" t="n"/>
      <c r="E77" s="41" t="n">
        <v>28.2</v>
      </c>
      <c r="F77" s="3" t="n"/>
      <c r="G77" s="3" t="n"/>
      <c r="H77" s="41" t="n">
        <v>28.7</v>
      </c>
      <c r="I77" s="3" t="n"/>
      <c r="J77" s="3" t="n"/>
      <c r="K77" s="4" t="inlineStr">
        <is>
          <t>Form10A_2026-05-27 p429</t>
        </is>
      </c>
    </row>
    <row r="78">
      <c r="A78" s="14" t="inlineStr">
        <is>
          <t>10Q_Q2-2026 · Interim ETR</t>
        </is>
      </c>
      <c r="B78" s="15" t="n"/>
      <c r="C78" s="15" t="n"/>
      <c r="D78" s="15" t="n"/>
      <c r="E78" s="15" t="n"/>
      <c r="F78" s="15" t="n"/>
      <c r="G78" s="15" t="n"/>
      <c r="H78" s="15" t="n"/>
      <c r="I78" s="15" t="n"/>
      <c r="J78" s="15" t="n"/>
      <c r="K78" s="15" t="n"/>
    </row>
    <row r="79">
      <c r="A79" s="38" t="inlineStr">
        <is>
          <t>effective income tax rate</t>
        </is>
      </c>
      <c r="B79" s="3" t="n"/>
      <c r="C79" s="3" t="n"/>
      <c r="D79" s="3" t="n"/>
      <c r="E79" s="3" t="n"/>
      <c r="F79" s="41" t="n">
        <v>29.3</v>
      </c>
      <c r="G79" s="41" t="n">
        <v>28.9</v>
      </c>
      <c r="H79" s="3" t="n"/>
      <c r="I79" s="41" t="n">
        <v>29.3</v>
      </c>
      <c r="J79" s="41" t="n">
        <v>29.4</v>
      </c>
      <c r="K79" s="4" t="inlineStr">
        <is>
          <t>10Q_Q2-2026 p13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6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45" customWidth="1" min="13" max="13"/>
    <col hidden="1" width="13" customWidth="1" min="26" max="26"/>
  </cols>
  <sheetData>
    <row r="1" ht="20" customHeight="1">
      <c r="A1" s="1" t="inlineStr">
        <is>
          <t>Equity / net parent investment, shares, stock compensation</t>
        </is>
      </c>
      <c r="B1" s="2" t="n"/>
      <c r="C1" s="2" t="n"/>
      <c r="D1" s="2" t="n"/>
      <c r="E1" s="2" t="n"/>
      <c r="F1" s="2" t="n"/>
      <c r="G1" s="2" t="n"/>
      <c r="H1" s="2" t="n"/>
      <c r="I1" s="2" t="n"/>
      <c r="J1" s="2" t="n"/>
      <c r="K1" s="2" t="n"/>
      <c r="L1" s="2" t="n"/>
      <c r="M1" s="2" t="n"/>
    </row>
    <row r="2">
      <c r="A2" s="4" t="inlineStr">
        <is>
          <t>As printed; see notes_NOTES.md for unreadable cells and tables that do not foot.</t>
        </is>
      </c>
      <c r="B2" s="3" t="n"/>
      <c r="C2" s="3" t="n"/>
      <c r="D2" s="3" t="n"/>
      <c r="E2" s="3" t="n"/>
      <c r="F2" s="3" t="n"/>
      <c r="G2" s="3" t="n"/>
      <c r="H2" s="3" t="n"/>
      <c r="I2" s="3" t="n"/>
      <c r="J2" s="3" t="n"/>
      <c r="K2" s="3" t="n"/>
      <c r="L2" s="3" t="n"/>
      <c r="M2" s="3" t="n"/>
    </row>
    <row r="3">
      <c r="A3" s="3" t="n"/>
      <c r="B3" s="3" t="n"/>
      <c r="C3" s="3" t="n"/>
      <c r="D3" s="3" t="n"/>
      <c r="E3" s="3" t="n"/>
      <c r="F3" s="3" t="n"/>
      <c r="G3" s="3" t="n"/>
      <c r="H3" s="3" t="n"/>
      <c r="I3" s="3" t="n"/>
      <c r="J3" s="3" t="n"/>
      <c r="K3" s="3" t="n"/>
      <c r="L3" s="3" t="n"/>
      <c r="M3" s="3" t="n"/>
    </row>
    <row r="4">
      <c r="A4" s="9" t="inlineStr">
        <is>
          <t>Line item (verbatim caption)</t>
        </is>
      </c>
      <c r="B4" s="29" t="inlineStr">
        <is>
          <t>FY2022</t>
        </is>
      </c>
      <c r="C4" s="29" t="inlineStr">
        <is>
          <t>FY2023</t>
        </is>
      </c>
      <c r="D4" s="29" t="inlineStr">
        <is>
          <t>FY2024</t>
        </is>
      </c>
      <c r="E4" s="29" t="inlineStr">
        <is>
          <t>FY2025</t>
        </is>
      </c>
      <c r="F4" s="29" t="inlineStr">
        <is>
          <t>Q1-2025</t>
        </is>
      </c>
      <c r="G4" s="29" t="inlineStr">
        <is>
          <t>Q2-2025</t>
        </is>
      </c>
      <c r="H4" s="29" t="inlineStr">
        <is>
          <t>6M-2025</t>
        </is>
      </c>
      <c r="I4" s="29" t="inlineStr">
        <is>
          <t>Q1-2026</t>
        </is>
      </c>
      <c r="J4" s="29" t="inlineStr">
        <is>
          <t>Q2-2026</t>
        </is>
      </c>
      <c r="K4" s="29" t="inlineStr">
        <is>
          <t>6M-2026</t>
        </is>
      </c>
      <c r="L4" s="29" t="inlineStr">
        <is>
          <t>Q3-2026</t>
        </is>
      </c>
      <c r="M4" s="29" t="inlineStr">
        <is>
          <t>Source (doc p.)</t>
        </is>
      </c>
    </row>
    <row r="5">
      <c r="A5" s="14" t="inlineStr">
        <is>
          <t>Form10A_2026-05-27 · Stock-Based Compensation</t>
        </is>
      </c>
      <c r="B5" s="15" t="n"/>
      <c r="C5" s="15" t="n"/>
      <c r="D5" s="15" t="n"/>
      <c r="E5" s="15" t="n"/>
      <c r="F5" s="15" t="n"/>
      <c r="G5" s="15" t="n"/>
      <c r="H5" s="15" t="n"/>
      <c r="I5" s="15" t="n"/>
      <c r="J5" s="15" t="n"/>
      <c r="K5" s="15" t="n"/>
      <c r="L5" s="15" t="n"/>
      <c r="M5" s="15" t="n"/>
    </row>
    <row r="6">
      <c r="A6" s="38" t="inlineStr">
        <is>
          <t>total stock-based compensation expense related to restricted stock and other stock-based awards for the dedicated Mobility employees</t>
        </is>
      </c>
      <c r="B6" s="3" t="n"/>
      <c r="C6" s="3" t="n"/>
      <c r="D6" s="3" t="n"/>
      <c r="E6" s="3" t="n"/>
      <c r="F6" s="30" t="n">
        <v>5</v>
      </c>
      <c r="G6" s="3" t="n"/>
      <c r="H6" s="3" t="n"/>
      <c r="I6" s="30" t="n">
        <v>4</v>
      </c>
      <c r="J6" s="3" t="n"/>
      <c r="K6" s="3" t="n"/>
      <c r="L6" s="3" t="n"/>
      <c r="M6" s="4" t="inlineStr">
        <is>
          <t>Form10A_2026-05-27 p430</t>
        </is>
      </c>
    </row>
    <row r="7">
      <c r="A7" s="38" t="inlineStr">
        <is>
          <t>S&amp;P Global granted shares of restricted stock and other stock-based awards to dedicated Mobility employees</t>
        </is>
      </c>
      <c r="B7" s="3" t="n"/>
      <c r="C7" s="3" t="n"/>
      <c r="D7" s="3" t="n"/>
      <c r="E7" s="3" t="n"/>
      <c r="F7" s="3" t="n"/>
      <c r="G7" s="3" t="n"/>
      <c r="H7" s="3" t="n"/>
      <c r="I7" s="30" t="n">
        <v>0.1</v>
      </c>
      <c r="J7" s="3" t="n"/>
      <c r="K7" s="3" t="n"/>
      <c r="L7" s="3" t="n"/>
      <c r="M7" s="4" t="inlineStr">
        <is>
          <t>Form10A_2026-05-27 p430</t>
        </is>
      </c>
    </row>
    <row r="8">
      <c r="A8" s="38" t="inlineStr">
        <is>
          <t>weighted-average grant-date fair value per share</t>
        </is>
      </c>
      <c r="B8" s="3" t="n"/>
      <c r="C8" s="3" t="n"/>
      <c r="D8" s="3" t="n"/>
      <c r="E8" s="3" t="n"/>
      <c r="F8" s="3" t="n"/>
      <c r="G8" s="3" t="n"/>
      <c r="H8" s="3" t="n"/>
      <c r="I8" s="32" t="n">
        <v>441.68</v>
      </c>
      <c r="J8" s="3" t="n"/>
      <c r="K8" s="3" t="n"/>
      <c r="L8" s="3" t="n"/>
      <c r="M8" s="4" t="inlineStr">
        <is>
          <t>Form10A_2026-05-27 p430</t>
        </is>
      </c>
    </row>
    <row r="9">
      <c r="A9" s="38" t="inlineStr">
        <is>
          <t>Total unrecognized compensation expense related to unvested equity awards</t>
        </is>
      </c>
      <c r="B9" s="3" t="n"/>
      <c r="C9" s="3" t="n"/>
      <c r="D9" s="3" t="n"/>
      <c r="E9" s="3" t="n"/>
      <c r="F9" s="3" t="n"/>
      <c r="G9" s="3" t="n"/>
      <c r="H9" s="3" t="n"/>
      <c r="I9" s="30" t="n">
        <v>44</v>
      </c>
      <c r="J9" s="3" t="n"/>
      <c r="K9" s="3" t="n"/>
      <c r="L9" s="3" t="n"/>
      <c r="M9" s="4" t="inlineStr">
        <is>
          <t>Form10A_2026-05-27 p430</t>
        </is>
      </c>
    </row>
    <row r="10">
      <c r="A10" s="38" t="inlineStr">
        <is>
          <t>weighted average period to recognize unrecognized compensation (years)</t>
        </is>
      </c>
      <c r="B10" s="3" t="n"/>
      <c r="C10" s="3" t="n"/>
      <c r="D10" s="3" t="n"/>
      <c r="E10" s="3" t="n"/>
      <c r="F10" s="3" t="n"/>
      <c r="G10" s="3" t="n"/>
      <c r="H10" s="3" t="n"/>
      <c r="I10" s="40" t="n">
        <v>1.63</v>
      </c>
      <c r="J10" s="3" t="n"/>
      <c r="K10" s="3" t="n"/>
      <c r="L10" s="3" t="n"/>
      <c r="M10" s="4" t="inlineStr">
        <is>
          <t>Form10A_2026-05-27 p430</t>
        </is>
      </c>
    </row>
    <row r="11">
      <c r="A11" s="38" t="inlineStr">
        <is>
          <t>Restricted stock and other stock-based awards expense</t>
        </is>
      </c>
      <c r="B11" s="3" t="n"/>
      <c r="C11" s="30" t="n">
        <v>20</v>
      </c>
      <c r="D11" s="30" t="n">
        <v>28</v>
      </c>
      <c r="E11" s="30" t="n">
        <v>22</v>
      </c>
      <c r="F11" s="3" t="n"/>
      <c r="G11" s="3" t="n"/>
      <c r="H11" s="3" t="n"/>
      <c r="I11" s="3" t="n"/>
      <c r="J11" s="3" t="n"/>
      <c r="K11" s="3" t="n"/>
      <c r="L11" s="3" t="n"/>
      <c r="M11" s="4" t="inlineStr">
        <is>
          <t>Form10A_2026-05-27 p459</t>
        </is>
      </c>
    </row>
    <row r="12">
      <c r="A12" s="38" t="inlineStr">
        <is>
          <t>Tax benefit</t>
        </is>
      </c>
      <c r="B12" s="3" t="n"/>
      <c r="C12" s="30" t="n">
        <v>6</v>
      </c>
      <c r="D12" s="30" t="n">
        <v>8</v>
      </c>
      <c r="E12" s="30" t="n">
        <v>5</v>
      </c>
      <c r="F12" s="3" t="n"/>
      <c r="G12" s="3" t="n"/>
      <c r="H12" s="3" t="n"/>
      <c r="I12" s="3" t="n"/>
      <c r="J12" s="3" t="n"/>
      <c r="K12" s="3" t="n"/>
      <c r="L12" s="3" t="n"/>
      <c r="M12" s="4" t="inlineStr">
        <is>
          <t>Form10A_2026-05-27 p459</t>
        </is>
      </c>
    </row>
    <row r="13">
      <c r="A13" s="38" t="inlineStr">
        <is>
          <t>IHS Markit merger exchange ratio applied to assumed awards</t>
        </is>
      </c>
      <c r="B13" s="3" t="n"/>
      <c r="C13" s="3" t="n"/>
      <c r="D13" s="3" t="n"/>
      <c r="E13" s="40" t="n">
        <v>0.2838</v>
      </c>
      <c r="F13" s="3" t="n"/>
      <c r="G13" s="3" t="n"/>
      <c r="H13" s="3" t="n"/>
      <c r="I13" s="3" t="n"/>
      <c r="J13" s="3" t="n"/>
      <c r="K13" s="3" t="n"/>
      <c r="L13" s="3" t="n"/>
      <c r="M13" s="4" t="inlineStr">
        <is>
          <t>Form10A_2026-05-27 p459</t>
        </is>
      </c>
    </row>
    <row r="14">
      <c r="A14" s="14" t="inlineStr">
        <is>
          <t>Form10A_2026-05-27 · Parent company investment components</t>
        </is>
      </c>
      <c r="B14" s="15" t="n"/>
      <c r="C14" s="15" t="n"/>
      <c r="D14" s="15" t="n"/>
      <c r="E14" s="15" t="n"/>
      <c r="F14" s="15" t="n"/>
      <c r="G14" s="15" t="n"/>
      <c r="H14" s="15" t="n"/>
      <c r="I14" s="15" t="n"/>
      <c r="J14" s="15" t="n"/>
      <c r="K14" s="15" t="n"/>
      <c r="L14" s="15" t="n"/>
      <c r="M14" s="15" t="n"/>
    </row>
    <row r="15">
      <c r="A15" s="38" t="inlineStr">
        <is>
          <t>Cash pooling and general financing activities</t>
        </is>
      </c>
      <c r="B15" s="3" t="n"/>
      <c r="C15" s="30" t="n">
        <v>-599</v>
      </c>
      <c r="D15" s="30" t="n">
        <v>-637</v>
      </c>
      <c r="E15" s="30" t="n">
        <v>-738</v>
      </c>
      <c r="F15" s="30" t="n">
        <v>-112</v>
      </c>
      <c r="G15" s="3" t="n"/>
      <c r="H15" s="3" t="n"/>
      <c r="I15" s="30" t="n">
        <v>-30</v>
      </c>
      <c r="J15" s="3" t="n"/>
      <c r="K15" s="3" t="n"/>
      <c r="L15" s="3" t="n"/>
      <c r="M15" s="4" t="inlineStr">
        <is>
          <t>Form10A_2026-05-27 p436; Form10A_2026-05-27 p467</t>
        </is>
      </c>
    </row>
    <row r="16">
      <c r="A16" s="38" t="inlineStr">
        <is>
          <t>Unbilled corporate allocations</t>
        </is>
      </c>
      <c r="B16" s="3" t="n"/>
      <c r="C16" s="30" t="n">
        <v>77</v>
      </c>
      <c r="D16" s="30" t="n">
        <v>77</v>
      </c>
      <c r="E16" s="30" t="n">
        <v>109</v>
      </c>
      <c r="F16" s="30" t="n">
        <v>21</v>
      </c>
      <c r="G16" s="3" t="n"/>
      <c r="H16" s="3" t="n"/>
      <c r="I16" s="30" t="n">
        <v>27</v>
      </c>
      <c r="J16" s="3" t="n"/>
      <c r="K16" s="3" t="n"/>
      <c r="L16" s="3" t="n"/>
      <c r="M16" s="4" t="inlineStr">
        <is>
          <t>Form10A_2026-05-27 p436; Form10A_2026-05-27 p467</t>
        </is>
      </c>
    </row>
    <row r="17">
      <c r="A17" s="38" t="inlineStr">
        <is>
          <t>Cash contributions from S&amp;P Global used to fund acquisitions</t>
        </is>
      </c>
      <c r="B17" s="3" t="n"/>
      <c r="C17" s="30" t="n">
        <v>214</v>
      </c>
      <c r="D17" s="30" t="n">
        <v>6</v>
      </c>
      <c r="E17" s="3" t="n"/>
      <c r="F17" s="3" t="n"/>
      <c r="G17" s="3" t="n"/>
      <c r="H17" s="3" t="n"/>
      <c r="I17" s="3" t="n"/>
      <c r="J17" s="3" t="n"/>
      <c r="K17" s="3" t="n"/>
      <c r="L17" s="3" t="n"/>
      <c r="M17" s="4" t="inlineStr">
        <is>
          <t>Form10A_2026-05-27 p467</t>
        </is>
      </c>
    </row>
    <row r="18">
      <c r="A18" s="38" t="inlineStr">
        <is>
          <t>Stock-based compensation</t>
        </is>
      </c>
      <c r="B18" s="3" t="n"/>
      <c r="C18" s="30" t="n">
        <v>20</v>
      </c>
      <c r="D18" s="30" t="n">
        <v>28</v>
      </c>
      <c r="E18" s="30" t="n">
        <v>22</v>
      </c>
      <c r="F18" s="30" t="n">
        <v>5</v>
      </c>
      <c r="G18" s="3" t="n"/>
      <c r="H18" s="3" t="n"/>
      <c r="I18" s="30" t="n">
        <v>4</v>
      </c>
      <c r="J18" s="3" t="n"/>
      <c r="K18" s="3" t="n"/>
      <c r="L18" s="3" t="n"/>
      <c r="M18" s="4" t="inlineStr">
        <is>
          <t>Form10A_2026-05-27 p436; Form10A_2026-05-27 p467</t>
        </is>
      </c>
    </row>
    <row r="19">
      <c r="A19" s="38" t="inlineStr">
        <is>
          <t>Assumed income tax payments</t>
        </is>
      </c>
      <c r="B19" s="3" t="n"/>
      <c r="C19" s="30" t="n">
        <v>151</v>
      </c>
      <c r="D19" s="30" t="n">
        <v>181</v>
      </c>
      <c r="E19" s="30" t="n">
        <v>196</v>
      </c>
      <c r="F19" s="30" t="n">
        <v>42</v>
      </c>
      <c r="G19" s="3" t="n"/>
      <c r="H19" s="3" t="n"/>
      <c r="I19" s="30" t="n">
        <v>41</v>
      </c>
      <c r="J19" s="3" t="n"/>
      <c r="K19" s="3" t="n"/>
      <c r="L19" s="3" t="n"/>
      <c r="M19" s="4" t="inlineStr">
        <is>
          <t>Form10A_2026-05-27 p436; Form10A_2026-05-27 p467</t>
        </is>
      </c>
    </row>
    <row r="20">
      <c r="A20" s="39" t="inlineStr">
        <is>
          <t>Net increase (decrease) in Parent company investment</t>
        </is>
      </c>
      <c r="B20" s="3" t="n"/>
      <c r="C20" s="3" t="n"/>
      <c r="D20" s="3" t="n"/>
      <c r="E20" s="3" t="n"/>
      <c r="F20" s="18" t="n">
        <v>-44</v>
      </c>
      <c r="G20" s="3" t="n"/>
      <c r="H20" s="3" t="n"/>
      <c r="I20" s="18" t="n">
        <v>42</v>
      </c>
      <c r="J20" s="3" t="n"/>
      <c r="K20" s="3" t="n"/>
      <c r="L20" s="3" t="n"/>
      <c r="M20" s="4" t="inlineStr">
        <is>
          <t>Form10A_2026-05-27 p436</t>
        </is>
      </c>
    </row>
    <row r="21">
      <c r="A21" s="39" t="inlineStr">
        <is>
          <t>Net decrease in Parent company investment</t>
        </is>
      </c>
      <c r="B21" s="3" t="n"/>
      <c r="C21" s="18" t="n">
        <v>-137</v>
      </c>
      <c r="D21" s="18" t="n">
        <v>-345</v>
      </c>
      <c r="E21" s="18" t="n">
        <v>-411</v>
      </c>
      <c r="F21" s="3" t="n"/>
      <c r="G21" s="3" t="n"/>
      <c r="H21" s="3" t="n"/>
      <c r="I21" s="3" t="n"/>
      <c r="J21" s="3" t="n"/>
      <c r="K21" s="3" t="n"/>
      <c r="L21" s="3" t="n"/>
      <c r="M21" s="4" t="inlineStr">
        <is>
          <t>Form10A_2026-05-27 p467</t>
        </is>
      </c>
    </row>
    <row r="22">
      <c r="A22" s="14" t="inlineStr">
        <is>
          <t>Form10A_2026-05-27 · Parent company investment roll-forward</t>
        </is>
      </c>
      <c r="B22" s="15" t="n"/>
      <c r="C22" s="15" t="n"/>
      <c r="D22" s="15" t="n"/>
      <c r="E22" s="15" t="n"/>
      <c r="F22" s="15" t="n"/>
      <c r="G22" s="15" t="n"/>
      <c r="H22" s="15" t="n"/>
      <c r="I22" s="15" t="n"/>
      <c r="J22" s="15" t="n"/>
      <c r="K22" s="15" t="n"/>
      <c r="L22" s="15" t="n"/>
      <c r="M22" s="15" t="n"/>
    </row>
    <row r="23">
      <c r="A23" s="39" t="inlineStr">
        <is>
          <t>Parent Company Investment balance as of January 1 2023</t>
        </is>
      </c>
      <c r="B23" s="18" t="n">
        <v>11791</v>
      </c>
      <c r="C23" s="3" t="n"/>
      <c r="D23" s="3" t="n"/>
      <c r="E23" s="3" t="n"/>
      <c r="F23" s="3" t="n"/>
      <c r="G23" s="3" t="n"/>
      <c r="H23" s="3" t="n"/>
      <c r="I23" s="3" t="n"/>
      <c r="J23" s="3" t="n"/>
      <c r="K23" s="3" t="n"/>
      <c r="L23" s="3" t="n"/>
      <c r="M23" s="4" t="inlineStr">
        <is>
          <t>Form10A_2026-05-27 p444</t>
        </is>
      </c>
    </row>
    <row r="24">
      <c r="A24" s="38" t="inlineStr">
        <is>
          <t>Comprehensive income net of tax (net income)</t>
        </is>
      </c>
      <c r="B24" s="3" t="n"/>
      <c r="C24" s="30" t="n">
        <v>163</v>
      </c>
      <c r="D24" s="30" t="n">
        <v>208</v>
      </c>
      <c r="E24" s="30" t="n">
        <v>220</v>
      </c>
      <c r="F24" s="30" t="n">
        <v>58</v>
      </c>
      <c r="G24" s="3" t="n"/>
      <c r="H24" s="3" t="n"/>
      <c r="I24" s="30" t="n">
        <v>55</v>
      </c>
      <c r="J24" s="3" t="n"/>
      <c r="K24" s="3" t="n"/>
      <c r="L24" s="3" t="n"/>
      <c r="M24" s="4" t="inlineStr">
        <is>
          <t>Form10A_2026-05-27 p426; Form10A_2026-05-27 p444</t>
        </is>
      </c>
    </row>
    <row r="25">
      <c r="A25" s="38" t="inlineStr">
        <is>
          <t>Net decrease in Parent company investment</t>
        </is>
      </c>
      <c r="B25" s="3" t="n"/>
      <c r="C25" s="30" t="n">
        <v>-137</v>
      </c>
      <c r="D25" s="30" t="n">
        <v>-345</v>
      </c>
      <c r="E25" s="30" t="n">
        <v>-411</v>
      </c>
      <c r="F25" s="30" t="n">
        <v>-44</v>
      </c>
      <c r="G25" s="3" t="n"/>
      <c r="H25" s="3" t="n"/>
      <c r="I25" s="3" t="n"/>
      <c r="J25" s="3" t="n"/>
      <c r="K25" s="3" t="n"/>
      <c r="L25" s="3" t="n"/>
      <c r="M25" s="4" t="inlineStr">
        <is>
          <t>Form10A_2026-05-27 p426; Form10A_2026-05-27 p444</t>
        </is>
      </c>
    </row>
    <row r="26">
      <c r="A26" s="38" t="inlineStr">
        <is>
          <t>Net increase in Parent company investment</t>
        </is>
      </c>
      <c r="B26" s="3" t="n"/>
      <c r="C26" s="3" t="n"/>
      <c r="D26" s="3" t="n"/>
      <c r="E26" s="3" t="n"/>
      <c r="F26" s="3" t="n"/>
      <c r="G26" s="3" t="n"/>
      <c r="H26" s="3" t="n"/>
      <c r="I26" s="30" t="n">
        <v>42</v>
      </c>
      <c r="J26" s="3" t="n"/>
      <c r="K26" s="3" t="n"/>
      <c r="L26" s="3" t="n"/>
      <c r="M26" s="4" t="inlineStr">
        <is>
          <t>Form10A_2026-05-27 p426</t>
        </is>
      </c>
    </row>
    <row r="27">
      <c r="A27" s="39" t="inlineStr">
        <is>
          <t>Parent Company Investment balance</t>
        </is>
      </c>
      <c r="B27" s="3" t="n"/>
      <c r="C27" s="18" t="n">
        <v>11817</v>
      </c>
      <c r="D27" s="18" t="n">
        <v>11680</v>
      </c>
      <c r="E27" s="18" t="n">
        <v>11489</v>
      </c>
      <c r="F27" s="18" t="n">
        <v>11694</v>
      </c>
      <c r="G27" s="3" t="n"/>
      <c r="H27" s="3" t="n"/>
      <c r="I27" s="18" t="n">
        <v>11586</v>
      </c>
      <c r="J27" s="3" t="n"/>
      <c r="K27" s="3" t="n"/>
      <c r="L27" s="3" t="n"/>
      <c r="M27" s="4" t="inlineStr">
        <is>
          <t>Form10A_2026-05-27 p426; Form10A_2026-05-27 p444</t>
        </is>
      </c>
    </row>
    <row r="28">
      <c r="A28" s="14" t="inlineStr">
        <is>
          <t>Form10A_2026-05-27 · Restricted stock award activity (in thousands)</t>
        </is>
      </c>
      <c r="B28" s="15" t="n"/>
      <c r="C28" s="15" t="n"/>
      <c r="D28" s="15" t="n"/>
      <c r="E28" s="15" t="n"/>
      <c r="F28" s="15" t="n"/>
      <c r="G28" s="15" t="n"/>
      <c r="H28" s="15" t="n"/>
      <c r="I28" s="15" t="n"/>
      <c r="J28" s="15" t="n"/>
      <c r="K28" s="15" t="n"/>
      <c r="L28" s="15" t="n"/>
      <c r="M28" s="15" t="n"/>
    </row>
    <row r="29">
      <c r="A29" s="39" t="inlineStr">
        <is>
          <t>Balance as of December 31, 2024 - Shares</t>
        </is>
      </c>
      <c r="B29" s="3" t="n"/>
      <c r="C29" s="3" t="n"/>
      <c r="D29" s="44" t="n">
        <v>107000</v>
      </c>
      <c r="E29" s="3" t="n"/>
      <c r="F29" s="3" t="n"/>
      <c r="G29" s="3" t="n"/>
      <c r="H29" s="3" t="n"/>
      <c r="I29" s="3" t="n"/>
      <c r="J29" s="3" t="n"/>
      <c r="K29" s="3" t="n"/>
      <c r="L29" s="3" t="n"/>
      <c r="M29" s="4" t="inlineStr">
        <is>
          <t>Form10A_2026-05-27 p460</t>
        </is>
      </c>
    </row>
    <row r="30">
      <c r="A30" s="38" t="inlineStr">
        <is>
          <t>Granted - Shares</t>
        </is>
      </c>
      <c r="B30" s="3" t="n"/>
      <c r="C30" s="3" t="n"/>
      <c r="D30" s="3" t="n"/>
      <c r="E30" s="40" t="n">
        <v>50000</v>
      </c>
      <c r="F30" s="3" t="n"/>
      <c r="G30" s="3" t="n"/>
      <c r="H30" s="3" t="n"/>
      <c r="I30" s="3" t="n"/>
      <c r="J30" s="3" t="n"/>
      <c r="K30" s="3" t="n"/>
      <c r="L30" s="3" t="n"/>
      <c r="M30" s="4" t="inlineStr">
        <is>
          <t>Form10A_2026-05-27 p460</t>
        </is>
      </c>
    </row>
    <row r="31">
      <c r="A31" s="38" t="inlineStr">
        <is>
          <t>Vested - Shares</t>
        </is>
      </c>
      <c r="B31" s="3" t="n"/>
      <c r="C31" s="3" t="n"/>
      <c r="D31" s="3" t="n"/>
      <c r="E31" s="40" t="n">
        <v>-52000</v>
      </c>
      <c r="F31" s="3" t="n"/>
      <c r="G31" s="3" t="n"/>
      <c r="H31" s="3" t="n"/>
      <c r="I31" s="3" t="n"/>
      <c r="J31" s="3" t="n"/>
      <c r="K31" s="3" t="n"/>
      <c r="L31" s="3" t="n"/>
      <c r="M31" s="4" t="inlineStr">
        <is>
          <t>Form10A_2026-05-27 p460</t>
        </is>
      </c>
    </row>
    <row r="32">
      <c r="A32" s="38" t="inlineStr">
        <is>
          <t>Forfeited / cancelled - Shares</t>
        </is>
      </c>
      <c r="B32" s="3" t="n"/>
      <c r="C32" s="3" t="n"/>
      <c r="D32" s="3" t="n"/>
      <c r="E32" s="40" t="n">
        <v>-36000</v>
      </c>
      <c r="F32" s="3" t="n"/>
      <c r="G32" s="3" t="n"/>
      <c r="H32" s="3" t="n"/>
      <c r="I32" s="3" t="n"/>
      <c r="J32" s="3" t="n"/>
      <c r="K32" s="3" t="n"/>
      <c r="L32" s="3" t="n"/>
      <c r="M32" s="4" t="inlineStr">
        <is>
          <t>Form10A_2026-05-27 p460</t>
        </is>
      </c>
    </row>
    <row r="33">
      <c r="A33" s="38" t="inlineStr">
        <is>
          <t>Employee transfers and other, net - Shares</t>
        </is>
      </c>
      <c r="B33" s="3" t="n"/>
      <c r="C33" s="3" t="n"/>
      <c r="D33" s="3" t="n"/>
      <c r="E33" s="40" t="n">
        <v>21000</v>
      </c>
      <c r="F33" s="3" t="n"/>
      <c r="G33" s="3" t="n"/>
      <c r="H33" s="3" t="n"/>
      <c r="I33" s="3" t="n"/>
      <c r="J33" s="3" t="n"/>
      <c r="K33" s="3" t="n"/>
      <c r="L33" s="3" t="n"/>
      <c r="M33" s="4" t="inlineStr">
        <is>
          <t>Form10A_2026-05-27 p460</t>
        </is>
      </c>
    </row>
    <row r="34">
      <c r="A34" s="39" t="inlineStr">
        <is>
          <t>Balance as of December 31, 2025 - Shares</t>
        </is>
      </c>
      <c r="B34" s="3" t="n"/>
      <c r="C34" s="3" t="n"/>
      <c r="D34" s="3" t="n"/>
      <c r="E34" s="44" t="n">
        <v>90000</v>
      </c>
      <c r="F34" s="3" t="n"/>
      <c r="G34" s="3" t="n"/>
      <c r="H34" s="3" t="n"/>
      <c r="I34" s="3" t="n"/>
      <c r="J34" s="3" t="n"/>
      <c r="K34" s="3" t="n"/>
      <c r="L34" s="3" t="n"/>
      <c r="M34" s="4" t="inlineStr">
        <is>
          <t>Form10A_2026-05-27 p460</t>
        </is>
      </c>
    </row>
    <row r="35">
      <c r="A35" s="14" t="inlineStr">
        <is>
          <t>Form10A_2026-05-27 · Restricted stock award activity</t>
        </is>
      </c>
      <c r="B35" s="15" t="n"/>
      <c r="C35" s="15" t="n"/>
      <c r="D35" s="15" t="n"/>
      <c r="E35" s="15" t="n"/>
      <c r="F35" s="15" t="n"/>
      <c r="G35" s="15" t="n"/>
      <c r="H35" s="15" t="n"/>
      <c r="I35" s="15" t="n"/>
      <c r="J35" s="15" t="n"/>
      <c r="K35" s="15" t="n"/>
      <c r="L35" s="15" t="n"/>
      <c r="M35" s="15" t="n"/>
    </row>
    <row r="36">
      <c r="A36" s="38" t="inlineStr">
        <is>
          <t>Balance as of December 31, 2024 - Weighted-average grant-date fair value</t>
        </is>
      </c>
      <c r="B36" s="3" t="n"/>
      <c r="C36" s="3" t="n"/>
      <c r="D36" s="32" t="n">
        <v>385.68</v>
      </c>
      <c r="E36" s="3" t="n"/>
      <c r="F36" s="3" t="n"/>
      <c r="G36" s="3" t="n"/>
      <c r="H36" s="3" t="n"/>
      <c r="I36" s="3" t="n"/>
      <c r="J36" s="3" t="n"/>
      <c r="K36" s="3" t="n"/>
      <c r="L36" s="3" t="n"/>
      <c r="M36" s="4" t="inlineStr">
        <is>
          <t>Form10A_2026-05-27 p460</t>
        </is>
      </c>
    </row>
    <row r="37">
      <c r="A37" s="38" t="inlineStr">
        <is>
          <t>Granted - Weighted-average grant-date fair value</t>
        </is>
      </c>
      <c r="B37" s="3" t="n"/>
      <c r="C37" s="3" t="n"/>
      <c r="D37" s="3" t="n"/>
      <c r="E37" s="32" t="n">
        <v>509.03</v>
      </c>
      <c r="F37" s="3" t="n"/>
      <c r="G37" s="3" t="n"/>
      <c r="H37" s="3" t="n"/>
      <c r="I37" s="3" t="n"/>
      <c r="J37" s="3" t="n"/>
      <c r="K37" s="3" t="n"/>
      <c r="L37" s="3" t="n"/>
      <c r="M37" s="4" t="inlineStr">
        <is>
          <t>Form10A_2026-05-27 p460</t>
        </is>
      </c>
    </row>
    <row r="38">
      <c r="A38" s="38" t="inlineStr">
        <is>
          <t>Vested - Weighted-average grant-date fair value</t>
        </is>
      </c>
      <c r="B38" s="3" t="n"/>
      <c r="C38" s="3" t="n"/>
      <c r="D38" s="3" t="n"/>
      <c r="E38" s="32" t="n">
        <v>387.65</v>
      </c>
      <c r="F38" s="3" t="n"/>
      <c r="G38" s="3" t="n"/>
      <c r="H38" s="3" t="n"/>
      <c r="I38" s="3" t="n"/>
      <c r="J38" s="3" t="n"/>
      <c r="K38" s="3" t="n"/>
      <c r="L38" s="3" t="n"/>
      <c r="M38" s="4" t="inlineStr">
        <is>
          <t>Form10A_2026-05-27 p460</t>
        </is>
      </c>
    </row>
    <row r="39">
      <c r="A39" s="38" t="inlineStr">
        <is>
          <t>Forfeited / cancelled - Weighted-average grant-date fair value</t>
        </is>
      </c>
      <c r="B39" s="3" t="n"/>
      <c r="C39" s="3" t="n"/>
      <c r="D39" s="3" t="n"/>
      <c r="E39" s="32" t="n">
        <v>414.51</v>
      </c>
      <c r="F39" s="3" t="n"/>
      <c r="G39" s="3" t="n"/>
      <c r="H39" s="3" t="n"/>
      <c r="I39" s="3" t="n"/>
      <c r="J39" s="3" t="n"/>
      <c r="K39" s="3" t="n"/>
      <c r="L39" s="3" t="n"/>
      <c r="M39" s="4" t="inlineStr">
        <is>
          <t>Form10A_2026-05-27 p460</t>
        </is>
      </c>
    </row>
    <row r="40">
      <c r="A40" s="38" t="inlineStr">
        <is>
          <t>Employee transfers and other, net - Weighted-average grant-date fair value</t>
        </is>
      </c>
      <c r="B40" s="3" t="n"/>
      <c r="C40" s="3" t="n"/>
      <c r="D40" s="3" t="n"/>
      <c r="E40" s="32" t="n">
        <v>306.15</v>
      </c>
      <c r="F40" s="3" t="n"/>
      <c r="G40" s="3" t="n"/>
      <c r="H40" s="3" t="n"/>
      <c r="I40" s="3" t="n"/>
      <c r="J40" s="3" t="n"/>
      <c r="K40" s="3" t="n"/>
      <c r="L40" s="3" t="n"/>
      <c r="M40" s="4" t="inlineStr">
        <is>
          <t>Form10A_2026-05-27 p460</t>
        </is>
      </c>
    </row>
    <row r="41">
      <c r="A41" s="38" t="inlineStr">
        <is>
          <t>Balance as of December 31, 2025 - Weighted-average grant-date fair value</t>
        </is>
      </c>
      <c r="B41" s="3" t="n"/>
      <c r="C41" s="3" t="n"/>
      <c r="D41" s="3" t="n"/>
      <c r="E41" s="32" t="n">
        <v>458.11</v>
      </c>
      <c r="F41" s="3" t="n"/>
      <c r="G41" s="3" t="n"/>
      <c r="H41" s="3" t="n"/>
      <c r="I41" s="3" t="n"/>
      <c r="J41" s="3" t="n"/>
      <c r="K41" s="3" t="n"/>
      <c r="L41" s="3" t="n"/>
      <c r="M41" s="4" t="inlineStr">
        <is>
          <t>Form10A_2026-05-27 p460</t>
        </is>
      </c>
    </row>
    <row r="42">
      <c r="A42" s="38" t="inlineStr">
        <is>
          <t>Total unrecognized compensation expense related to restricted awards</t>
        </is>
      </c>
      <c r="B42" s="3" t="n"/>
      <c r="C42" s="3" t="n"/>
      <c r="D42" s="3" t="n"/>
      <c r="E42" s="30" t="n">
        <v>18</v>
      </c>
      <c r="F42" s="3" t="n"/>
      <c r="G42" s="3" t="n"/>
      <c r="H42" s="3" t="n"/>
      <c r="I42" s="3" t="n"/>
      <c r="J42" s="3" t="n"/>
      <c r="K42" s="3" t="n"/>
      <c r="L42" s="3" t="n"/>
      <c r="M42" s="4" t="inlineStr">
        <is>
          <t>Form10A_2026-05-27 p460</t>
        </is>
      </c>
    </row>
    <row r="43">
      <c r="A43" s="38" t="inlineStr">
        <is>
          <t>Weighted-average years to be recognized over</t>
        </is>
      </c>
      <c r="B43" s="3" t="n"/>
      <c r="C43" s="3" t="n"/>
      <c r="D43" s="3" t="n"/>
      <c r="E43" s="40" t="n">
        <v>1.12</v>
      </c>
      <c r="F43" s="3" t="n"/>
      <c r="G43" s="3" t="n"/>
      <c r="H43" s="3" t="n"/>
      <c r="I43" s="3" t="n"/>
      <c r="J43" s="3" t="n"/>
      <c r="K43" s="3" t="n"/>
      <c r="L43" s="3" t="n"/>
      <c r="M43" s="4" t="inlineStr">
        <is>
          <t>Form10A_2026-05-27 p460</t>
        </is>
      </c>
    </row>
    <row r="44">
      <c r="A44" s="14" t="inlineStr">
        <is>
          <t>Form10A_2026-05-27 · Restricted stock awards</t>
        </is>
      </c>
      <c r="B44" s="15" t="n"/>
      <c r="C44" s="15" t="n"/>
      <c r="D44" s="15" t="n"/>
      <c r="E44" s="15" t="n"/>
      <c r="F44" s="15" t="n"/>
      <c r="G44" s="15" t="n"/>
      <c r="H44" s="15" t="n"/>
      <c r="I44" s="15" t="n"/>
      <c r="J44" s="15" t="n"/>
      <c r="K44" s="15" t="n"/>
      <c r="L44" s="15" t="n"/>
      <c r="M44" s="15" t="n"/>
    </row>
    <row r="45">
      <c r="A45" s="38" t="inlineStr">
        <is>
          <t>Weighted-average grant-date fair value per award</t>
        </is>
      </c>
      <c r="B45" s="3" t="n"/>
      <c r="C45" s="32" t="n">
        <v>337.63</v>
      </c>
      <c r="D45" s="32" t="n">
        <v>419.95</v>
      </c>
      <c r="E45" s="32" t="n">
        <v>509.03</v>
      </c>
      <c r="F45" s="3" t="n"/>
      <c r="G45" s="3" t="n"/>
      <c r="H45" s="3" t="n"/>
      <c r="I45" s="3" t="n"/>
      <c r="J45" s="3" t="n"/>
      <c r="K45" s="3" t="n"/>
      <c r="L45" s="3" t="n"/>
      <c r="M45" s="4" t="inlineStr">
        <is>
          <t>Form10A_2026-05-27 p460</t>
        </is>
      </c>
    </row>
    <row r="46">
      <c r="A46" s="38" t="inlineStr">
        <is>
          <t>Total fair value of restricted stock and other stock-based awards vested</t>
        </is>
      </c>
      <c r="B46" s="3" t="n"/>
      <c r="C46" s="30" t="n">
        <v>27</v>
      </c>
      <c r="D46" s="30" t="n">
        <v>31</v>
      </c>
      <c r="E46" s="30" t="n">
        <v>27</v>
      </c>
      <c r="F46" s="3" t="n"/>
      <c r="G46" s="3" t="n"/>
      <c r="H46" s="3" t="n"/>
      <c r="I46" s="3" t="n"/>
      <c r="J46" s="3" t="n"/>
      <c r="K46" s="3" t="n"/>
      <c r="L46" s="3" t="n"/>
      <c r="M46" s="4" t="inlineStr">
        <is>
          <t>Form10A_2026-05-27 p460</t>
        </is>
      </c>
    </row>
    <row r="47">
      <c r="A47" s="38" t="inlineStr">
        <is>
          <t>Tax benefit relating to restricted award activity</t>
        </is>
      </c>
      <c r="B47" s="3" t="n"/>
      <c r="C47" s="30" t="n">
        <v>7</v>
      </c>
      <c r="D47" s="30" t="n">
        <v>8</v>
      </c>
      <c r="E47" s="30" t="n">
        <v>7</v>
      </c>
      <c r="F47" s="3" t="n"/>
      <c r="G47" s="3" t="n"/>
      <c r="H47" s="3" t="n"/>
      <c r="I47" s="3" t="n"/>
      <c r="J47" s="3" t="n"/>
      <c r="K47" s="3" t="n"/>
      <c r="L47" s="3" t="n"/>
      <c r="M47" s="4" t="inlineStr">
        <is>
          <t>Form10A_2026-05-27 p460</t>
        </is>
      </c>
    </row>
    <row r="48">
      <c r="A48" s="14" t="inlineStr">
        <is>
          <t>Form10A_2026-05-27 · Capitalization - Pro Forma</t>
        </is>
      </c>
      <c r="B48" s="15" t="n"/>
      <c r="C48" s="15" t="n"/>
      <c r="D48" s="15" t="n"/>
      <c r="E48" s="15" t="n"/>
      <c r="F48" s="15" t="n"/>
      <c r="G48" s="15" t="n"/>
      <c r="H48" s="15" t="n"/>
      <c r="I48" s="15" t="n"/>
      <c r="J48" s="15" t="n"/>
      <c r="K48" s="15" t="n"/>
      <c r="L48" s="15" t="n"/>
      <c r="M48" s="15" t="n"/>
    </row>
    <row r="49">
      <c r="A49" s="38" t="inlineStr">
        <is>
          <t>shares authorized</t>
        </is>
      </c>
      <c r="B49" s="3" t="n"/>
      <c r="C49" s="3" t="n"/>
      <c r="D49" s="3" t="n"/>
      <c r="E49" s="3" t="n"/>
      <c r="F49" s="3" t="n"/>
      <c r="G49" s="3" t="n"/>
      <c r="H49" s="3" t="n"/>
      <c r="I49" s="40" t="n">
        <v>1000000000</v>
      </c>
      <c r="J49" s="3" t="n"/>
      <c r="K49" s="3" t="n"/>
      <c r="L49" s="3" t="n"/>
      <c r="M49" s="4" t="inlineStr">
        <is>
          <t>Form10A_2026-05-27 p331</t>
        </is>
      </c>
    </row>
    <row r="50">
      <c r="A50" s="38" t="inlineStr">
        <is>
          <t>shares issued and outstanding pro forma (based on S&amp;P Global shares outstanding as of May 15 2026)</t>
        </is>
      </c>
      <c r="B50" s="3" t="n"/>
      <c r="C50" s="3" t="n"/>
      <c r="D50" s="3" t="n"/>
      <c r="E50" s="3" t="n"/>
      <c r="F50" s="3" t="n"/>
      <c r="G50" s="3" t="n"/>
      <c r="H50" s="3" t="n"/>
      <c r="I50" s="40" t="n">
        <v>295077160</v>
      </c>
      <c r="J50" s="3" t="n"/>
      <c r="K50" s="3" t="n"/>
      <c r="L50" s="3" t="n"/>
      <c r="M50" s="4" t="inlineStr">
        <is>
          <t>Form10A_2026-05-27 p331</t>
        </is>
      </c>
    </row>
    <row r="51">
      <c r="A51" s="38" t="inlineStr">
        <is>
          <t>common stock par value per share</t>
        </is>
      </c>
      <c r="B51" s="3" t="n"/>
      <c r="C51" s="3" t="n"/>
      <c r="D51" s="3" t="n"/>
      <c r="E51" s="3" t="n"/>
      <c r="F51" s="3" t="n"/>
      <c r="G51" s="3" t="n"/>
      <c r="H51" s="3" t="n"/>
      <c r="I51" s="32" t="n">
        <v>0.01</v>
      </c>
      <c r="J51" s="3" t="n"/>
      <c r="K51" s="3" t="n"/>
      <c r="L51" s="3" t="n"/>
      <c r="M51" s="4" t="inlineStr">
        <is>
          <t>Form10A_2026-05-27 p331</t>
        </is>
      </c>
    </row>
    <row r="52">
      <c r="A52" s="14" t="inlineStr">
        <is>
          <t>Form10A_2026-05-27 · Distribution</t>
        </is>
      </c>
      <c r="B52" s="15" t="n"/>
      <c r="C52" s="15" t="n"/>
      <c r="D52" s="15" t="n"/>
      <c r="E52" s="15" t="n"/>
      <c r="F52" s="15" t="n"/>
      <c r="G52" s="15" t="n"/>
      <c r="H52" s="15" t="n"/>
      <c r="I52" s="15" t="n"/>
      <c r="J52" s="15" t="n"/>
      <c r="K52" s="15" t="n"/>
      <c r="L52" s="15" t="n"/>
      <c r="M52" s="15" t="n"/>
    </row>
    <row r="53">
      <c r="A53" s="38" t="inlineStr">
        <is>
          <t>distribution ratio (Mobility shares per S&amp;P Global share)</t>
        </is>
      </c>
      <c r="B53" s="3" t="n"/>
      <c r="C53" s="3" t="n"/>
      <c r="D53" s="3" t="n"/>
      <c r="E53" s="3" t="n"/>
      <c r="F53" s="3" t="n"/>
      <c r="G53" s="3" t="n"/>
      <c r="H53" s="3" t="n"/>
      <c r="I53" s="40" t="n">
        <v>1</v>
      </c>
      <c r="J53" s="3" t="n"/>
      <c r="K53" s="3" t="n"/>
      <c r="L53" s="3" t="n"/>
      <c r="M53" s="4" t="inlineStr">
        <is>
          <t>Form10A_2026-05-27 p331</t>
        </is>
      </c>
    </row>
    <row r="54">
      <c r="A54" s="14" t="inlineStr">
        <is>
          <t>Form10A_2026-05-27 · Pro forma EPS</t>
        </is>
      </c>
      <c r="B54" s="15" t="n"/>
      <c r="C54" s="15" t="n"/>
      <c r="D54" s="15" t="n"/>
      <c r="E54" s="15" t="n"/>
      <c r="F54" s="15" t="n"/>
      <c r="G54" s="15" t="n"/>
      <c r="H54" s="15" t="n"/>
      <c r="I54" s="15" t="n"/>
      <c r="J54" s="15" t="n"/>
      <c r="K54" s="15" t="n"/>
      <c r="L54" s="15" t="n"/>
      <c r="M54" s="15" t="n"/>
    </row>
    <row r="55">
      <c r="A55" s="38" t="inlineStr">
        <is>
          <t>weighted-average shares used for pro forma basic and diluted EPS (Q1-2026 and FY2025)</t>
        </is>
      </c>
      <c r="B55" s="3" t="n"/>
      <c r="C55" s="3" t="n"/>
      <c r="D55" s="3" t="n"/>
      <c r="E55" s="3" t="n"/>
      <c r="F55" s="3" t="n"/>
      <c r="G55" s="3" t="n"/>
      <c r="H55" s="3" t="n"/>
      <c r="I55" s="40" t="n">
        <v>295077160</v>
      </c>
      <c r="J55" s="3" t="n"/>
      <c r="K55" s="3" t="n"/>
      <c r="L55" s="3" t="n"/>
      <c r="M55" s="4" t="inlineStr">
        <is>
          <t>Form10A_2026-05-27 p339</t>
        </is>
      </c>
    </row>
    <row r="56">
      <c r="A56" s="14" t="inlineStr">
        <is>
          <t>Form10A_2026-05-27 · Pro forma APIC adjustments (g)</t>
        </is>
      </c>
      <c r="B56" s="15" t="n"/>
      <c r="C56" s="15" t="n"/>
      <c r="D56" s="15" t="n"/>
      <c r="E56" s="15" t="n"/>
      <c r="F56" s="15" t="n"/>
      <c r="G56" s="15" t="n"/>
      <c r="H56" s="15" t="n"/>
      <c r="I56" s="15" t="n"/>
      <c r="J56" s="15" t="n"/>
      <c r="K56" s="15" t="n"/>
      <c r="L56" s="15" t="n"/>
      <c r="M56" s="15" t="n"/>
    </row>
    <row r="57">
      <c r="A57" s="38" t="inlineStr">
        <is>
          <t>Cash distribution to S&amp;P Global</t>
        </is>
      </c>
      <c r="B57" s="3" t="n"/>
      <c r="C57" s="3" t="n"/>
      <c r="D57" s="3" t="n"/>
      <c r="E57" s="3" t="n"/>
      <c r="F57" s="3" t="n"/>
      <c r="G57" s="3" t="n"/>
      <c r="H57" s="3" t="n"/>
      <c r="I57" s="30" t="n">
        <v>-1900</v>
      </c>
      <c r="J57" s="3" t="n"/>
      <c r="K57" s="3" t="n"/>
      <c r="L57" s="3" t="n"/>
      <c r="M57" s="4" t="inlineStr">
        <is>
          <t>Form10A_2026-05-27 p338</t>
        </is>
      </c>
    </row>
    <row r="58">
      <c r="A58" s="38" t="inlineStr">
        <is>
          <t>Settlement of related party balances</t>
        </is>
      </c>
      <c r="B58" s="3" t="n"/>
      <c r="C58" s="3" t="n"/>
      <c r="D58" s="3" t="n"/>
      <c r="E58" s="3" t="n"/>
      <c r="F58" s="3" t="n"/>
      <c r="G58" s="3" t="n"/>
      <c r="H58" s="3" t="n"/>
      <c r="I58" s="30" t="n">
        <v>236</v>
      </c>
      <c r="J58" s="3" t="n"/>
      <c r="K58" s="3" t="n"/>
      <c r="L58" s="3" t="n"/>
      <c r="M58" s="4" t="inlineStr">
        <is>
          <t>Form10A_2026-05-27 p338</t>
        </is>
      </c>
    </row>
    <row r="59">
      <c r="A59" s="38" t="inlineStr">
        <is>
          <t>Liabilities retained by S&amp;P Global</t>
        </is>
      </c>
      <c r="B59" s="3" t="n"/>
      <c r="C59" s="3" t="n"/>
      <c r="D59" s="3" t="n"/>
      <c r="E59" s="3" t="n"/>
      <c r="F59" s="3" t="n"/>
      <c r="G59" s="3" t="n"/>
      <c r="H59" s="3" t="n"/>
      <c r="I59" s="30" t="n">
        <v>8</v>
      </c>
      <c r="J59" s="3" t="n"/>
      <c r="K59" s="3" t="n"/>
      <c r="L59" s="3" t="n"/>
      <c r="M59" s="4" t="inlineStr">
        <is>
          <t>Form10A_2026-05-27 p338</t>
        </is>
      </c>
    </row>
    <row r="60">
      <c r="A60" s="38" t="inlineStr">
        <is>
          <t>Common stock issuance</t>
        </is>
      </c>
      <c r="B60" s="3" t="n"/>
      <c r="C60" s="3" t="n"/>
      <c r="D60" s="3" t="n"/>
      <c r="E60" s="3" t="n"/>
      <c r="F60" s="3" t="n"/>
      <c r="G60" s="3" t="n"/>
      <c r="H60" s="3" t="n"/>
      <c r="I60" s="30" t="n">
        <v>-3</v>
      </c>
      <c r="J60" s="3" t="n"/>
      <c r="K60" s="3" t="n"/>
      <c r="L60" s="3" t="n"/>
      <c r="M60" s="4" t="inlineStr">
        <is>
          <t>Form10A_2026-05-27 p338</t>
        </is>
      </c>
    </row>
    <row r="61">
      <c r="A61" s="38" t="inlineStr">
        <is>
          <t>Parent Company investment reclassification</t>
        </is>
      </c>
      <c r="B61" s="3" t="n"/>
      <c r="C61" s="3" t="n"/>
      <c r="D61" s="3" t="n"/>
      <c r="E61" s="3" t="n"/>
      <c r="F61" s="3" t="n"/>
      <c r="G61" s="3" t="n"/>
      <c r="H61" s="3" t="n"/>
      <c r="I61" s="30" t="n">
        <v>11586</v>
      </c>
      <c r="J61" s="3" t="n"/>
      <c r="K61" s="3" t="n"/>
      <c r="L61" s="3" t="n"/>
      <c r="M61" s="4" t="inlineStr">
        <is>
          <t>Form10A_2026-05-27 p338</t>
        </is>
      </c>
    </row>
    <row r="62">
      <c r="A62" s="39" t="inlineStr">
        <is>
          <t>Total pro forma adjustment to Additional paid-in capital</t>
        </is>
      </c>
      <c r="B62" s="3" t="n"/>
      <c r="C62" s="3" t="n"/>
      <c r="D62" s="3" t="n"/>
      <c r="E62" s="3" t="n"/>
      <c r="F62" s="3" t="n"/>
      <c r="G62" s="3" t="n"/>
      <c r="H62" s="3" t="n"/>
      <c r="I62" s="18" t="n">
        <v>9927</v>
      </c>
      <c r="J62" s="3" t="n"/>
      <c r="K62" s="3" t="n"/>
      <c r="L62" s="3" t="n"/>
      <c r="M62" s="4" t="inlineStr">
        <is>
          <t>Form10A_2026-05-27 p338</t>
        </is>
      </c>
    </row>
    <row r="63">
      <c r="A63" s="14" t="inlineStr">
        <is>
          <t>10Q_Q2-2026 · Parent company investment components</t>
        </is>
      </c>
      <c r="B63" s="15" t="n"/>
      <c r="C63" s="15" t="n"/>
      <c r="D63" s="15" t="n"/>
      <c r="E63" s="15" t="n"/>
      <c r="F63" s="15" t="n"/>
      <c r="G63" s="15" t="n"/>
      <c r="H63" s="15" t="n"/>
      <c r="I63" s="15" t="n"/>
      <c r="J63" s="15" t="n"/>
      <c r="K63" s="15" t="n"/>
      <c r="L63" s="15" t="n"/>
      <c r="M63" s="15" t="n"/>
    </row>
    <row r="64">
      <c r="A64" s="38" t="inlineStr">
        <is>
          <t>Cash pooling and general financing activities</t>
        </is>
      </c>
      <c r="B64" s="3" t="n"/>
      <c r="C64" s="3" t="n"/>
      <c r="D64" s="3" t="n"/>
      <c r="E64" s="3" t="n"/>
      <c r="F64" s="3" t="n"/>
      <c r="G64" s="30" t="n">
        <v>-216</v>
      </c>
      <c r="H64" s="30" t="n">
        <v>-328</v>
      </c>
      <c r="I64" s="3" t="n"/>
      <c r="J64" s="30" t="n">
        <v>-1886</v>
      </c>
      <c r="K64" s="30" t="n">
        <v>-1916</v>
      </c>
      <c r="L64" s="3" t="n"/>
      <c r="M64" s="4" t="inlineStr">
        <is>
          <t>10Q_Q2-2026 p17</t>
        </is>
      </c>
    </row>
    <row r="65">
      <c r="A65" s="38" t="inlineStr">
        <is>
          <t>Unbilled corporate allocations</t>
        </is>
      </c>
      <c r="B65" s="3" t="n"/>
      <c r="C65" s="3" t="n"/>
      <c r="D65" s="3" t="n"/>
      <c r="E65" s="3" t="n"/>
      <c r="F65" s="3" t="n"/>
      <c r="G65" s="30" t="n">
        <v>24</v>
      </c>
      <c r="H65" s="30" t="n">
        <v>45</v>
      </c>
      <c r="I65" s="3" t="n"/>
      <c r="J65" s="30" t="n">
        <v>33</v>
      </c>
      <c r="K65" s="30" t="n">
        <v>60</v>
      </c>
      <c r="L65" s="3" t="n"/>
      <c r="M65" s="4" t="inlineStr">
        <is>
          <t>10Q_Q2-2026 p17</t>
        </is>
      </c>
    </row>
    <row r="66">
      <c r="A66" s="38" t="inlineStr">
        <is>
          <t>Stock-based compensation</t>
        </is>
      </c>
      <c r="B66" s="3" t="n"/>
      <c r="C66" s="3" t="n"/>
      <c r="D66" s="3" t="n"/>
      <c r="E66" s="3" t="n"/>
      <c r="F66" s="3" t="n"/>
      <c r="G66" s="30" t="n">
        <v>4</v>
      </c>
      <c r="H66" s="30" t="n">
        <v>9</v>
      </c>
      <c r="I66" s="3" t="n"/>
      <c r="J66" s="30" t="n">
        <v>5</v>
      </c>
      <c r="K66" s="30" t="n">
        <v>9</v>
      </c>
      <c r="L66" s="3" t="n"/>
      <c r="M66" s="4" t="inlineStr">
        <is>
          <t>10Q_Q2-2026 p17</t>
        </is>
      </c>
    </row>
    <row r="67">
      <c r="A67" s="38" t="inlineStr">
        <is>
          <t>Assumed income tax payments</t>
        </is>
      </c>
      <c r="B67" s="3" t="n"/>
      <c r="C67" s="3" t="n"/>
      <c r="D67" s="3" t="n"/>
      <c r="E67" s="3" t="n"/>
      <c r="F67" s="3" t="n"/>
      <c r="G67" s="30" t="n">
        <v>51</v>
      </c>
      <c r="H67" s="30" t="n">
        <v>93</v>
      </c>
      <c r="I67" s="3" t="n"/>
      <c r="J67" s="30" t="n">
        <v>42</v>
      </c>
      <c r="K67" s="30" t="n">
        <v>83</v>
      </c>
      <c r="L67" s="3" t="n"/>
      <c r="M67" s="4" t="inlineStr">
        <is>
          <t>10Q_Q2-2026 p17</t>
        </is>
      </c>
    </row>
    <row r="68">
      <c r="A68" s="39" t="inlineStr">
        <is>
          <t>Net decrease in Parent company investment</t>
        </is>
      </c>
      <c r="B68" s="3" t="n"/>
      <c r="C68" s="3" t="n"/>
      <c r="D68" s="3" t="n"/>
      <c r="E68" s="3" t="n"/>
      <c r="F68" s="3" t="n"/>
      <c r="G68" s="18" t="n">
        <v>-137</v>
      </c>
      <c r="H68" s="18" t="n">
        <v>-181</v>
      </c>
      <c r="I68" s="3" t="n"/>
      <c r="J68" s="18" t="n">
        <v>-1806</v>
      </c>
      <c r="K68" s="18" t="n">
        <v>-1764</v>
      </c>
      <c r="L68" s="3" t="n"/>
      <c r="M68" s="4" t="inlineStr">
        <is>
          <t>10Q_Q2-2026 p17</t>
        </is>
      </c>
    </row>
    <row r="69">
      <c r="A69" s="14" t="inlineStr">
        <is>
          <t>10Q_Q2-2026 · Parent company investment roll-forward</t>
        </is>
      </c>
      <c r="B69" s="15" t="n"/>
      <c r="C69" s="15" t="n"/>
      <c r="D69" s="15" t="n"/>
      <c r="E69" s="15" t="n"/>
      <c r="F69" s="15" t="n"/>
      <c r="G69" s="15" t="n"/>
      <c r="H69" s="15" t="n"/>
      <c r="I69" s="15" t="n"/>
      <c r="J69" s="15" t="n"/>
      <c r="K69" s="15" t="n"/>
      <c r="L69" s="15" t="n"/>
      <c r="M69" s="15" t="n"/>
    </row>
    <row r="70">
      <c r="A70" s="39" t="inlineStr">
        <is>
          <t>Parent Company Investment opening balance</t>
        </is>
      </c>
      <c r="B70" s="3" t="n"/>
      <c r="C70" s="3" t="n"/>
      <c r="D70" s="3" t="n"/>
      <c r="E70" s="3" t="n"/>
      <c r="F70" s="3" t="n"/>
      <c r="G70" s="18" t="n">
        <v>11694</v>
      </c>
      <c r="H70" s="3" t="n"/>
      <c r="I70" s="3" t="n"/>
      <c r="J70" s="18" t="n">
        <v>11586</v>
      </c>
      <c r="K70" s="3" t="n"/>
      <c r="L70" s="3" t="n"/>
      <c r="M70" s="4" t="inlineStr">
        <is>
          <t>10Q_Q2-2026 p8</t>
        </is>
      </c>
    </row>
    <row r="71">
      <c r="A71" s="38" t="inlineStr">
        <is>
          <t>Comprehensive income net of tax (net income)</t>
        </is>
      </c>
      <c r="B71" s="3" t="n"/>
      <c r="C71" s="3" t="n"/>
      <c r="D71" s="3" t="n"/>
      <c r="E71" s="3" t="n"/>
      <c r="F71" s="3" t="n"/>
      <c r="G71" s="30" t="n">
        <v>65</v>
      </c>
      <c r="H71" s="3" t="n"/>
      <c r="I71" s="3" t="n"/>
      <c r="J71" s="30" t="n">
        <v>53</v>
      </c>
      <c r="K71" s="3" t="n"/>
      <c r="L71" s="3" t="n"/>
      <c r="M71" s="4" t="inlineStr">
        <is>
          <t>10Q_Q2-2026 p8</t>
        </is>
      </c>
    </row>
    <row r="72">
      <c r="A72" s="38" t="inlineStr">
        <is>
          <t>Net decrease in Parent company investment</t>
        </is>
      </c>
      <c r="B72" s="3" t="n"/>
      <c r="C72" s="3" t="n"/>
      <c r="D72" s="3" t="n"/>
      <c r="E72" s="3" t="n"/>
      <c r="F72" s="3" t="n"/>
      <c r="G72" s="30" t="n">
        <v>-137</v>
      </c>
      <c r="H72" s="3" t="n"/>
      <c r="I72" s="3" t="n"/>
      <c r="J72" s="30" t="n">
        <v>-1806</v>
      </c>
      <c r="K72" s="3" t="n"/>
      <c r="L72" s="3" t="n"/>
      <c r="M72" s="4" t="inlineStr">
        <is>
          <t>10Q_Q2-2026 p8</t>
        </is>
      </c>
    </row>
    <row r="73">
      <c r="A73" s="39" t="inlineStr">
        <is>
          <t>Parent Company Investment balance</t>
        </is>
      </c>
      <c r="B73" s="3" t="n"/>
      <c r="C73" s="3" t="n"/>
      <c r="D73" s="3" t="n"/>
      <c r="E73" s="3" t="n"/>
      <c r="F73" s="3" t="n"/>
      <c r="G73" s="18" t="n">
        <v>11622</v>
      </c>
      <c r="H73" s="3" t="n"/>
      <c r="I73" s="3" t="n"/>
      <c r="J73" s="18" t="n">
        <v>9833</v>
      </c>
      <c r="K73" s="3" t="n"/>
      <c r="L73" s="3" t="n"/>
      <c r="M73" s="4" t="inlineStr">
        <is>
          <t>10Q_Q2-2026 p8</t>
        </is>
      </c>
    </row>
    <row r="74">
      <c r="A74" s="14" t="inlineStr">
        <is>
          <t>10Q_Q2-2026 · Shares</t>
        </is>
      </c>
      <c r="B74" s="15" t="n"/>
      <c r="C74" s="15" t="n"/>
      <c r="D74" s="15" t="n"/>
      <c r="E74" s="15" t="n"/>
      <c r="F74" s="15" t="n"/>
      <c r="G74" s="15" t="n"/>
      <c r="H74" s="15" t="n"/>
      <c r="I74" s="15" t="n"/>
      <c r="J74" s="15" t="n"/>
      <c r="K74" s="15" t="n"/>
      <c r="L74" s="15" t="n"/>
      <c r="M74" s="15" t="n"/>
    </row>
    <row r="75">
      <c r="A75" s="38" t="inlineStr">
        <is>
          <t>shares of common stock issued and outstanding (basis for basic and diluted EPS)</t>
        </is>
      </c>
      <c r="B75" s="3" t="n"/>
      <c r="C75" s="3" t="n"/>
      <c r="D75" s="3" t="n"/>
      <c r="E75" s="3" t="n"/>
      <c r="F75" s="3" t="n"/>
      <c r="G75" s="3" t="n"/>
      <c r="H75" s="3" t="n"/>
      <c r="I75" s="3" t="n"/>
      <c r="J75" s="40" t="n">
        <v>294821320</v>
      </c>
      <c r="K75" s="3" t="n"/>
      <c r="L75" s="3" t="n"/>
      <c r="M75" s="4" t="inlineStr">
        <is>
          <t>10Q_Q2-2026 p11</t>
        </is>
      </c>
    </row>
    <row r="76">
      <c r="A76" s="14" t="inlineStr">
        <is>
          <t>10Q_Q2-2026 · Distribution (2026-07-01; record date 2026-06-15)</t>
        </is>
      </c>
      <c r="B76" s="15" t="n"/>
      <c r="C76" s="15" t="n"/>
      <c r="D76" s="15" t="n"/>
      <c r="E76" s="15" t="n"/>
      <c r="F76" s="15" t="n"/>
      <c r="G76" s="15" t="n"/>
      <c r="H76" s="15" t="n"/>
      <c r="I76" s="15" t="n"/>
      <c r="J76" s="15" t="n"/>
      <c r="K76" s="15" t="n"/>
      <c r="L76" s="15" t="n"/>
      <c r="M76" s="15" t="n"/>
    </row>
    <row r="77">
      <c r="A77" s="38" t="inlineStr">
        <is>
          <t>distribution ratio (Mobility Global shares per S&amp;P Global share)</t>
        </is>
      </c>
      <c r="B77" s="3" t="n"/>
      <c r="C77" s="3" t="n"/>
      <c r="D77" s="3" t="n"/>
      <c r="E77" s="3" t="n"/>
      <c r="F77" s="3" t="n"/>
      <c r="G77" s="3" t="n"/>
      <c r="H77" s="3" t="n"/>
      <c r="I77" s="3" t="n"/>
      <c r="J77" s="40" t="n">
        <v>1</v>
      </c>
      <c r="K77" s="3" t="n"/>
      <c r="L77" s="3" t="n"/>
      <c r="M77" s="4" t="inlineStr">
        <is>
          <t>10Q_Q2-2026 p18</t>
        </is>
      </c>
    </row>
    <row r="78">
      <c r="A78" s="14" t="inlineStr">
        <is>
          <t>10Q_Q2-2026 · Dividend (declared Aug 2026; record 2026-08-27; payable 2026-09-10)</t>
        </is>
      </c>
      <c r="B78" s="15" t="n"/>
      <c r="C78" s="15" t="n"/>
      <c r="D78" s="15" t="n"/>
      <c r="E78" s="15" t="n"/>
      <c r="F78" s="15" t="n"/>
      <c r="G78" s="15" t="n"/>
      <c r="H78" s="15" t="n"/>
      <c r="I78" s="15" t="n"/>
      <c r="J78" s="15" t="n"/>
      <c r="K78" s="15" t="n"/>
      <c r="L78" s="15" t="n"/>
      <c r="M78" s="15" t="n"/>
    </row>
    <row r="79">
      <c r="A79" s="38" t="inlineStr">
        <is>
          <t>quarterly dividend per share</t>
        </is>
      </c>
      <c r="B79" s="3" t="n"/>
      <c r="C79" s="3" t="n"/>
      <c r="D79" s="3" t="n"/>
      <c r="E79" s="3" t="n"/>
      <c r="F79" s="3" t="n"/>
      <c r="G79" s="3" t="n"/>
      <c r="H79" s="3" t="n"/>
      <c r="I79" s="3" t="n"/>
      <c r="J79" s="3" t="n"/>
      <c r="K79" s="3" t="n"/>
      <c r="L79" s="32" t="n">
        <v>0.06</v>
      </c>
      <c r="M79" s="4" t="inlineStr">
        <is>
          <t>10Q_Q2-2026 p18</t>
        </is>
      </c>
    </row>
    <row r="80">
      <c r="A80" s="14" t="inlineStr">
        <is>
          <t>10Q_Q2-2026 · Stock-based compensation</t>
        </is>
      </c>
      <c r="B80" s="15" t="n"/>
      <c r="C80" s="15" t="n"/>
      <c r="D80" s="15" t="n"/>
      <c r="E80" s="15" t="n"/>
      <c r="F80" s="15" t="n"/>
      <c r="G80" s="15" t="n"/>
      <c r="H80" s="15" t="n"/>
      <c r="I80" s="15" t="n"/>
      <c r="J80" s="15" t="n"/>
      <c r="K80" s="15" t="n"/>
      <c r="L80" s="15" t="n"/>
      <c r="M80" s="15" t="n"/>
    </row>
    <row r="81">
      <c r="A81" s="38" t="inlineStr">
        <is>
          <t>Stock-based compensation (Adjusted EBITDA reconciliation)</t>
        </is>
      </c>
      <c r="B81" s="3" t="n"/>
      <c r="C81" s="3" t="n"/>
      <c r="D81" s="3" t="n"/>
      <c r="E81" s="3" t="n"/>
      <c r="F81" s="3" t="n"/>
      <c r="G81" s="30" t="n">
        <v>4</v>
      </c>
      <c r="H81" s="30" t="n">
        <v>9</v>
      </c>
      <c r="I81" s="3" t="n"/>
      <c r="J81" s="30" t="n">
        <v>5</v>
      </c>
      <c r="K81" s="30" t="n">
        <v>9</v>
      </c>
      <c r="L81" s="3" t="n"/>
      <c r="M81" s="4" t="inlineStr">
        <is>
          <t>10Q_Q2-2026 p15</t>
        </is>
      </c>
    </row>
    <row r="82">
      <c r="A82" s="14" t="inlineStr">
        <is>
          <t>Form10A_2026-05-27 · Combined Statements of Equity - Parent Company Investment</t>
        </is>
      </c>
      <c r="B82" s="15" t="n"/>
      <c r="C82" s="15" t="n"/>
      <c r="D82" s="15" t="n"/>
      <c r="E82" s="15" t="n"/>
      <c r="F82" s="15" t="n"/>
      <c r="G82" s="15" t="n"/>
      <c r="H82" s="15" t="n"/>
      <c r="I82" s="15" t="n"/>
      <c r="J82" s="15" t="n"/>
      <c r="K82" s="15" t="n"/>
      <c r="L82" s="15" t="n"/>
      <c r="M82" s="15" t="n"/>
    </row>
    <row r="83">
      <c r="A83" s="38" t="inlineStr">
        <is>
          <t>Balance as of January 1, 2023</t>
        </is>
      </c>
      <c r="B83" s="3" t="n"/>
      <c r="C83" s="30" t="n">
        <v>11791</v>
      </c>
      <c r="D83" s="3" t="n"/>
      <c r="E83" s="3" t="n"/>
      <c r="F83" s="3" t="n"/>
      <c r="G83" s="3" t="n"/>
      <c r="H83" s="3" t="n"/>
      <c r="I83" s="3" t="n"/>
      <c r="J83" s="3" t="n"/>
      <c r="K83" s="3" t="n"/>
      <c r="L83" s="3" t="n"/>
      <c r="M83" s="4" t="inlineStr">
        <is>
          <t>Form10A_2026-05-27 p444</t>
        </is>
      </c>
    </row>
    <row r="84">
      <c r="A84" s="38" t="inlineStr">
        <is>
          <t>Comprehensive income, net of tax</t>
        </is>
      </c>
      <c r="B84" s="3" t="n"/>
      <c r="C84" s="30" t="n">
        <v>163</v>
      </c>
      <c r="D84" s="30" t="n">
        <v>208</v>
      </c>
      <c r="E84" s="30" t="n">
        <v>220</v>
      </c>
      <c r="F84" s="3" t="n"/>
      <c r="G84" s="3" t="n"/>
      <c r="H84" s="3" t="n"/>
      <c r="I84" s="3" t="n"/>
      <c r="J84" s="3" t="n"/>
      <c r="K84" s="3" t="n"/>
      <c r="L84" s="3" t="n"/>
      <c r="M84" s="4" t="inlineStr">
        <is>
          <t>Form10A_2026-05-27 p444</t>
        </is>
      </c>
    </row>
    <row r="85">
      <c r="A85" s="38" t="inlineStr">
        <is>
          <t>Net decrease in Parent company investment</t>
        </is>
      </c>
      <c r="B85" s="3" t="n"/>
      <c r="C85" s="30" t="n">
        <v>-137</v>
      </c>
      <c r="D85" s="30" t="n">
        <v>-345</v>
      </c>
      <c r="E85" s="30" t="n">
        <v>-411</v>
      </c>
      <c r="F85" s="3" t="n"/>
      <c r="G85" s="3" t="n"/>
      <c r="H85" s="3" t="n"/>
      <c r="I85" s="3" t="n"/>
      <c r="J85" s="3" t="n"/>
      <c r="K85" s="3" t="n"/>
      <c r="L85" s="3" t="n"/>
      <c r="M85" s="4" t="inlineStr">
        <is>
          <t>Form10A_2026-05-27 p444</t>
        </is>
      </c>
    </row>
    <row r="86">
      <c r="A86" s="39" t="inlineStr">
        <is>
          <t>Balance as of December 31</t>
        </is>
      </c>
      <c r="B86" s="3" t="n"/>
      <c r="C86" s="18" t="n">
        <v>11817</v>
      </c>
      <c r="D86" s="18" t="n">
        <v>11680</v>
      </c>
      <c r="E86" s="18" t="n">
        <v>11489</v>
      </c>
      <c r="F86" s="3" t="n"/>
      <c r="G86" s="3" t="n"/>
      <c r="H86" s="3" t="n"/>
      <c r="I86" s="3" t="n"/>
      <c r="J86" s="3" t="n"/>
      <c r="K86" s="3" t="n"/>
      <c r="L86" s="3" t="n"/>
      <c r="M86" s="4" t="inlineStr">
        <is>
          <t>Form10A_2026-05-27 p444</t>
        </is>
      </c>
    </row>
    <row r="87">
      <c r="A87" s="14" t="inlineStr">
        <is>
          <t>Form10A_2026-05-27 · Combined Statements of Equity - Accumulated Other Comprehensive Income (Loss)</t>
        </is>
      </c>
      <c r="B87" s="15" t="n"/>
      <c r="C87" s="15" t="n"/>
      <c r="D87" s="15" t="n"/>
      <c r="E87" s="15" t="n"/>
      <c r="F87" s="15" t="n"/>
      <c r="G87" s="15" t="n"/>
      <c r="H87" s="15" t="n"/>
      <c r="I87" s="15" t="n"/>
      <c r="J87" s="15" t="n"/>
      <c r="K87" s="15" t="n"/>
      <c r="L87" s="15" t="n"/>
      <c r="M87" s="15" t="n"/>
    </row>
    <row r="88">
      <c r="A88" s="38" t="inlineStr">
        <is>
          <t>Balance as of January 1, 2023</t>
        </is>
      </c>
      <c r="B88" s="3" t="n"/>
      <c r="C88" s="30" t="n">
        <v>-9</v>
      </c>
      <c r="D88" s="3" t="n"/>
      <c r="E88" s="3" t="n"/>
      <c r="F88" s="3" t="n"/>
      <c r="G88" s="3" t="n"/>
      <c r="H88" s="3" t="n"/>
      <c r="I88" s="3" t="n"/>
      <c r="J88" s="3" t="n"/>
      <c r="K88" s="3" t="n"/>
      <c r="L88" s="3" t="n"/>
      <c r="M88" s="4" t="inlineStr">
        <is>
          <t>Form10A_2026-05-27 p444</t>
        </is>
      </c>
    </row>
    <row r="89">
      <c r="A89" s="38" t="inlineStr">
        <is>
          <t>Comprehensive income, net of tax</t>
        </is>
      </c>
      <c r="B89" s="3" t="n"/>
      <c r="C89" s="30" t="n">
        <v>-6</v>
      </c>
      <c r="D89" s="30" t="n">
        <v>18</v>
      </c>
      <c r="E89" s="30" t="n">
        <v>-7</v>
      </c>
      <c r="F89" s="3" t="n"/>
      <c r="G89" s="3" t="n"/>
      <c r="H89" s="3" t="n"/>
      <c r="I89" s="3" t="n"/>
      <c r="J89" s="3" t="n"/>
      <c r="K89" s="3" t="n"/>
      <c r="L89" s="3" t="n"/>
      <c r="M89" s="4" t="inlineStr">
        <is>
          <t>Form10A_2026-05-27 p444</t>
        </is>
      </c>
    </row>
    <row r="90">
      <c r="A90" s="39" t="inlineStr">
        <is>
          <t>Balance as of December 31</t>
        </is>
      </c>
      <c r="B90" s="3" t="n"/>
      <c r="C90" s="18" t="n">
        <v>-15</v>
      </c>
      <c r="D90" s="18" t="n">
        <v>3</v>
      </c>
      <c r="E90" s="18" t="n">
        <v>-4</v>
      </c>
      <c r="F90" s="3" t="n"/>
      <c r="G90" s="3" t="n"/>
      <c r="H90" s="3" t="n"/>
      <c r="I90" s="3" t="n"/>
      <c r="J90" s="3" t="n"/>
      <c r="K90" s="3" t="n"/>
      <c r="L90" s="3" t="n"/>
      <c r="M90" s="4" t="inlineStr">
        <is>
          <t>Form10A_2026-05-27 p444</t>
        </is>
      </c>
    </row>
    <row r="91">
      <c r="A91" s="14" t="inlineStr">
        <is>
          <t>Form10A_2026-05-27 · Combined Statements of Equity - Total Equity</t>
        </is>
      </c>
      <c r="B91" s="15" t="n"/>
      <c r="C91" s="15" t="n"/>
      <c r="D91" s="15" t="n"/>
      <c r="E91" s="15" t="n"/>
      <c r="F91" s="15" t="n"/>
      <c r="G91" s="15" t="n"/>
      <c r="H91" s="15" t="n"/>
      <c r="I91" s="15" t="n"/>
      <c r="J91" s="15" t="n"/>
      <c r="K91" s="15" t="n"/>
      <c r="L91" s="15" t="n"/>
      <c r="M91" s="15" t="n"/>
    </row>
    <row r="92">
      <c r="A92" s="38" t="inlineStr">
        <is>
          <t>Balance as of January 1, 2023</t>
        </is>
      </c>
      <c r="B92" s="3" t="n"/>
      <c r="C92" s="30" t="n">
        <v>11782</v>
      </c>
      <c r="D92" s="3" t="n"/>
      <c r="E92" s="3" t="n"/>
      <c r="F92" s="3" t="n"/>
      <c r="G92" s="3" t="n"/>
      <c r="H92" s="3" t="n"/>
      <c r="I92" s="3" t="n"/>
      <c r="J92" s="3" t="n"/>
      <c r="K92" s="3" t="n"/>
      <c r="L92" s="3" t="n"/>
      <c r="M92" s="4" t="inlineStr">
        <is>
          <t>Form10A_2026-05-27 p444</t>
        </is>
      </c>
    </row>
    <row r="93">
      <c r="A93" s="38" t="inlineStr">
        <is>
          <t>Comprehensive income, net of tax</t>
        </is>
      </c>
      <c r="B93" s="3" t="n"/>
      <c r="C93" s="30" t="n">
        <v>157</v>
      </c>
      <c r="D93" s="30" t="n">
        <v>226</v>
      </c>
      <c r="E93" s="30" t="n">
        <v>213</v>
      </c>
      <c r="F93" s="3" t="n"/>
      <c r="G93" s="3" t="n"/>
      <c r="H93" s="3" t="n"/>
      <c r="I93" s="3" t="n"/>
      <c r="J93" s="3" t="n"/>
      <c r="K93" s="3" t="n"/>
      <c r="L93" s="3" t="n"/>
      <c r="M93" s="4" t="inlineStr">
        <is>
          <t>Form10A_2026-05-27 p444</t>
        </is>
      </c>
    </row>
    <row r="94">
      <c r="A94" s="38" t="inlineStr">
        <is>
          <t>Net decrease in Parent company investment</t>
        </is>
      </c>
      <c r="B94" s="3" t="n"/>
      <c r="C94" s="30" t="n">
        <v>-137</v>
      </c>
      <c r="D94" s="30" t="n">
        <v>-345</v>
      </c>
      <c r="E94" s="30" t="n">
        <v>-411</v>
      </c>
      <c r="F94" s="3" t="n"/>
      <c r="G94" s="3" t="n"/>
      <c r="H94" s="3" t="n"/>
      <c r="I94" s="3" t="n"/>
      <c r="J94" s="3" t="n"/>
      <c r="K94" s="3" t="n"/>
      <c r="L94" s="3" t="n"/>
      <c r="M94" s="4" t="inlineStr">
        <is>
          <t>Form10A_2026-05-27 p444</t>
        </is>
      </c>
    </row>
    <row r="95">
      <c r="A95" s="39" t="inlineStr">
        <is>
          <t>Balance as of December 31</t>
        </is>
      </c>
      <c r="B95" s="3" t="n"/>
      <c r="C95" s="18" t="n">
        <v>11802</v>
      </c>
      <c r="D95" s="18" t="n">
        <v>11683</v>
      </c>
      <c r="E95" s="18" t="n">
        <v>11485</v>
      </c>
      <c r="F95" s="3" t="n"/>
      <c r="G95" s="3" t="n"/>
      <c r="H95" s="3" t="n"/>
      <c r="I95" s="3" t="n"/>
      <c r="J95" s="3" t="n"/>
      <c r="K95" s="3" t="n"/>
      <c r="L95" s="3" t="n"/>
      <c r="M95" s="4" t="inlineStr">
        <is>
          <t>Form10A_2026-05-27 p444</t>
        </is>
      </c>
    </row>
    <row r="96">
      <c r="A96" s="14" t="inlineStr">
        <is>
          <t>Form10_2026-05-07 · Combined Statements of Equity - Parent Company Investment</t>
        </is>
      </c>
      <c r="B96" s="15" t="n"/>
      <c r="C96" s="15" t="n"/>
      <c r="D96" s="15" t="n"/>
      <c r="E96" s="15" t="n"/>
      <c r="F96" s="15" t="n"/>
      <c r="G96" s="15" t="n"/>
      <c r="H96" s="15" t="n"/>
      <c r="I96" s="15" t="n"/>
      <c r="J96" s="15" t="n"/>
      <c r="K96" s="15" t="n"/>
      <c r="L96" s="15" t="n"/>
      <c r="M96" s="15" t="n"/>
    </row>
    <row r="97">
      <c r="A97" s="38" t="inlineStr">
        <is>
          <t>Balance as of January 1, 2023</t>
        </is>
      </c>
      <c r="B97" s="3" t="n"/>
      <c r="C97" s="30" t="n">
        <v>11791</v>
      </c>
      <c r="D97" s="3" t="n"/>
      <c r="E97" s="3" t="n"/>
      <c r="F97" s="3" t="n"/>
      <c r="G97" s="3" t="n"/>
      <c r="H97" s="3" t="n"/>
      <c r="I97" s="3" t="n"/>
      <c r="J97" s="3" t="n"/>
      <c r="K97" s="3" t="n"/>
      <c r="L97" s="3" t="n"/>
      <c r="M97" s="4" t="inlineStr">
        <is>
          <t>Form10_2026-05-07 p522</t>
        </is>
      </c>
    </row>
    <row r="98">
      <c r="A98" s="38" t="inlineStr">
        <is>
          <t>Comprehensive income, net of tax</t>
        </is>
      </c>
      <c r="B98" s="3" t="n"/>
      <c r="C98" s="30" t="n">
        <v>163</v>
      </c>
      <c r="D98" s="30" t="n">
        <v>208</v>
      </c>
      <c r="E98" s="30" t="n">
        <v>220</v>
      </c>
      <c r="F98" s="3" t="n"/>
      <c r="G98" s="3" t="n"/>
      <c r="H98" s="3" t="n"/>
      <c r="I98" s="3" t="n"/>
      <c r="J98" s="3" t="n"/>
      <c r="K98" s="3" t="n"/>
      <c r="L98" s="3" t="n"/>
      <c r="M98" s="4" t="inlineStr">
        <is>
          <t>Form10_2026-05-07 p522</t>
        </is>
      </c>
    </row>
    <row r="99">
      <c r="A99" s="38" t="inlineStr">
        <is>
          <t>Net decrease in Parent company investment</t>
        </is>
      </c>
      <c r="B99" s="3" t="n"/>
      <c r="C99" s="30" t="n">
        <v>-137</v>
      </c>
      <c r="D99" s="30" t="n">
        <v>-345</v>
      </c>
      <c r="E99" s="30" t="n">
        <v>-411</v>
      </c>
      <c r="F99" s="3" t="n"/>
      <c r="G99" s="3" t="n"/>
      <c r="H99" s="3" t="n"/>
      <c r="I99" s="3" t="n"/>
      <c r="J99" s="3" t="n"/>
      <c r="K99" s="3" t="n"/>
      <c r="L99" s="3" t="n"/>
      <c r="M99" s="4" t="inlineStr">
        <is>
          <t>Form10_2026-05-07 p522</t>
        </is>
      </c>
    </row>
    <row r="100">
      <c r="A100" s="39" t="inlineStr">
        <is>
          <t>Balance as of December 31</t>
        </is>
      </c>
      <c r="B100" s="3" t="n"/>
      <c r="C100" s="18" t="n">
        <v>11817</v>
      </c>
      <c r="D100" s="18" t="n">
        <v>11680</v>
      </c>
      <c r="E100" s="18" t="n">
        <v>11489</v>
      </c>
      <c r="F100" s="3" t="n"/>
      <c r="G100" s="3" t="n"/>
      <c r="H100" s="3" t="n"/>
      <c r="I100" s="3" t="n"/>
      <c r="J100" s="3" t="n"/>
      <c r="K100" s="3" t="n"/>
      <c r="L100" s="3" t="n"/>
      <c r="M100" s="4" t="inlineStr">
        <is>
          <t>Form10_2026-05-07 p522</t>
        </is>
      </c>
    </row>
    <row r="101">
      <c r="A101" s="14" t="inlineStr">
        <is>
          <t>Form10_2026-05-07 · Combined Statements of Equity - Accumulated Other Comprehensive Income (Loss)</t>
        </is>
      </c>
      <c r="B101" s="15" t="n"/>
      <c r="C101" s="15" t="n"/>
      <c r="D101" s="15" t="n"/>
      <c r="E101" s="15" t="n"/>
      <c r="F101" s="15" t="n"/>
      <c r="G101" s="15" t="n"/>
      <c r="H101" s="15" t="n"/>
      <c r="I101" s="15" t="n"/>
      <c r="J101" s="15" t="n"/>
      <c r="K101" s="15" t="n"/>
      <c r="L101" s="15" t="n"/>
      <c r="M101" s="15" t="n"/>
    </row>
    <row r="102">
      <c r="A102" s="38" t="inlineStr">
        <is>
          <t>Balance as of January 1, 2023</t>
        </is>
      </c>
      <c r="B102" s="3" t="n"/>
      <c r="C102" s="30" t="n">
        <v>-9</v>
      </c>
      <c r="D102" s="3" t="n"/>
      <c r="E102" s="3" t="n"/>
      <c r="F102" s="3" t="n"/>
      <c r="G102" s="3" t="n"/>
      <c r="H102" s="3" t="n"/>
      <c r="I102" s="3" t="n"/>
      <c r="J102" s="3" t="n"/>
      <c r="K102" s="3" t="n"/>
      <c r="L102" s="3" t="n"/>
      <c r="M102" s="4" t="inlineStr">
        <is>
          <t>Form10_2026-05-07 p522</t>
        </is>
      </c>
    </row>
    <row r="103">
      <c r="A103" s="38" t="inlineStr">
        <is>
          <t>Comprehensive income, net of tax</t>
        </is>
      </c>
      <c r="B103" s="3" t="n"/>
      <c r="C103" s="30" t="n">
        <v>-6</v>
      </c>
      <c r="D103" s="30" t="n">
        <v>18</v>
      </c>
      <c r="E103" s="30" t="n">
        <v>-7</v>
      </c>
      <c r="F103" s="3" t="n"/>
      <c r="G103" s="3" t="n"/>
      <c r="H103" s="3" t="n"/>
      <c r="I103" s="3" t="n"/>
      <c r="J103" s="3" t="n"/>
      <c r="K103" s="3" t="n"/>
      <c r="L103" s="3" t="n"/>
      <c r="M103" s="4" t="inlineStr">
        <is>
          <t>Form10_2026-05-07 p522</t>
        </is>
      </c>
    </row>
    <row r="104">
      <c r="A104" s="39" t="inlineStr">
        <is>
          <t>Balance as of December 31</t>
        </is>
      </c>
      <c r="B104" s="3" t="n"/>
      <c r="C104" s="18" t="n">
        <v>-15</v>
      </c>
      <c r="D104" s="18" t="n">
        <v>3</v>
      </c>
      <c r="E104" s="18" t="n">
        <v>-4</v>
      </c>
      <c r="F104" s="3" t="n"/>
      <c r="G104" s="3" t="n"/>
      <c r="H104" s="3" t="n"/>
      <c r="I104" s="3" t="n"/>
      <c r="J104" s="3" t="n"/>
      <c r="K104" s="3" t="n"/>
      <c r="L104" s="3" t="n"/>
      <c r="M104" s="4" t="inlineStr">
        <is>
          <t>Form10_2026-05-07 p522</t>
        </is>
      </c>
    </row>
    <row r="105">
      <c r="A105" s="14" t="inlineStr">
        <is>
          <t>Form10_2026-05-07 · Combined Statements of Equity - Total Equity</t>
        </is>
      </c>
      <c r="B105" s="15" t="n"/>
      <c r="C105" s="15" t="n"/>
      <c r="D105" s="15" t="n"/>
      <c r="E105" s="15" t="n"/>
      <c r="F105" s="15" t="n"/>
      <c r="G105" s="15" t="n"/>
      <c r="H105" s="15" t="n"/>
      <c r="I105" s="15" t="n"/>
      <c r="J105" s="15" t="n"/>
      <c r="K105" s="15" t="n"/>
      <c r="L105" s="15" t="n"/>
      <c r="M105" s="15" t="n"/>
    </row>
    <row r="106">
      <c r="A106" s="38" t="inlineStr">
        <is>
          <t>Balance as of January 1, 2023</t>
        </is>
      </c>
      <c r="B106" s="3" t="n"/>
      <c r="C106" s="30" t="n">
        <v>11782</v>
      </c>
      <c r="D106" s="3" t="n"/>
      <c r="E106" s="3" t="n"/>
      <c r="F106" s="3" t="n"/>
      <c r="G106" s="3" t="n"/>
      <c r="H106" s="3" t="n"/>
      <c r="I106" s="3" t="n"/>
      <c r="J106" s="3" t="n"/>
      <c r="K106" s="3" t="n"/>
      <c r="L106" s="3" t="n"/>
      <c r="M106" s="4" t="inlineStr">
        <is>
          <t>Form10_2026-05-07 p522</t>
        </is>
      </c>
    </row>
    <row r="107">
      <c r="A107" s="38" t="inlineStr">
        <is>
          <t>Comprehensive income, net of tax</t>
        </is>
      </c>
      <c r="B107" s="3" t="n"/>
      <c r="C107" s="30" t="n">
        <v>157</v>
      </c>
      <c r="D107" s="30" t="n">
        <v>226</v>
      </c>
      <c r="E107" s="30" t="n">
        <v>213</v>
      </c>
      <c r="F107" s="3" t="n"/>
      <c r="G107" s="3" t="n"/>
      <c r="H107" s="3" t="n"/>
      <c r="I107" s="3" t="n"/>
      <c r="J107" s="3" t="n"/>
      <c r="K107" s="3" t="n"/>
      <c r="L107" s="3" t="n"/>
      <c r="M107" s="4" t="inlineStr">
        <is>
          <t>Form10_2026-05-07 p522</t>
        </is>
      </c>
    </row>
    <row r="108">
      <c r="A108" s="38" t="inlineStr">
        <is>
          <t>Net decrease in Parent company investment</t>
        </is>
      </c>
      <c r="B108" s="3" t="n"/>
      <c r="C108" s="30" t="n">
        <v>-137</v>
      </c>
      <c r="D108" s="30" t="n">
        <v>-345</v>
      </c>
      <c r="E108" s="30" t="n">
        <v>-411</v>
      </c>
      <c r="F108" s="3" t="n"/>
      <c r="G108" s="3" t="n"/>
      <c r="H108" s="3" t="n"/>
      <c r="I108" s="3" t="n"/>
      <c r="J108" s="3" t="n"/>
      <c r="K108" s="3" t="n"/>
      <c r="L108" s="3" t="n"/>
      <c r="M108" s="4" t="inlineStr">
        <is>
          <t>Form10_2026-05-07 p522</t>
        </is>
      </c>
    </row>
    <row r="109">
      <c r="A109" s="39" t="inlineStr">
        <is>
          <t>Balance as of December 31</t>
        </is>
      </c>
      <c r="B109" s="3" t="n"/>
      <c r="C109" s="18" t="n">
        <v>11802</v>
      </c>
      <c r="D109" s="18" t="n">
        <v>11683</v>
      </c>
      <c r="E109" s="18" t="n">
        <v>11485</v>
      </c>
      <c r="F109" s="3" t="n"/>
      <c r="G109" s="3" t="n"/>
      <c r="H109" s="3" t="n"/>
      <c r="I109" s="3" t="n"/>
      <c r="J109" s="3" t="n"/>
      <c r="K109" s="3" t="n"/>
      <c r="L109" s="3" t="n"/>
      <c r="M109" s="4" t="inlineStr">
        <is>
          <t>Form10_2026-05-07 p522</t>
        </is>
      </c>
    </row>
    <row r="110">
      <c r="A110" s="14" t="inlineStr">
        <is>
          <t>Form10A_2026-05-27 · Condensed Combined Statements of Equity - Parent Company Investment</t>
        </is>
      </c>
      <c r="B110" s="15" t="n"/>
      <c r="C110" s="15" t="n"/>
      <c r="D110" s="15" t="n"/>
      <c r="E110" s="15" t="n"/>
      <c r="F110" s="15" t="n"/>
      <c r="G110" s="15" t="n"/>
      <c r="H110" s="15" t="n"/>
      <c r="I110" s="15" t="n"/>
      <c r="J110" s="15" t="n"/>
      <c r="K110" s="15" t="n"/>
      <c r="L110" s="15" t="n"/>
      <c r="M110" s="15" t="n"/>
    </row>
    <row r="111">
      <c r="A111" s="38" t="inlineStr">
        <is>
          <t>Balance as of December 31 (opening)</t>
        </is>
      </c>
      <c r="B111" s="3" t="n"/>
      <c r="C111" s="3" t="n"/>
      <c r="D111" s="3" t="n"/>
      <c r="E111" s="3" t="n"/>
      <c r="F111" s="30" t="n">
        <v>11680</v>
      </c>
      <c r="G111" s="3" t="n"/>
      <c r="H111" s="3" t="n"/>
      <c r="I111" s="30" t="n">
        <v>11489</v>
      </c>
      <c r="J111" s="3" t="n"/>
      <c r="K111" s="3" t="n"/>
      <c r="L111" s="3" t="n"/>
      <c r="M111" s="4" t="inlineStr">
        <is>
          <t>Form10A_2026-05-27 p426</t>
        </is>
      </c>
    </row>
    <row r="112">
      <c r="A112" s="38" t="inlineStr">
        <is>
          <t>Comprehensive income (loss), net of tax</t>
        </is>
      </c>
      <c r="B112" s="3" t="n"/>
      <c r="C112" s="3" t="n"/>
      <c r="D112" s="3" t="n"/>
      <c r="E112" s="3" t="n"/>
      <c r="F112" s="30" t="n">
        <v>58</v>
      </c>
      <c r="G112" s="3" t="n"/>
      <c r="H112" s="3" t="n"/>
      <c r="I112" s="30" t="n">
        <v>55</v>
      </c>
      <c r="J112" s="3" t="n"/>
      <c r="K112" s="3" t="n"/>
      <c r="L112" s="3" t="n"/>
      <c r="M112" s="4" t="inlineStr">
        <is>
          <t>Form10A_2026-05-27 p426</t>
        </is>
      </c>
    </row>
    <row r="113">
      <c r="A113" s="38" t="inlineStr">
        <is>
          <t>Net increase (decrease) in Parent company investment</t>
        </is>
      </c>
      <c r="B113" s="3" t="n"/>
      <c r="C113" s="3" t="n"/>
      <c r="D113" s="3" t="n"/>
      <c r="E113" s="3" t="n"/>
      <c r="F113" s="30" t="n">
        <v>-44</v>
      </c>
      <c r="G113" s="3" t="n"/>
      <c r="H113" s="3" t="n"/>
      <c r="I113" s="30" t="n">
        <v>42</v>
      </c>
      <c r="J113" s="3" t="n"/>
      <c r="K113" s="3" t="n"/>
      <c r="L113" s="3" t="n"/>
      <c r="M113" s="4" t="inlineStr">
        <is>
          <t>Form10A_2026-05-27 p426</t>
        </is>
      </c>
    </row>
    <row r="114">
      <c r="A114" s="39" t="inlineStr">
        <is>
          <t>Balance as of March 31</t>
        </is>
      </c>
      <c r="B114" s="3" t="n"/>
      <c r="C114" s="3" t="n"/>
      <c r="D114" s="3" t="n"/>
      <c r="E114" s="3" t="n"/>
      <c r="F114" s="18" t="n">
        <v>11694</v>
      </c>
      <c r="G114" s="3" t="n"/>
      <c r="H114" s="3" t="n"/>
      <c r="I114" s="18" t="n">
        <v>11586</v>
      </c>
      <c r="J114" s="3" t="n"/>
      <c r="K114" s="3" t="n"/>
      <c r="L114" s="3" t="n"/>
      <c r="M114" s="4" t="inlineStr">
        <is>
          <t>Form10A_2026-05-27 p426</t>
        </is>
      </c>
    </row>
    <row r="115">
      <c r="A115" s="14" t="inlineStr">
        <is>
          <t>Form10A_2026-05-27 · Condensed Combined Statements of Equity - Accumulated Other Comprehensive Income (Loss)</t>
        </is>
      </c>
      <c r="B115" s="15" t="n"/>
      <c r="C115" s="15" t="n"/>
      <c r="D115" s="15" t="n"/>
      <c r="E115" s="15" t="n"/>
      <c r="F115" s="15" t="n"/>
      <c r="G115" s="15" t="n"/>
      <c r="H115" s="15" t="n"/>
      <c r="I115" s="15" t="n"/>
      <c r="J115" s="15" t="n"/>
      <c r="K115" s="15" t="n"/>
      <c r="L115" s="15" t="n"/>
      <c r="M115" s="15" t="n"/>
    </row>
    <row r="116">
      <c r="A116" s="38" t="inlineStr">
        <is>
          <t>Balance as of December 31 (opening)</t>
        </is>
      </c>
      <c r="B116" s="3" t="n"/>
      <c r="C116" s="3" t="n"/>
      <c r="D116" s="3" t="n"/>
      <c r="E116" s="3" t="n"/>
      <c r="F116" s="30" t="n">
        <v>3</v>
      </c>
      <c r="G116" s="3" t="n"/>
      <c r="H116" s="3" t="n"/>
      <c r="I116" s="30" t="n">
        <v>-4</v>
      </c>
      <c r="J116" s="3" t="n"/>
      <c r="K116" s="3" t="n"/>
      <c r="L116" s="3" t="n"/>
      <c r="M116" s="4" t="inlineStr">
        <is>
          <t>Form10A_2026-05-27 p426</t>
        </is>
      </c>
    </row>
    <row r="117">
      <c r="A117" s="38" t="inlineStr">
        <is>
          <t>Comprehensive income (loss), net of tax</t>
        </is>
      </c>
      <c r="B117" s="3" t="n"/>
      <c r="C117" s="3" t="n"/>
      <c r="D117" s="3" t="n"/>
      <c r="E117" s="3" t="n"/>
      <c r="F117" s="30" t="n">
        <v>-1</v>
      </c>
      <c r="G117" s="3" t="n"/>
      <c r="H117" s="3" t="n"/>
      <c r="I117" s="30" t="n">
        <v>1</v>
      </c>
      <c r="J117" s="3" t="n"/>
      <c r="K117" s="3" t="n"/>
      <c r="L117" s="3" t="n"/>
      <c r="M117" s="4" t="inlineStr">
        <is>
          <t>Form10A_2026-05-27 p426</t>
        </is>
      </c>
    </row>
    <row r="118">
      <c r="A118" s="39" t="inlineStr">
        <is>
          <t>Balance as of March 31</t>
        </is>
      </c>
      <c r="B118" s="3" t="n"/>
      <c r="C118" s="3" t="n"/>
      <c r="D118" s="3" t="n"/>
      <c r="E118" s="3" t="n"/>
      <c r="F118" s="18" t="n">
        <v>2</v>
      </c>
      <c r="G118" s="3" t="n"/>
      <c r="H118" s="3" t="n"/>
      <c r="I118" s="18" t="n">
        <v>-3</v>
      </c>
      <c r="J118" s="3" t="n"/>
      <c r="K118" s="3" t="n"/>
      <c r="L118" s="3" t="n"/>
      <c r="M118" s="4" t="inlineStr">
        <is>
          <t>Form10A_2026-05-27 p426</t>
        </is>
      </c>
    </row>
    <row r="119">
      <c r="A119" s="14" t="inlineStr">
        <is>
          <t>Form10A_2026-05-27 · Condensed Combined Statements of Equity - Total Equity</t>
        </is>
      </c>
      <c r="B119" s="15" t="n"/>
      <c r="C119" s="15" t="n"/>
      <c r="D119" s="15" t="n"/>
      <c r="E119" s="15" t="n"/>
      <c r="F119" s="15" t="n"/>
      <c r="G119" s="15" t="n"/>
      <c r="H119" s="15" t="n"/>
      <c r="I119" s="15" t="n"/>
      <c r="J119" s="15" t="n"/>
      <c r="K119" s="15" t="n"/>
      <c r="L119" s="15" t="n"/>
      <c r="M119" s="15" t="n"/>
    </row>
    <row r="120">
      <c r="A120" s="38" t="inlineStr">
        <is>
          <t>Balance as of December 31 (opening)</t>
        </is>
      </c>
      <c r="B120" s="3" t="n"/>
      <c r="C120" s="3" t="n"/>
      <c r="D120" s="3" t="n"/>
      <c r="E120" s="3" t="n"/>
      <c r="F120" s="30" t="n">
        <v>11683</v>
      </c>
      <c r="G120" s="3" t="n"/>
      <c r="H120" s="3" t="n"/>
      <c r="I120" s="30" t="n">
        <v>11485</v>
      </c>
      <c r="J120" s="3" t="n"/>
      <c r="K120" s="3" t="n"/>
      <c r="L120" s="3" t="n"/>
      <c r="M120" s="4" t="inlineStr">
        <is>
          <t>Form10A_2026-05-27 p426</t>
        </is>
      </c>
    </row>
    <row r="121">
      <c r="A121" s="38" t="inlineStr">
        <is>
          <t>Comprehensive income (loss), net of tax</t>
        </is>
      </c>
      <c r="B121" s="3" t="n"/>
      <c r="C121" s="3" t="n"/>
      <c r="D121" s="3" t="n"/>
      <c r="E121" s="3" t="n"/>
      <c r="F121" s="30" t="n">
        <v>57</v>
      </c>
      <c r="G121" s="3" t="n"/>
      <c r="H121" s="3" t="n"/>
      <c r="I121" s="30" t="n">
        <v>56</v>
      </c>
      <c r="J121" s="3" t="n"/>
      <c r="K121" s="3" t="n"/>
      <c r="L121" s="3" t="n"/>
      <c r="M121" s="4" t="inlineStr">
        <is>
          <t>Form10A_2026-05-27 p426</t>
        </is>
      </c>
    </row>
    <row r="122">
      <c r="A122" s="38" t="inlineStr">
        <is>
          <t>Net increase (decrease) in Parent company investment</t>
        </is>
      </c>
      <c r="B122" s="3" t="n"/>
      <c r="C122" s="3" t="n"/>
      <c r="D122" s="3" t="n"/>
      <c r="E122" s="3" t="n"/>
      <c r="F122" s="30" t="n">
        <v>-44</v>
      </c>
      <c r="G122" s="3" t="n"/>
      <c r="H122" s="3" t="n"/>
      <c r="I122" s="30" t="n">
        <v>42</v>
      </c>
      <c r="J122" s="3" t="n"/>
      <c r="K122" s="3" t="n"/>
      <c r="L122" s="3" t="n"/>
      <c r="M122" s="4" t="inlineStr">
        <is>
          <t>Form10A_2026-05-27 p426</t>
        </is>
      </c>
    </row>
    <row r="123">
      <c r="A123" s="39" t="inlineStr">
        <is>
          <t>Balance as of March 31</t>
        </is>
      </c>
      <c r="B123" s="3" t="n"/>
      <c r="C123" s="3" t="n"/>
      <c r="D123" s="3" t="n"/>
      <c r="E123" s="3" t="n"/>
      <c r="F123" s="18" t="n">
        <v>11696</v>
      </c>
      <c r="G123" s="3" t="n"/>
      <c r="H123" s="3" t="n"/>
      <c r="I123" s="18" t="n">
        <v>11583</v>
      </c>
      <c r="J123" s="3" t="n"/>
      <c r="K123" s="3" t="n"/>
      <c r="L123" s="3" t="n"/>
      <c r="M123" s="4" t="inlineStr">
        <is>
          <t>Form10A_2026-05-27 p426</t>
        </is>
      </c>
    </row>
    <row r="124">
      <c r="A124" s="14" t="inlineStr">
        <is>
          <t>Form10_2026-05-07 · Condensed Combined Statements of Equity - Parent Company Investment</t>
        </is>
      </c>
      <c r="B124" s="15" t="n"/>
      <c r="C124" s="15" t="n"/>
      <c r="D124" s="15" t="n"/>
      <c r="E124" s="15" t="n"/>
      <c r="F124" s="15" t="n"/>
      <c r="G124" s="15" t="n"/>
      <c r="H124" s="15" t="n"/>
      <c r="I124" s="15" t="n"/>
      <c r="J124" s="15" t="n"/>
      <c r="K124" s="15" t="n"/>
      <c r="L124" s="15" t="n"/>
      <c r="M124" s="15" t="n"/>
    </row>
    <row r="125">
      <c r="A125" s="38" t="inlineStr">
        <is>
          <t>Balance as of December 31 (opening)</t>
        </is>
      </c>
      <c r="B125" s="3" t="n"/>
      <c r="C125" s="3" t="n"/>
      <c r="D125" s="3" t="n"/>
      <c r="E125" s="3" t="n"/>
      <c r="F125" s="30" t="n">
        <v>11680</v>
      </c>
      <c r="G125" s="3" t="n"/>
      <c r="H125" s="3" t="n"/>
      <c r="I125" s="30" t="n">
        <v>11489</v>
      </c>
      <c r="J125" s="3" t="n"/>
      <c r="K125" s="3" t="n"/>
      <c r="L125" s="3" t="n"/>
      <c r="M125" s="4" t="inlineStr">
        <is>
          <t>Form10_2026-05-07 p504</t>
        </is>
      </c>
    </row>
    <row r="126">
      <c r="A126" s="38" t="inlineStr">
        <is>
          <t>Comprehensive income (loss), net of tax</t>
        </is>
      </c>
      <c r="B126" s="3" t="n"/>
      <c r="C126" s="3" t="n"/>
      <c r="D126" s="3" t="n"/>
      <c r="E126" s="3" t="n"/>
      <c r="F126" s="30" t="n">
        <v>58</v>
      </c>
      <c r="G126" s="3" t="n"/>
      <c r="H126" s="3" t="n"/>
      <c r="I126" s="30" t="n">
        <v>55</v>
      </c>
      <c r="J126" s="3" t="n"/>
      <c r="K126" s="3" t="n"/>
      <c r="L126" s="3" t="n"/>
      <c r="M126" s="4" t="inlineStr">
        <is>
          <t>Form10_2026-05-07 p504</t>
        </is>
      </c>
    </row>
    <row r="127">
      <c r="A127" s="38" t="inlineStr">
        <is>
          <t>Net increase (decrease) in Parent company investment</t>
        </is>
      </c>
      <c r="B127" s="3" t="n"/>
      <c r="C127" s="3" t="n"/>
      <c r="D127" s="3" t="n"/>
      <c r="E127" s="3" t="n"/>
      <c r="F127" s="30" t="n">
        <v>-44</v>
      </c>
      <c r="G127" s="3" t="n"/>
      <c r="H127" s="3" t="n"/>
      <c r="I127" s="30" t="n">
        <v>42</v>
      </c>
      <c r="J127" s="3" t="n"/>
      <c r="K127" s="3" t="n"/>
      <c r="L127" s="3" t="n"/>
      <c r="M127" s="4" t="inlineStr">
        <is>
          <t>Form10_2026-05-07 p504</t>
        </is>
      </c>
    </row>
    <row r="128">
      <c r="A128" s="39" t="inlineStr">
        <is>
          <t>Balance as of March 31</t>
        </is>
      </c>
      <c r="B128" s="3" t="n"/>
      <c r="C128" s="3" t="n"/>
      <c r="D128" s="3" t="n"/>
      <c r="E128" s="3" t="n"/>
      <c r="F128" s="18" t="n">
        <v>11694</v>
      </c>
      <c r="G128" s="3" t="n"/>
      <c r="H128" s="3" t="n"/>
      <c r="I128" s="18" t="n">
        <v>11586</v>
      </c>
      <c r="J128" s="3" t="n"/>
      <c r="K128" s="3" t="n"/>
      <c r="L128" s="3" t="n"/>
      <c r="M128" s="4" t="inlineStr">
        <is>
          <t>Form10_2026-05-07 p504</t>
        </is>
      </c>
    </row>
    <row r="129">
      <c r="A129" s="14" t="inlineStr">
        <is>
          <t>Form10_2026-05-07 · Condensed Combined Statements of Equity - Accumulated Other Comprehensive Income (Loss)</t>
        </is>
      </c>
      <c r="B129" s="15" t="n"/>
      <c r="C129" s="15" t="n"/>
      <c r="D129" s="15" t="n"/>
      <c r="E129" s="15" t="n"/>
      <c r="F129" s="15" t="n"/>
      <c r="G129" s="15" t="n"/>
      <c r="H129" s="15" t="n"/>
      <c r="I129" s="15" t="n"/>
      <c r="J129" s="15" t="n"/>
      <c r="K129" s="15" t="n"/>
      <c r="L129" s="15" t="n"/>
      <c r="M129" s="15" t="n"/>
    </row>
    <row r="130">
      <c r="A130" s="38" t="inlineStr">
        <is>
          <t>Balance as of December 31 (opening)</t>
        </is>
      </c>
      <c r="B130" s="3" t="n"/>
      <c r="C130" s="3" t="n"/>
      <c r="D130" s="3" t="n"/>
      <c r="E130" s="3" t="n"/>
      <c r="F130" s="30" t="n">
        <v>3</v>
      </c>
      <c r="G130" s="3" t="n"/>
      <c r="H130" s="3" t="n"/>
      <c r="I130" s="30" t="n">
        <v>-4</v>
      </c>
      <c r="J130" s="3" t="n"/>
      <c r="K130" s="3" t="n"/>
      <c r="L130" s="3" t="n"/>
      <c r="M130" s="4" t="inlineStr">
        <is>
          <t>Form10_2026-05-07 p504</t>
        </is>
      </c>
    </row>
    <row r="131">
      <c r="A131" s="38" t="inlineStr">
        <is>
          <t>Comprehensive income (loss), net of tax</t>
        </is>
      </c>
      <c r="B131" s="3" t="n"/>
      <c r="C131" s="3" t="n"/>
      <c r="D131" s="3" t="n"/>
      <c r="E131" s="3" t="n"/>
      <c r="F131" s="30" t="n">
        <v>-1</v>
      </c>
      <c r="G131" s="3" t="n"/>
      <c r="H131" s="3" t="n"/>
      <c r="I131" s="30" t="n">
        <v>1</v>
      </c>
      <c r="J131" s="3" t="n"/>
      <c r="K131" s="3" t="n"/>
      <c r="L131" s="3" t="n"/>
      <c r="M131" s="4" t="inlineStr">
        <is>
          <t>Form10_2026-05-07 p504</t>
        </is>
      </c>
    </row>
    <row r="132">
      <c r="A132" s="39" t="inlineStr">
        <is>
          <t>Balance as of March 31</t>
        </is>
      </c>
      <c r="B132" s="3" t="n"/>
      <c r="C132" s="3" t="n"/>
      <c r="D132" s="3" t="n"/>
      <c r="E132" s="3" t="n"/>
      <c r="F132" s="18" t="n">
        <v>2</v>
      </c>
      <c r="G132" s="3" t="n"/>
      <c r="H132" s="3" t="n"/>
      <c r="I132" s="18" t="n">
        <v>-3</v>
      </c>
      <c r="J132" s="3" t="n"/>
      <c r="K132" s="3" t="n"/>
      <c r="L132" s="3" t="n"/>
      <c r="M132" s="4" t="inlineStr">
        <is>
          <t>Form10_2026-05-07 p504</t>
        </is>
      </c>
    </row>
    <row r="133">
      <c r="A133" s="14" t="inlineStr">
        <is>
          <t>Form10_2026-05-07 · Condensed Combined Statements of Equity - Total Equity</t>
        </is>
      </c>
      <c r="B133" s="15" t="n"/>
      <c r="C133" s="15" t="n"/>
      <c r="D133" s="15" t="n"/>
      <c r="E133" s="15" t="n"/>
      <c r="F133" s="15" t="n"/>
      <c r="G133" s="15" t="n"/>
      <c r="H133" s="15" t="n"/>
      <c r="I133" s="15" t="n"/>
      <c r="J133" s="15" t="n"/>
      <c r="K133" s="15" t="n"/>
      <c r="L133" s="15" t="n"/>
      <c r="M133" s="15" t="n"/>
    </row>
    <row r="134">
      <c r="A134" s="38" t="inlineStr">
        <is>
          <t>Balance as of December 31 (opening)</t>
        </is>
      </c>
      <c r="B134" s="3" t="n"/>
      <c r="C134" s="3" t="n"/>
      <c r="D134" s="3" t="n"/>
      <c r="E134" s="3" t="n"/>
      <c r="F134" s="30" t="n">
        <v>11683</v>
      </c>
      <c r="G134" s="3" t="n"/>
      <c r="H134" s="3" t="n"/>
      <c r="I134" s="30" t="n">
        <v>11485</v>
      </c>
      <c r="J134" s="3" t="n"/>
      <c r="K134" s="3" t="n"/>
      <c r="L134" s="3" t="n"/>
      <c r="M134" s="4" t="inlineStr">
        <is>
          <t>Form10_2026-05-07 p504</t>
        </is>
      </c>
    </row>
    <row r="135">
      <c r="A135" s="38" t="inlineStr">
        <is>
          <t>Comprehensive income (loss), net of tax</t>
        </is>
      </c>
      <c r="B135" s="3" t="n"/>
      <c r="C135" s="3" t="n"/>
      <c r="D135" s="3" t="n"/>
      <c r="E135" s="3" t="n"/>
      <c r="F135" s="30" t="n">
        <v>57</v>
      </c>
      <c r="G135" s="3" t="n"/>
      <c r="H135" s="3" t="n"/>
      <c r="I135" s="30" t="n">
        <v>56</v>
      </c>
      <c r="J135" s="3" t="n"/>
      <c r="K135" s="3" t="n"/>
      <c r="L135" s="3" t="n"/>
      <c r="M135" s="4" t="inlineStr">
        <is>
          <t>Form10_2026-05-07 p504</t>
        </is>
      </c>
    </row>
    <row r="136">
      <c r="A136" s="38" t="inlineStr">
        <is>
          <t>Net increase (decrease) in Parent company investment</t>
        </is>
      </c>
      <c r="B136" s="3" t="n"/>
      <c r="C136" s="3" t="n"/>
      <c r="D136" s="3" t="n"/>
      <c r="E136" s="3" t="n"/>
      <c r="F136" s="30" t="n">
        <v>-44</v>
      </c>
      <c r="G136" s="3" t="n"/>
      <c r="H136" s="3" t="n"/>
      <c r="I136" s="30" t="n">
        <v>42</v>
      </c>
      <c r="J136" s="3" t="n"/>
      <c r="K136" s="3" t="n"/>
      <c r="L136" s="3" t="n"/>
      <c r="M136" s="4" t="inlineStr">
        <is>
          <t>Form10_2026-05-07 p504</t>
        </is>
      </c>
    </row>
    <row r="137">
      <c r="A137" s="39" t="inlineStr">
        <is>
          <t>Balance as of March 31</t>
        </is>
      </c>
      <c r="B137" s="3" t="n"/>
      <c r="C137" s="3" t="n"/>
      <c r="D137" s="3" t="n"/>
      <c r="E137" s="3" t="n"/>
      <c r="F137" s="18" t="n">
        <v>11696</v>
      </c>
      <c r="G137" s="3" t="n"/>
      <c r="H137" s="3" t="n"/>
      <c r="I137" s="18" t="n">
        <v>11583</v>
      </c>
      <c r="J137" s="3" t="n"/>
      <c r="K137" s="3" t="n"/>
      <c r="L137" s="3" t="n"/>
      <c r="M137" s="4" t="inlineStr">
        <is>
          <t>Form10_2026-05-07 p504</t>
        </is>
      </c>
    </row>
    <row r="138">
      <c r="A138" s="14" t="inlineStr">
        <is>
          <t>10Q_Q2-2026 · Condensed Combined Statements of Equity - Parent Company Investment</t>
        </is>
      </c>
      <c r="B138" s="15" t="n"/>
      <c r="C138" s="15" t="n"/>
      <c r="D138" s="15" t="n"/>
      <c r="E138" s="15" t="n"/>
      <c r="F138" s="15" t="n"/>
      <c r="G138" s="15" t="n"/>
      <c r="H138" s="15" t="n"/>
      <c r="I138" s="15" t="n"/>
      <c r="J138" s="15" t="n"/>
      <c r="K138" s="15" t="n"/>
      <c r="L138" s="15" t="n"/>
      <c r="M138" s="15" t="n"/>
    </row>
    <row r="139">
      <c r="A139" s="39" t="inlineStr">
        <is>
          <t>Balance as of December 31 (opening)</t>
        </is>
      </c>
      <c r="B139" s="3" t="n"/>
      <c r="C139" s="3" t="n"/>
      <c r="D139" s="3" t="n"/>
      <c r="E139" s="3" t="n"/>
      <c r="F139" s="18" t="n">
        <v>11680</v>
      </c>
      <c r="G139" s="3" t="n"/>
      <c r="H139" s="3" t="n"/>
      <c r="I139" s="18" t="n">
        <v>11489</v>
      </c>
      <c r="J139" s="3" t="n"/>
      <c r="K139" s="3" t="n"/>
      <c r="L139" s="3" t="n"/>
      <c r="M139" s="4" t="inlineStr">
        <is>
          <t>10Q_Q2-2026 p8</t>
        </is>
      </c>
    </row>
    <row r="140">
      <c r="A140" s="38" t="inlineStr">
        <is>
          <t>Comprehensive income, net of tax</t>
        </is>
      </c>
      <c r="B140" s="3" t="n"/>
      <c r="C140" s="3" t="n"/>
      <c r="D140" s="3" t="n"/>
      <c r="E140" s="3" t="n"/>
      <c r="F140" s="3" t="n"/>
      <c r="G140" s="30" t="n">
        <v>65</v>
      </c>
      <c r="H140" s="3" t="n"/>
      <c r="I140" s="30" t="n">
        <v>55</v>
      </c>
      <c r="J140" s="30" t="n">
        <v>53</v>
      </c>
      <c r="K140" s="3" t="n"/>
      <c r="L140" s="3" t="n"/>
      <c r="M140" s="4" t="inlineStr">
        <is>
          <t>10Q_Q2-2026 p8</t>
        </is>
      </c>
    </row>
    <row r="141">
      <c r="A141" s="38" t="inlineStr">
        <is>
          <t>Net increase in Parent company investment</t>
        </is>
      </c>
      <c r="B141" s="3" t="n"/>
      <c r="C141" s="3" t="n"/>
      <c r="D141" s="3" t="n"/>
      <c r="E141" s="3" t="n"/>
      <c r="F141" s="3" t="n"/>
      <c r="G141" s="3" t="n"/>
      <c r="H141" s="3" t="n"/>
      <c r="I141" s="30" t="n">
        <v>42</v>
      </c>
      <c r="J141" s="3" t="n"/>
      <c r="K141" s="3" t="n"/>
      <c r="L141" s="3" t="n"/>
      <c r="M141" s="4" t="inlineStr">
        <is>
          <t>10Q_Q2-2026 p8</t>
        </is>
      </c>
    </row>
    <row r="142">
      <c r="A142" s="39" t="inlineStr">
        <is>
          <t>Balance as of March 31, 2026</t>
        </is>
      </c>
      <c r="B142" s="3" t="n"/>
      <c r="C142" s="3" t="n"/>
      <c r="D142" s="3" t="n"/>
      <c r="E142" s="3" t="n"/>
      <c r="F142" s="3" t="n"/>
      <c r="G142" s="3" t="n"/>
      <c r="H142" s="3" t="n"/>
      <c r="I142" s="18" t="n">
        <v>11586</v>
      </c>
      <c r="J142" s="3" t="n"/>
      <c r="K142" s="3" t="n"/>
      <c r="L142" s="3" t="n"/>
      <c r="M142" s="4" t="inlineStr">
        <is>
          <t>10Q_Q2-2026 p8</t>
        </is>
      </c>
    </row>
    <row r="143">
      <c r="A143" s="38" t="inlineStr">
        <is>
          <t>Net decrease in Parent company investment</t>
        </is>
      </c>
      <c r="B143" s="3" t="n"/>
      <c r="C143" s="3" t="n"/>
      <c r="D143" s="3" t="n"/>
      <c r="E143" s="3" t="n"/>
      <c r="F143" s="30" t="n">
        <v>-44</v>
      </c>
      <c r="G143" s="30" t="n">
        <v>-137</v>
      </c>
      <c r="H143" s="3" t="n"/>
      <c r="I143" s="3" t="n"/>
      <c r="J143" s="30" t="n">
        <v>-1806</v>
      </c>
      <c r="K143" s="3" t="n"/>
      <c r="L143" s="3" t="n"/>
      <c r="M143" s="4" t="inlineStr">
        <is>
          <t>10Q_Q2-2026 p8</t>
        </is>
      </c>
    </row>
    <row r="144">
      <c r="A144" s="39" t="inlineStr">
        <is>
          <t>Balance as of June 30, 2026</t>
        </is>
      </c>
      <c r="B144" s="3" t="n"/>
      <c r="C144" s="3" t="n"/>
      <c r="D144" s="3" t="n"/>
      <c r="E144" s="3" t="n"/>
      <c r="F144" s="3" t="n"/>
      <c r="G144" s="3" t="n"/>
      <c r="H144" s="3" t="n"/>
      <c r="I144" s="3" t="n"/>
      <c r="J144" s="18" t="n">
        <v>9833</v>
      </c>
      <c r="K144" s="3" t="n"/>
      <c r="L144" s="3" t="n"/>
      <c r="M144" s="4" t="inlineStr">
        <is>
          <t>10Q_Q2-2026 p8</t>
        </is>
      </c>
    </row>
    <row r="145">
      <c r="A145" s="38" t="inlineStr">
        <is>
          <t>Comprehensive income (loss), net of tax</t>
        </is>
      </c>
      <c r="B145" s="3" t="n"/>
      <c r="C145" s="3" t="n"/>
      <c r="D145" s="3" t="n"/>
      <c r="E145" s="3" t="n"/>
      <c r="F145" s="30" t="n">
        <v>58</v>
      </c>
      <c r="G145" s="3" t="n"/>
      <c r="H145" s="3" t="n"/>
      <c r="I145" s="3" t="n"/>
      <c r="J145" s="3" t="n"/>
      <c r="K145" s="3" t="n"/>
      <c r="L145" s="3" t="n"/>
      <c r="M145" s="4" t="inlineStr">
        <is>
          <t>10Q_Q2-2026 p8</t>
        </is>
      </c>
    </row>
    <row r="146">
      <c r="A146" s="39" t="inlineStr">
        <is>
          <t>Balance as of March 31, 2025</t>
        </is>
      </c>
      <c r="B146" s="3" t="n"/>
      <c r="C146" s="3" t="n"/>
      <c r="D146" s="3" t="n"/>
      <c r="E146" s="3" t="n"/>
      <c r="F146" s="18" t="n">
        <v>11694</v>
      </c>
      <c r="G146" s="3" t="n"/>
      <c r="H146" s="3" t="n"/>
      <c r="I146" s="3" t="n"/>
      <c r="J146" s="3" t="n"/>
      <c r="K146" s="3" t="n"/>
      <c r="L146" s="3" t="n"/>
      <c r="M146" s="4" t="inlineStr">
        <is>
          <t>10Q_Q2-2026 p8</t>
        </is>
      </c>
    </row>
    <row r="147">
      <c r="A147" s="39" t="inlineStr">
        <is>
          <t>Balance as of June 30, 2025</t>
        </is>
      </c>
      <c r="B147" s="3" t="n"/>
      <c r="C147" s="3" t="n"/>
      <c r="D147" s="3" t="n"/>
      <c r="E147" s="3" t="n"/>
      <c r="F147" s="3" t="n"/>
      <c r="G147" s="18" t="n">
        <v>11622</v>
      </c>
      <c r="H147" s="3" t="n"/>
      <c r="I147" s="3" t="n"/>
      <c r="J147" s="3" t="n"/>
      <c r="K147" s="3" t="n"/>
      <c r="L147" s="3" t="n"/>
      <c r="M147" s="4" t="inlineStr">
        <is>
          <t>10Q_Q2-2026 p8</t>
        </is>
      </c>
    </row>
    <row r="148">
      <c r="A148" s="14" t="inlineStr">
        <is>
          <t>10Q_Q2-2026 · Condensed Combined Statements of Equity - Accumulated Other Comprehensive Income (Loss)</t>
        </is>
      </c>
      <c r="B148" s="15" t="n"/>
      <c r="C148" s="15" t="n"/>
      <c r="D148" s="15" t="n"/>
      <c r="E148" s="15" t="n"/>
      <c r="F148" s="15" t="n"/>
      <c r="G148" s="15" t="n"/>
      <c r="H148" s="15" t="n"/>
      <c r="I148" s="15" t="n"/>
      <c r="J148" s="15" t="n"/>
      <c r="K148" s="15" t="n"/>
      <c r="L148" s="15" t="n"/>
      <c r="M148" s="15" t="n"/>
    </row>
    <row r="149">
      <c r="A149" s="39" t="inlineStr">
        <is>
          <t>Balance as of December 31 (opening)</t>
        </is>
      </c>
      <c r="B149" s="3" t="n"/>
      <c r="C149" s="3" t="n"/>
      <c r="D149" s="3" t="n"/>
      <c r="E149" s="3" t="n"/>
      <c r="F149" s="18" t="n">
        <v>3</v>
      </c>
      <c r="G149" s="3" t="n"/>
      <c r="H149" s="3" t="n"/>
      <c r="I149" s="18" t="n">
        <v>-4</v>
      </c>
      <c r="J149" s="3" t="n"/>
      <c r="K149" s="3" t="n"/>
      <c r="L149" s="3" t="n"/>
      <c r="M149" s="4" t="inlineStr">
        <is>
          <t>10Q_Q2-2026 p8</t>
        </is>
      </c>
    </row>
    <row r="150">
      <c r="A150" s="38" t="inlineStr">
        <is>
          <t>Comprehensive income, net of tax</t>
        </is>
      </c>
      <c r="B150" s="3" t="n"/>
      <c r="C150" s="3" t="n"/>
      <c r="D150" s="3" t="n"/>
      <c r="E150" s="3" t="n"/>
      <c r="F150" s="3" t="n"/>
      <c r="G150" s="30" t="n">
        <v>-7</v>
      </c>
      <c r="H150" s="3" t="n"/>
      <c r="I150" s="30" t="n">
        <v>1</v>
      </c>
      <c r="J150" s="30" t="n">
        <v>5</v>
      </c>
      <c r="K150" s="3" t="n"/>
      <c r="L150" s="3" t="n"/>
      <c r="M150" s="4" t="inlineStr">
        <is>
          <t>10Q_Q2-2026 p8</t>
        </is>
      </c>
    </row>
    <row r="151">
      <c r="A151" s="39" t="inlineStr">
        <is>
          <t>Balance as of March 31, 2026</t>
        </is>
      </c>
      <c r="B151" s="3" t="n"/>
      <c r="C151" s="3" t="n"/>
      <c r="D151" s="3" t="n"/>
      <c r="E151" s="3" t="n"/>
      <c r="F151" s="3" t="n"/>
      <c r="G151" s="3" t="n"/>
      <c r="H151" s="3" t="n"/>
      <c r="I151" s="18" t="n">
        <v>-3</v>
      </c>
      <c r="J151" s="3" t="n"/>
      <c r="K151" s="3" t="n"/>
      <c r="L151" s="3" t="n"/>
      <c r="M151" s="4" t="inlineStr">
        <is>
          <t>10Q_Q2-2026 p8</t>
        </is>
      </c>
    </row>
    <row r="152">
      <c r="A152" s="39" t="inlineStr">
        <is>
          <t>Balance as of June 30, 2026</t>
        </is>
      </c>
      <c r="B152" s="3" t="n"/>
      <c r="C152" s="3" t="n"/>
      <c r="D152" s="3" t="n"/>
      <c r="E152" s="3" t="n"/>
      <c r="F152" s="3" t="n"/>
      <c r="G152" s="3" t="n"/>
      <c r="H152" s="3" t="n"/>
      <c r="I152" s="3" t="n"/>
      <c r="J152" s="18" t="n">
        <v>2</v>
      </c>
      <c r="K152" s="3" t="n"/>
      <c r="L152" s="3" t="n"/>
      <c r="M152" s="4" t="inlineStr">
        <is>
          <t>10Q_Q2-2026 p8</t>
        </is>
      </c>
    </row>
    <row r="153">
      <c r="A153" s="38" t="inlineStr">
        <is>
          <t>Comprehensive income (loss), net of tax</t>
        </is>
      </c>
      <c r="B153" s="3" t="n"/>
      <c r="C153" s="3" t="n"/>
      <c r="D153" s="3" t="n"/>
      <c r="E153" s="3" t="n"/>
      <c r="F153" s="30" t="n">
        <v>-1</v>
      </c>
      <c r="G153" s="3" t="n"/>
      <c r="H153" s="3" t="n"/>
      <c r="I153" s="3" t="n"/>
      <c r="J153" s="3" t="n"/>
      <c r="K153" s="3" t="n"/>
      <c r="L153" s="3" t="n"/>
      <c r="M153" s="4" t="inlineStr">
        <is>
          <t>10Q_Q2-2026 p8</t>
        </is>
      </c>
    </row>
    <row r="154">
      <c r="A154" s="39" t="inlineStr">
        <is>
          <t>Balance as of March 31, 2025</t>
        </is>
      </c>
      <c r="B154" s="3" t="n"/>
      <c r="C154" s="3" t="n"/>
      <c r="D154" s="3" t="n"/>
      <c r="E154" s="3" t="n"/>
      <c r="F154" s="18" t="n">
        <v>2</v>
      </c>
      <c r="G154" s="3" t="n"/>
      <c r="H154" s="3" t="n"/>
      <c r="I154" s="3" t="n"/>
      <c r="J154" s="3" t="n"/>
      <c r="K154" s="3" t="n"/>
      <c r="L154" s="3" t="n"/>
      <c r="M154" s="4" t="inlineStr">
        <is>
          <t>10Q_Q2-2026 p8</t>
        </is>
      </c>
    </row>
    <row r="155">
      <c r="A155" s="39" t="inlineStr">
        <is>
          <t>Balance as of June 30, 2025</t>
        </is>
      </c>
      <c r="B155" s="3" t="n"/>
      <c r="C155" s="3" t="n"/>
      <c r="D155" s="3" t="n"/>
      <c r="E155" s="3" t="n"/>
      <c r="F155" s="3" t="n"/>
      <c r="G155" s="18" t="n">
        <v>-5</v>
      </c>
      <c r="H155" s="3" t="n"/>
      <c r="I155" s="3" t="n"/>
      <c r="J155" s="3" t="n"/>
      <c r="K155" s="3" t="n"/>
      <c r="L155" s="3" t="n"/>
      <c r="M155" s="4" t="inlineStr">
        <is>
          <t>10Q_Q2-2026 p8</t>
        </is>
      </c>
    </row>
    <row r="156">
      <c r="A156" s="14" t="inlineStr">
        <is>
          <t>10Q_Q2-2026 · Condensed Combined Statements of Equity - Total Equity</t>
        </is>
      </c>
      <c r="B156" s="15" t="n"/>
      <c r="C156" s="15" t="n"/>
      <c r="D156" s="15" t="n"/>
      <c r="E156" s="15" t="n"/>
      <c r="F156" s="15" t="n"/>
      <c r="G156" s="15" t="n"/>
      <c r="H156" s="15" t="n"/>
      <c r="I156" s="15" t="n"/>
      <c r="J156" s="15" t="n"/>
      <c r="K156" s="15" t="n"/>
      <c r="L156" s="15" t="n"/>
      <c r="M156" s="15" t="n"/>
    </row>
    <row r="157">
      <c r="A157" s="39" t="inlineStr">
        <is>
          <t>Balance as of December 31 (opening)</t>
        </is>
      </c>
      <c r="B157" s="3" t="n"/>
      <c r="C157" s="3" t="n"/>
      <c r="D157" s="3" t="n"/>
      <c r="E157" s="3" t="n"/>
      <c r="F157" s="18" t="n">
        <v>11683</v>
      </c>
      <c r="G157" s="3" t="n"/>
      <c r="H157" s="3" t="n"/>
      <c r="I157" s="18" t="n">
        <v>11485</v>
      </c>
      <c r="J157" s="3" t="n"/>
      <c r="K157" s="3" t="n"/>
      <c r="L157" s="3" t="n"/>
      <c r="M157" s="4" t="inlineStr">
        <is>
          <t>10Q_Q2-2026 p8</t>
        </is>
      </c>
    </row>
    <row r="158">
      <c r="A158" s="38" t="inlineStr">
        <is>
          <t>Comprehensive income, net of tax</t>
        </is>
      </c>
      <c r="B158" s="3" t="n"/>
      <c r="C158" s="3" t="n"/>
      <c r="D158" s="3" t="n"/>
      <c r="E158" s="3" t="n"/>
      <c r="F158" s="3" t="n"/>
      <c r="G158" s="30" t="n">
        <v>58</v>
      </c>
      <c r="H158" s="3" t="n"/>
      <c r="I158" s="30" t="n">
        <v>56</v>
      </c>
      <c r="J158" s="30" t="n">
        <v>58</v>
      </c>
      <c r="K158" s="3" t="n"/>
      <c r="L158" s="3" t="n"/>
      <c r="M158" s="4" t="inlineStr">
        <is>
          <t>10Q_Q2-2026 p8</t>
        </is>
      </c>
    </row>
    <row r="159">
      <c r="A159" s="38" t="inlineStr">
        <is>
          <t>Net increase in Parent company investment</t>
        </is>
      </c>
      <c r="B159" s="3" t="n"/>
      <c r="C159" s="3" t="n"/>
      <c r="D159" s="3" t="n"/>
      <c r="E159" s="3" t="n"/>
      <c r="F159" s="3" t="n"/>
      <c r="G159" s="3" t="n"/>
      <c r="H159" s="3" t="n"/>
      <c r="I159" s="30" t="n">
        <v>42</v>
      </c>
      <c r="J159" s="3" t="n"/>
      <c r="K159" s="3" t="n"/>
      <c r="L159" s="3" t="n"/>
      <c r="M159" s="4" t="inlineStr">
        <is>
          <t>10Q_Q2-2026 p8</t>
        </is>
      </c>
    </row>
    <row r="160">
      <c r="A160" s="39" t="inlineStr">
        <is>
          <t>Balance as of March 31, 2026</t>
        </is>
      </c>
      <c r="B160" s="3" t="n"/>
      <c r="C160" s="3" t="n"/>
      <c r="D160" s="3" t="n"/>
      <c r="E160" s="3" t="n"/>
      <c r="F160" s="3" t="n"/>
      <c r="G160" s="3" t="n"/>
      <c r="H160" s="3" t="n"/>
      <c r="I160" s="18" t="n">
        <v>11583</v>
      </c>
      <c r="J160" s="3" t="n"/>
      <c r="K160" s="3" t="n"/>
      <c r="L160" s="3" t="n"/>
      <c r="M160" s="4" t="inlineStr">
        <is>
          <t>10Q_Q2-2026 p8</t>
        </is>
      </c>
    </row>
    <row r="161">
      <c r="A161" s="38" t="inlineStr">
        <is>
          <t>Net decrease in Parent company investment</t>
        </is>
      </c>
      <c r="B161" s="3" t="n"/>
      <c r="C161" s="3" t="n"/>
      <c r="D161" s="3" t="n"/>
      <c r="E161" s="3" t="n"/>
      <c r="F161" s="30" t="n">
        <v>-44</v>
      </c>
      <c r="G161" s="30" t="n">
        <v>-137</v>
      </c>
      <c r="H161" s="3" t="n"/>
      <c r="I161" s="3" t="n"/>
      <c r="J161" s="30" t="n">
        <v>-1806</v>
      </c>
      <c r="K161" s="3" t="n"/>
      <c r="L161" s="3" t="n"/>
      <c r="M161" s="4" t="inlineStr">
        <is>
          <t>10Q_Q2-2026 p8</t>
        </is>
      </c>
    </row>
    <row r="162">
      <c r="A162" s="39" t="inlineStr">
        <is>
          <t>Balance as of June 30, 2026</t>
        </is>
      </c>
      <c r="B162" s="3" t="n"/>
      <c r="C162" s="3" t="n"/>
      <c r="D162" s="3" t="n"/>
      <c r="E162" s="3" t="n"/>
      <c r="F162" s="3" t="n"/>
      <c r="G162" s="3" t="n"/>
      <c r="H162" s="3" t="n"/>
      <c r="I162" s="3" t="n"/>
      <c r="J162" s="18" t="n">
        <v>9835</v>
      </c>
      <c r="K162" s="3" t="n"/>
      <c r="L162" s="3" t="n"/>
      <c r="M162" s="4" t="inlineStr">
        <is>
          <t>10Q_Q2-2026 p8</t>
        </is>
      </c>
    </row>
    <row r="163">
      <c r="A163" s="38" t="inlineStr">
        <is>
          <t>Comprehensive income (loss), net of tax</t>
        </is>
      </c>
      <c r="B163" s="3" t="n"/>
      <c r="C163" s="3" t="n"/>
      <c r="D163" s="3" t="n"/>
      <c r="E163" s="3" t="n"/>
      <c r="F163" s="30" t="n">
        <v>57</v>
      </c>
      <c r="G163" s="3" t="n"/>
      <c r="H163" s="3" t="n"/>
      <c r="I163" s="3" t="n"/>
      <c r="J163" s="3" t="n"/>
      <c r="K163" s="3" t="n"/>
      <c r="L163" s="3" t="n"/>
      <c r="M163" s="4" t="inlineStr">
        <is>
          <t>10Q_Q2-2026 p8</t>
        </is>
      </c>
    </row>
    <row r="164">
      <c r="A164" s="39" t="inlineStr">
        <is>
          <t>Balance as of March 31, 2025</t>
        </is>
      </c>
      <c r="B164" s="3" t="n"/>
      <c r="C164" s="3" t="n"/>
      <c r="D164" s="3" t="n"/>
      <c r="E164" s="3" t="n"/>
      <c r="F164" s="18" t="n">
        <v>11696</v>
      </c>
      <c r="G164" s="3" t="n"/>
      <c r="H164" s="3" t="n"/>
      <c r="I164" s="3" t="n"/>
      <c r="J164" s="3" t="n"/>
      <c r="K164" s="3" t="n"/>
      <c r="L164" s="3" t="n"/>
      <c r="M164" s="4" t="inlineStr">
        <is>
          <t>10Q_Q2-2026 p8</t>
        </is>
      </c>
    </row>
    <row r="165">
      <c r="A165" s="39" t="inlineStr">
        <is>
          <t>Balance as of June 30, 2025</t>
        </is>
      </c>
      <c r="B165" s="3" t="n"/>
      <c r="C165" s="3" t="n"/>
      <c r="D165" s="3" t="n"/>
      <c r="E165" s="3" t="n"/>
      <c r="F165" s="3" t="n"/>
      <c r="G165" s="18" t="n">
        <v>11617</v>
      </c>
      <c r="H165" s="3" t="n"/>
      <c r="I165" s="3" t="n"/>
      <c r="J165" s="3" t="n"/>
      <c r="K165" s="3" t="n"/>
      <c r="L165" s="3" t="n"/>
      <c r="M165" s="4" t="inlineStr">
        <is>
          <t>10Q_Q2-2026 p8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45" customWidth="1" min="12" max="12"/>
    <col hidden="1" width="13" customWidth="1" min="26" max="26"/>
  </cols>
  <sheetData>
    <row r="1" ht="20" customHeight="1">
      <c r="A1" s="1" t="inlineStr">
        <is>
          <t>Other comprehensive income</t>
        </is>
      </c>
      <c r="B1" s="2" t="n"/>
      <c r="C1" s="2" t="n"/>
      <c r="D1" s="2" t="n"/>
      <c r="E1" s="2" t="n"/>
      <c r="F1" s="2" t="n"/>
      <c r="G1" s="2" t="n"/>
      <c r="H1" s="2" t="n"/>
      <c r="I1" s="2" t="n"/>
      <c r="J1" s="2" t="n"/>
      <c r="K1" s="2" t="n"/>
      <c r="L1" s="2" t="n"/>
    </row>
    <row r="2">
      <c r="A2" s="4" t="inlineStr">
        <is>
          <t>As printed; see notes_NOTES.md for unreadable cells and tables that do not foot.</t>
        </is>
      </c>
      <c r="B2" s="3" t="n"/>
      <c r="C2" s="3" t="n"/>
      <c r="D2" s="3" t="n"/>
      <c r="E2" s="3" t="n"/>
      <c r="F2" s="3" t="n"/>
      <c r="G2" s="3" t="n"/>
      <c r="H2" s="3" t="n"/>
      <c r="I2" s="3" t="n"/>
      <c r="J2" s="3" t="n"/>
      <c r="K2" s="3" t="n"/>
      <c r="L2" s="3" t="n"/>
    </row>
    <row r="3">
      <c r="A3" s="3" t="n"/>
      <c r="B3" s="3" t="n"/>
      <c r="C3" s="3" t="n"/>
      <c r="D3" s="3" t="n"/>
      <c r="E3" s="3" t="n"/>
      <c r="F3" s="3" t="n"/>
      <c r="G3" s="3" t="n"/>
      <c r="H3" s="3" t="n"/>
      <c r="I3" s="3" t="n"/>
      <c r="J3" s="3" t="n"/>
      <c r="K3" s="3" t="n"/>
      <c r="L3" s="3" t="n"/>
    </row>
    <row r="4">
      <c r="A4" s="9" t="inlineStr">
        <is>
          <t>Line item (verbatim caption)</t>
        </is>
      </c>
      <c r="B4" s="29" t="inlineStr">
        <is>
          <t>FY2022</t>
        </is>
      </c>
      <c r="C4" s="29" t="inlineStr">
        <is>
          <t>FY2023</t>
        </is>
      </c>
      <c r="D4" s="29" t="inlineStr">
        <is>
          <t>FY2024</t>
        </is>
      </c>
      <c r="E4" s="29" t="inlineStr">
        <is>
          <t>FY2025</t>
        </is>
      </c>
      <c r="F4" s="29" t="inlineStr">
        <is>
          <t>Q1-2025</t>
        </is>
      </c>
      <c r="G4" s="29" t="inlineStr">
        <is>
          <t>Q2-2025</t>
        </is>
      </c>
      <c r="H4" s="29" t="inlineStr">
        <is>
          <t>6M-2025</t>
        </is>
      </c>
      <c r="I4" s="29" t="inlineStr">
        <is>
          <t>Q1-2026</t>
        </is>
      </c>
      <c r="J4" s="29" t="inlineStr">
        <is>
          <t>Q2-2026</t>
        </is>
      </c>
      <c r="K4" s="29" t="inlineStr">
        <is>
          <t>6M-2026</t>
        </is>
      </c>
      <c r="L4" s="29" t="inlineStr">
        <is>
          <t>Source (doc p.)</t>
        </is>
      </c>
    </row>
    <row r="5">
      <c r="A5" s="14" t="inlineStr">
        <is>
          <t>Form10A_2026-05-27 · OCI</t>
        </is>
      </c>
      <c r="B5" s="15" t="n"/>
      <c r="C5" s="15" t="n"/>
      <c r="D5" s="15" t="n"/>
      <c r="E5" s="15" t="n"/>
      <c r="F5" s="15" t="n"/>
      <c r="G5" s="15" t="n"/>
      <c r="H5" s="15" t="n"/>
      <c r="I5" s="15" t="n"/>
      <c r="J5" s="15" t="n"/>
      <c r="K5" s="15" t="n"/>
      <c r="L5" s="15" t="n"/>
    </row>
    <row r="6">
      <c r="A6" s="38" t="inlineStr">
        <is>
          <t>Foreign currency translation adjustments</t>
        </is>
      </c>
      <c r="B6" s="3" t="n"/>
      <c r="C6" s="30" t="n">
        <v>-6</v>
      </c>
      <c r="D6" s="30" t="n">
        <v>18</v>
      </c>
      <c r="E6" s="30" t="n">
        <v>-7</v>
      </c>
      <c r="F6" s="30" t="n">
        <v>-1</v>
      </c>
      <c r="G6" s="3" t="n"/>
      <c r="H6" s="3" t="n"/>
      <c r="I6" s="30" t="n">
        <v>1</v>
      </c>
      <c r="J6" s="3" t="n"/>
      <c r="K6" s="3" t="n"/>
      <c r="L6" s="4" t="inlineStr">
        <is>
          <t>Form10A_2026-05-27 p423; Form10A_2026-05-27 p441</t>
        </is>
      </c>
    </row>
    <row r="7">
      <c r="A7" s="14" t="inlineStr">
        <is>
          <t>Form10A_2026-05-27 · AOCI balance</t>
        </is>
      </c>
      <c r="B7" s="15" t="n"/>
      <c r="C7" s="15" t="n"/>
      <c r="D7" s="15" t="n"/>
      <c r="E7" s="15" t="n"/>
      <c r="F7" s="15" t="n"/>
      <c r="G7" s="15" t="n"/>
      <c r="H7" s="15" t="n"/>
      <c r="I7" s="15" t="n"/>
      <c r="J7" s="15" t="n"/>
      <c r="K7" s="15" t="n"/>
      <c r="L7" s="15" t="n"/>
    </row>
    <row r="8">
      <c r="A8" s="39" t="inlineStr">
        <is>
          <t>Accumulated Other Comprehensive Income (Loss) balance as of January 1 2023</t>
        </is>
      </c>
      <c r="B8" s="18" t="n">
        <v>-9</v>
      </c>
      <c r="C8" s="3" t="n"/>
      <c r="D8" s="3" t="n"/>
      <c r="E8" s="3" t="n"/>
      <c r="F8" s="3" t="n"/>
      <c r="G8" s="3" t="n"/>
      <c r="H8" s="3" t="n"/>
      <c r="I8" s="3" t="n"/>
      <c r="J8" s="3" t="n"/>
      <c r="K8" s="3" t="n"/>
      <c r="L8" s="4" t="inlineStr">
        <is>
          <t>Form10A_2026-05-27 p444</t>
        </is>
      </c>
    </row>
    <row r="9">
      <c r="A9" s="39" t="inlineStr">
        <is>
          <t>Accumulated Other Comprehensive Income (Loss) balance</t>
        </is>
      </c>
      <c r="B9" s="3" t="n"/>
      <c r="C9" s="18" t="n">
        <v>-15</v>
      </c>
      <c r="D9" s="18" t="n">
        <v>3</v>
      </c>
      <c r="E9" s="18" t="n">
        <v>-4</v>
      </c>
      <c r="F9" s="18" t="n">
        <v>2</v>
      </c>
      <c r="G9" s="3" t="n"/>
      <c r="H9" s="3" t="n"/>
      <c r="I9" s="18" t="n">
        <v>-3</v>
      </c>
      <c r="J9" s="3" t="n"/>
      <c r="K9" s="3" t="n"/>
      <c r="L9" s="4" t="inlineStr">
        <is>
          <t>Form10A_2026-05-27 p426; Form10A_2026-05-27 p444</t>
        </is>
      </c>
    </row>
    <row r="10">
      <c r="A10" s="14" t="inlineStr">
        <is>
          <t>10Q_Q2-2026 · OCI</t>
        </is>
      </c>
      <c r="B10" s="15" t="n"/>
      <c r="C10" s="15" t="n"/>
      <c r="D10" s="15" t="n"/>
      <c r="E10" s="15" t="n"/>
      <c r="F10" s="15" t="n"/>
      <c r="G10" s="15" t="n"/>
      <c r="H10" s="15" t="n"/>
      <c r="I10" s="15" t="n"/>
      <c r="J10" s="15" t="n"/>
      <c r="K10" s="15" t="n"/>
      <c r="L10" s="15" t="n"/>
    </row>
    <row r="11">
      <c r="A11" s="38" t="inlineStr">
        <is>
          <t>Foreign currency translation adjustments</t>
        </is>
      </c>
      <c r="B11" s="3" t="n"/>
      <c r="C11" s="3" t="n"/>
      <c r="D11" s="3" t="n"/>
      <c r="E11" s="3" t="n"/>
      <c r="F11" s="3" t="n"/>
      <c r="G11" s="30" t="n">
        <v>-7</v>
      </c>
      <c r="H11" s="30" t="n">
        <v>-8</v>
      </c>
      <c r="I11" s="3" t="n"/>
      <c r="J11" s="30" t="n">
        <v>5</v>
      </c>
      <c r="K11" s="30" t="n">
        <v>6</v>
      </c>
      <c r="L11" s="4" t="inlineStr">
        <is>
          <t>10Q_Q2-2026 p5</t>
        </is>
      </c>
    </row>
    <row r="12">
      <c r="A12" s="14" t="inlineStr">
        <is>
          <t>10Q_Q2-2026 · AOCI balance</t>
        </is>
      </c>
      <c r="B12" s="15" t="n"/>
      <c r="C12" s="15" t="n"/>
      <c r="D12" s="15" t="n"/>
      <c r="E12" s="15" t="n"/>
      <c r="F12" s="15" t="n"/>
      <c r="G12" s="15" t="n"/>
      <c r="H12" s="15" t="n"/>
      <c r="I12" s="15" t="n"/>
      <c r="J12" s="15" t="n"/>
      <c r="K12" s="15" t="n"/>
      <c r="L12" s="15" t="n"/>
    </row>
    <row r="13">
      <c r="A13" s="39" t="inlineStr">
        <is>
          <t>Accumulated Other Comprehensive Income (Loss) balance</t>
        </is>
      </c>
      <c r="B13" s="3" t="n"/>
      <c r="C13" s="3" t="n"/>
      <c r="D13" s="3" t="n"/>
      <c r="E13" s="3" t="n"/>
      <c r="F13" s="3" t="n"/>
      <c r="G13" s="18" t="n">
        <v>-5</v>
      </c>
      <c r="H13" s="3" t="n"/>
      <c r="I13" s="3" t="n"/>
      <c r="J13" s="18" t="n">
        <v>2</v>
      </c>
      <c r="K13" s="3" t="n"/>
      <c r="L13" s="4" t="inlineStr">
        <is>
          <t>10Q_Q2-2026 p8</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5" customWidth="1" min="11" max="11"/>
    <col hidden="1" width="13" customWidth="1" min="26" max="26"/>
  </cols>
  <sheetData>
    <row r="1" ht="20" customHeight="1">
      <c r="A1" s="1" t="inlineStr">
        <is>
          <t>Retirement plans (defined contribution only; no defined-benefit plan disclosed)</t>
        </is>
      </c>
      <c r="B1" s="2" t="n"/>
      <c r="C1" s="2" t="n"/>
      <c r="D1" s="2" t="n"/>
      <c r="E1" s="2" t="n"/>
      <c r="F1" s="2" t="n"/>
      <c r="G1" s="2" t="n"/>
      <c r="H1" s="2" t="n"/>
      <c r="I1" s="2" t="n"/>
      <c r="J1" s="2" t="n"/>
      <c r="K1" s="2" t="n"/>
    </row>
    <row r="2">
      <c r="A2" s="4" t="inlineStr">
        <is>
          <t>As printed; see notes_NOTES.md for unreadable cells and tables that do not foot.</t>
        </is>
      </c>
      <c r="B2" s="3" t="n"/>
      <c r="C2" s="3" t="n"/>
      <c r="D2" s="3" t="n"/>
      <c r="E2" s="3" t="n"/>
      <c r="F2" s="3" t="n"/>
      <c r="G2" s="3" t="n"/>
      <c r="H2" s="3" t="n"/>
      <c r="I2" s="3" t="n"/>
      <c r="J2" s="3" t="n"/>
      <c r="K2" s="3" t="n"/>
    </row>
    <row r="3">
      <c r="A3" s="3" t="n"/>
      <c r="B3" s="3" t="n"/>
      <c r="C3" s="3" t="n"/>
      <c r="D3" s="3" t="n"/>
      <c r="E3" s="3" t="n"/>
      <c r="F3" s="3" t="n"/>
      <c r="G3" s="3" t="n"/>
      <c r="H3" s="3" t="n"/>
      <c r="I3" s="3" t="n"/>
      <c r="J3" s="3" t="n"/>
      <c r="K3" s="3" t="n"/>
    </row>
    <row r="4">
      <c r="A4" s="9" t="inlineStr">
        <is>
          <t>Line item (verbatim caption)</t>
        </is>
      </c>
      <c r="B4" s="29" t="inlineStr">
        <is>
          <t>FY2023</t>
        </is>
      </c>
      <c r="C4" s="29" t="inlineStr">
        <is>
          <t>FY2024</t>
        </is>
      </c>
      <c r="D4" s="29" t="inlineStr">
        <is>
          <t>FY2025</t>
        </is>
      </c>
      <c r="E4" s="29" t="inlineStr">
        <is>
          <t>Q1-2025</t>
        </is>
      </c>
      <c r="F4" s="29" t="inlineStr">
        <is>
          <t>Q2-2025</t>
        </is>
      </c>
      <c r="G4" s="29" t="inlineStr">
        <is>
          <t>6M-2025</t>
        </is>
      </c>
      <c r="H4" s="29" t="inlineStr">
        <is>
          <t>Q1-2026</t>
        </is>
      </c>
      <c r="I4" s="29" t="inlineStr">
        <is>
          <t>Q2-2026</t>
        </is>
      </c>
      <c r="J4" s="29" t="inlineStr">
        <is>
          <t>6M-2026</t>
        </is>
      </c>
      <c r="K4" s="29" t="inlineStr">
        <is>
          <t>Source (doc p.)</t>
        </is>
      </c>
    </row>
    <row r="5">
      <c r="A5" s="14" t="inlineStr">
        <is>
          <t>Form10A_2026-05-27 · Defined Contribution Plan</t>
        </is>
      </c>
      <c r="B5" s="15" t="n"/>
      <c r="C5" s="15" t="n"/>
      <c r="D5" s="15" t="n"/>
      <c r="E5" s="15" t="n"/>
      <c r="F5" s="15" t="n"/>
      <c r="G5" s="15" t="n"/>
      <c r="H5" s="15" t="n"/>
      <c r="I5" s="15" t="n"/>
      <c r="J5" s="15" t="n"/>
      <c r="K5" s="15" t="n"/>
    </row>
    <row r="6">
      <c r="A6" s="38" t="inlineStr">
        <is>
          <t>401(k) plan expense for Mobility employees</t>
        </is>
      </c>
      <c r="B6" s="30" t="n">
        <v>18</v>
      </c>
      <c r="C6" s="30" t="n">
        <v>20</v>
      </c>
      <c r="D6" s="30" t="n">
        <v>22</v>
      </c>
      <c r="E6" s="30" t="n">
        <v>7</v>
      </c>
      <c r="F6" s="3" t="n"/>
      <c r="G6" s="3" t="n"/>
      <c r="H6" s="30" t="n">
        <v>8</v>
      </c>
      <c r="I6" s="3" t="n"/>
      <c r="J6" s="3" t="n"/>
      <c r="K6" s="4" t="inlineStr">
        <is>
          <t>Form10A_2026-05-27 p430; Form10A_2026-05-27 p458</t>
        </is>
      </c>
    </row>
    <row r="7">
      <c r="A7" s="14" t="inlineStr">
        <is>
          <t>10Q_Q2-2026 · Defined Contribution Plan</t>
        </is>
      </c>
      <c r="B7" s="15" t="n"/>
      <c r="C7" s="15" t="n"/>
      <c r="D7" s="15" t="n"/>
      <c r="E7" s="15" t="n"/>
      <c r="F7" s="15" t="n"/>
      <c r="G7" s="15" t="n"/>
      <c r="H7" s="15" t="n"/>
      <c r="I7" s="15" t="n"/>
      <c r="J7" s="15" t="n"/>
      <c r="K7" s="15" t="n"/>
    </row>
    <row r="8">
      <c r="A8" s="38" t="inlineStr">
        <is>
          <t>401(k) plan expense for Mobility Global employees</t>
        </is>
      </c>
      <c r="B8" s="3" t="n"/>
      <c r="C8" s="3" t="n"/>
      <c r="D8" s="3" t="n"/>
      <c r="E8" s="3" t="n"/>
      <c r="F8" s="30" t="n">
        <v>6</v>
      </c>
      <c r="G8" s="30" t="n">
        <v>12</v>
      </c>
      <c r="H8" s="3" t="n"/>
      <c r="I8" s="30" t="n">
        <v>5</v>
      </c>
      <c r="J8" s="30" t="n">
        <v>13</v>
      </c>
      <c r="K8" s="4" t="inlineStr">
        <is>
          <t>10Q_Q2-2026 p13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6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45" customWidth="1" min="5" max="5"/>
    <col hidden="1" width="13" customWidth="1" min="26" max="26"/>
  </cols>
  <sheetData>
    <row r="1" ht="20" customHeight="1">
      <c r="A1" s="1" t="inlineStr">
        <is>
          <t>Goodwill by segment and intangible assets by class</t>
        </is>
      </c>
      <c r="B1" s="2" t="n"/>
      <c r="C1" s="2" t="n"/>
      <c r="D1" s="2" t="n"/>
      <c r="E1" s="2" t="n"/>
    </row>
    <row r="2">
      <c r="A2" s="4" t="inlineStr">
        <is>
          <t>As printed; see notes_NOTES.md for unreadable cells and tables that do not foot.</t>
        </is>
      </c>
      <c r="B2" s="3" t="n"/>
      <c r="C2" s="3" t="n"/>
      <c r="D2" s="3" t="n"/>
      <c r="E2" s="3" t="n"/>
    </row>
    <row r="3">
      <c r="A3" s="3" t="n"/>
      <c r="B3" s="3" t="n"/>
      <c r="C3" s="3" t="n"/>
      <c r="D3" s="3" t="n"/>
      <c r="E3" s="3" t="n"/>
    </row>
    <row r="4">
      <c r="A4" s="9" t="inlineStr">
        <is>
          <t>Line item (verbatim caption)</t>
        </is>
      </c>
      <c r="B4" s="29" t="inlineStr">
        <is>
          <t>FY2023</t>
        </is>
      </c>
      <c r="C4" s="29" t="inlineStr">
        <is>
          <t>FY2024</t>
        </is>
      </c>
      <c r="D4" s="29" t="inlineStr">
        <is>
          <t>FY2025</t>
        </is>
      </c>
      <c r="E4" s="29" t="inlineStr">
        <is>
          <t>Source (doc p.)</t>
        </is>
      </c>
    </row>
    <row r="5">
      <c r="A5" s="14" t="inlineStr">
        <is>
          <t>Form10A_2026-05-27 · Market Scan acquisition</t>
        </is>
      </c>
      <c r="B5" s="15" t="n"/>
      <c r="C5" s="15" t="n"/>
      <c r="D5" s="15" t="n"/>
      <c r="E5" s="15" t="n"/>
    </row>
    <row r="6">
      <c r="A6" s="39" t="inlineStr">
        <is>
          <t>total purchase consideration</t>
        </is>
      </c>
      <c r="B6" s="18" t="n">
        <v>223</v>
      </c>
      <c r="C6" s="3" t="n"/>
      <c r="D6" s="3" t="n"/>
      <c r="E6" s="4" t="inlineStr">
        <is>
          <t>Form10A_2026-05-27 p452</t>
        </is>
      </c>
    </row>
    <row r="7">
      <c r="A7" s="38" t="inlineStr">
        <is>
          <t>cash consideration</t>
        </is>
      </c>
      <c r="B7" s="30" t="n">
        <v>214</v>
      </c>
      <c r="C7" s="3" t="n"/>
      <c r="D7" s="3" t="n"/>
      <c r="E7" s="4" t="inlineStr">
        <is>
          <t>Form10A_2026-05-27 p452</t>
        </is>
      </c>
    </row>
    <row r="8">
      <c r="A8" s="38" t="inlineStr">
        <is>
          <t>contingent consideration liability</t>
        </is>
      </c>
      <c r="B8" s="30" t="n">
        <v>9</v>
      </c>
      <c r="C8" s="3" t="n"/>
      <c r="D8" s="3" t="n"/>
      <c r="E8" s="4" t="inlineStr">
        <is>
          <t>Form10A_2026-05-27 p452</t>
        </is>
      </c>
    </row>
    <row r="9">
      <c r="A9" s="14" t="inlineStr">
        <is>
          <t>Form10A_2026-05-27 · Market Scan PPA</t>
        </is>
      </c>
      <c r="B9" s="15" t="n"/>
      <c r="C9" s="15" t="n"/>
      <c r="D9" s="15" t="n"/>
      <c r="E9" s="15" t="n"/>
    </row>
    <row r="10">
      <c r="A10" s="38" t="inlineStr">
        <is>
          <t>Current assets</t>
        </is>
      </c>
      <c r="B10" s="30" t="n">
        <v>4</v>
      </c>
      <c r="C10" s="3" t="n"/>
      <c r="D10" s="3" t="n"/>
      <c r="E10" s="4" t="inlineStr">
        <is>
          <t>Form10A_2026-05-27 p453</t>
        </is>
      </c>
    </row>
    <row r="11">
      <c r="A11" s="38" t="inlineStr">
        <is>
          <t>Property and equipment</t>
        </is>
      </c>
      <c r="B11" s="30" t="n">
        <v>1</v>
      </c>
      <c r="C11" s="3" t="n"/>
      <c r="D11" s="3" t="n"/>
      <c r="E11" s="4" t="inlineStr">
        <is>
          <t>Form10A_2026-05-27 p453</t>
        </is>
      </c>
    </row>
    <row r="12">
      <c r="A12" s="38" t="inlineStr">
        <is>
          <t>Right of use assets</t>
        </is>
      </c>
      <c r="B12" s="30" t="n">
        <v>1</v>
      </c>
      <c r="C12" s="3" t="n"/>
      <c r="D12" s="3" t="n"/>
      <c r="E12" s="4" t="inlineStr">
        <is>
          <t>Form10A_2026-05-27 p453</t>
        </is>
      </c>
    </row>
    <row r="13">
      <c r="A13" s="38" t="inlineStr">
        <is>
          <t>Goodwill</t>
        </is>
      </c>
      <c r="B13" s="30" t="n">
        <v>150</v>
      </c>
      <c r="C13" s="3" t="n"/>
      <c r="D13" s="3" t="n"/>
      <c r="E13" s="4" t="inlineStr">
        <is>
          <t>Form10A_2026-05-27 p453</t>
        </is>
      </c>
    </row>
    <row r="14">
      <c r="A14" s="38" t="inlineStr">
        <is>
          <t>Other intangible assets</t>
        </is>
      </c>
      <c r="B14" s="30" t="n">
        <v>97</v>
      </c>
      <c r="C14" s="3" t="n"/>
      <c r="D14" s="3" t="n"/>
      <c r="E14" s="4" t="inlineStr">
        <is>
          <t>Form10A_2026-05-27 p453</t>
        </is>
      </c>
    </row>
    <row r="15">
      <c r="A15" s="39" t="inlineStr">
        <is>
          <t>Total assets acquired</t>
        </is>
      </c>
      <c r="B15" s="18" t="n">
        <v>253</v>
      </c>
      <c r="C15" s="3" t="n"/>
      <c r="D15" s="3" t="n"/>
      <c r="E15" s="4" t="inlineStr">
        <is>
          <t>Form10A_2026-05-27 p453</t>
        </is>
      </c>
    </row>
    <row r="16">
      <c r="A16" s="38" t="inlineStr">
        <is>
          <t>Accounts payable</t>
        </is>
      </c>
      <c r="B16" s="30" t="n">
        <v>2</v>
      </c>
      <c r="C16" s="3" t="n"/>
      <c r="D16" s="3" t="n"/>
      <c r="E16" s="4" t="inlineStr">
        <is>
          <t>Form10A_2026-05-27 p453</t>
        </is>
      </c>
    </row>
    <row r="17">
      <c r="A17" s="38" t="inlineStr">
        <is>
          <t>Unearned revenue</t>
        </is>
      </c>
      <c r="B17" s="30" t="n">
        <v>22</v>
      </c>
      <c r="C17" s="3" t="n"/>
      <c r="D17" s="3" t="n"/>
      <c r="E17" s="4" t="inlineStr">
        <is>
          <t>Form10A_2026-05-27 p453</t>
        </is>
      </c>
    </row>
    <row r="18">
      <c r="A18" s="38" t="inlineStr">
        <is>
          <t>Lease liabilities - non-current</t>
        </is>
      </c>
      <c r="B18" s="30" t="n">
        <v>1</v>
      </c>
      <c r="C18" s="3" t="n"/>
      <c r="D18" s="3" t="n"/>
      <c r="E18" s="4" t="inlineStr">
        <is>
          <t>Form10A_2026-05-27 p453</t>
        </is>
      </c>
    </row>
    <row r="19">
      <c r="A19" s="38" t="inlineStr">
        <is>
          <t>Deferred tax liability - non-current</t>
        </is>
      </c>
      <c r="B19" s="30" t="n">
        <v>25</v>
      </c>
      <c r="C19" s="3" t="n"/>
      <c r="D19" s="3" t="n"/>
      <c r="E19" s="4" t="inlineStr">
        <is>
          <t>Form10A_2026-05-27 p453</t>
        </is>
      </c>
    </row>
    <row r="20">
      <c r="A20" s="38" t="inlineStr">
        <is>
          <t>Other non-current liabilities</t>
        </is>
      </c>
      <c r="B20" s="30" t="n">
        <v>9</v>
      </c>
      <c r="C20" s="3" t="n"/>
      <c r="D20" s="3" t="n"/>
      <c r="E20" s="4" t="inlineStr">
        <is>
          <t>Form10A_2026-05-27 p453</t>
        </is>
      </c>
    </row>
    <row r="21">
      <c r="A21" s="39" t="inlineStr">
        <is>
          <t>Total liabilities assumed</t>
        </is>
      </c>
      <c r="B21" s="18" t="n">
        <v>39</v>
      </c>
      <c r="C21" s="3" t="n"/>
      <c r="D21" s="3" t="n"/>
      <c r="E21" s="4" t="inlineStr">
        <is>
          <t>Form10A_2026-05-27 p453</t>
        </is>
      </c>
    </row>
    <row r="22">
      <c r="A22" s="39" t="inlineStr">
        <is>
          <t>Net assets acquired</t>
        </is>
      </c>
      <c r="B22" s="18" t="n">
        <v>214</v>
      </c>
      <c r="C22" s="3" t="n"/>
      <c r="D22" s="3" t="n"/>
      <c r="E22" s="4" t="inlineStr">
        <is>
          <t>Form10A_2026-05-27 p453</t>
        </is>
      </c>
    </row>
    <row r="23">
      <c r="A23" s="14" t="inlineStr">
        <is>
          <t>Form10A_2026-05-27 · Market Scan intangibles</t>
        </is>
      </c>
      <c r="B23" s="15" t="n"/>
      <c r="C23" s="15" t="n"/>
      <c r="D23" s="15" t="n"/>
      <c r="E23" s="15" t="n"/>
    </row>
    <row r="24">
      <c r="A24" s="38" t="inlineStr">
        <is>
          <t>Databases and software - fair value (8 years)</t>
        </is>
      </c>
      <c r="B24" s="30" t="n">
        <v>10</v>
      </c>
      <c r="C24" s="3" t="n"/>
      <c r="D24" s="3" t="n"/>
      <c r="E24" s="4" t="inlineStr">
        <is>
          <t>Form10A_2026-05-27 p453</t>
        </is>
      </c>
    </row>
    <row r="25">
      <c r="A25" s="38" t="inlineStr">
        <is>
          <t>Customer relationships - fair value (20 years)</t>
        </is>
      </c>
      <c r="B25" s="30" t="n">
        <v>81</v>
      </c>
      <c r="C25" s="3" t="n"/>
      <c r="D25" s="3" t="n"/>
      <c r="E25" s="4" t="inlineStr">
        <is>
          <t>Form10A_2026-05-27 p453</t>
        </is>
      </c>
    </row>
    <row r="26">
      <c r="A26" s="38" t="inlineStr">
        <is>
          <t>Trade names - fair value (7 years)</t>
        </is>
      </c>
      <c r="B26" s="30" t="n">
        <v>6</v>
      </c>
      <c r="C26" s="3" t="n"/>
      <c r="D26" s="3" t="n"/>
      <c r="E26" s="4" t="inlineStr">
        <is>
          <t>Form10A_2026-05-27 p453</t>
        </is>
      </c>
    </row>
    <row r="27">
      <c r="A27" s="39" t="inlineStr">
        <is>
          <t>Total Identifiable Intangible Assets (18 years weighted average)</t>
        </is>
      </c>
      <c r="B27" s="18" t="n">
        <v>97</v>
      </c>
      <c r="C27" s="3" t="n"/>
      <c r="D27" s="3" t="n"/>
      <c r="E27" s="4" t="inlineStr">
        <is>
          <t>Form10A_2026-05-27 p453</t>
        </is>
      </c>
    </row>
    <row r="28">
      <c r="A28" s="14" t="inlineStr">
        <is>
          <t>Form10A_2026-05-27 · Goodwill by segment</t>
        </is>
      </c>
      <c r="B28" s="15" t="n"/>
      <c r="C28" s="15" t="n"/>
      <c r="D28" s="15" t="n"/>
      <c r="E28" s="15" t="n"/>
    </row>
    <row r="29">
      <c r="A29" s="38" t="inlineStr">
        <is>
          <t>CARFAX</t>
        </is>
      </c>
      <c r="B29" s="30" t="n">
        <v>5912</v>
      </c>
      <c r="C29" s="30" t="n">
        <v>5912</v>
      </c>
      <c r="D29" s="30" t="n">
        <v>5912</v>
      </c>
      <c r="E29" s="4" t="inlineStr">
        <is>
          <t>Form10A_2026-05-27 p454</t>
        </is>
      </c>
    </row>
    <row r="30">
      <c r="A30" s="38" t="inlineStr">
        <is>
          <t>B2B</t>
        </is>
      </c>
      <c r="B30" s="30" t="n">
        <v>2933</v>
      </c>
      <c r="C30" s="30" t="n">
        <v>2933</v>
      </c>
      <c r="D30" s="30" t="n">
        <v>2933</v>
      </c>
      <c r="E30" s="4" t="inlineStr">
        <is>
          <t>Form10A_2026-05-27 p454</t>
        </is>
      </c>
    </row>
    <row r="31">
      <c r="A31" s="39" t="inlineStr">
        <is>
          <t>Total</t>
        </is>
      </c>
      <c r="B31" s="18" t="n">
        <v>8845</v>
      </c>
      <c r="C31" s="18" t="n">
        <v>8845</v>
      </c>
      <c r="D31" s="18" t="n">
        <v>8845</v>
      </c>
      <c r="E31" s="4" t="inlineStr">
        <is>
          <t>Form10A_2026-05-27 p454</t>
        </is>
      </c>
    </row>
    <row r="32">
      <c r="A32" s="14" t="inlineStr">
        <is>
          <t>Form10A_2026-05-27 · Intangibles - Cost</t>
        </is>
      </c>
      <c r="B32" s="15" t="n"/>
      <c r="C32" s="15" t="n"/>
      <c r="D32" s="15" t="n"/>
      <c r="E32" s="15" t="n"/>
    </row>
    <row r="33">
      <c r="A33" s="38" t="inlineStr">
        <is>
          <t>Databases and software</t>
        </is>
      </c>
      <c r="B33" s="30" t="n">
        <v>1077</v>
      </c>
      <c r="C33" s="30" t="n">
        <v>1077</v>
      </c>
      <c r="D33" s="30" t="n">
        <v>1077</v>
      </c>
      <c r="E33" s="4" t="inlineStr">
        <is>
          <t>Form10A_2026-05-27 p454</t>
        </is>
      </c>
    </row>
    <row r="34">
      <c r="A34" s="38" t="inlineStr">
        <is>
          <t>Customer relationships</t>
        </is>
      </c>
      <c r="B34" s="30" t="n">
        <v>2753</v>
      </c>
      <c r="C34" s="30" t="n">
        <v>2753</v>
      </c>
      <c r="D34" s="30" t="n">
        <v>2753</v>
      </c>
      <c r="E34" s="4" t="inlineStr">
        <is>
          <t>Form10A_2026-05-27 p454</t>
        </is>
      </c>
    </row>
    <row r="35">
      <c r="A35" s="38" t="inlineStr">
        <is>
          <t>Trade names</t>
        </is>
      </c>
      <c r="B35" s="30" t="n">
        <v>1087</v>
      </c>
      <c r="C35" s="30" t="n">
        <v>1087</v>
      </c>
      <c r="D35" s="30" t="n">
        <v>1087</v>
      </c>
      <c r="E35" s="4" t="inlineStr">
        <is>
          <t>Form10A_2026-05-27 p454</t>
        </is>
      </c>
    </row>
    <row r="36">
      <c r="A36" s="39" t="inlineStr">
        <is>
          <t>Total</t>
        </is>
      </c>
      <c r="B36" s="18" t="n">
        <v>4917</v>
      </c>
      <c r="C36" s="18" t="n">
        <v>4917</v>
      </c>
      <c r="D36" s="18" t="n">
        <v>4917</v>
      </c>
      <c r="E36" s="4" t="inlineStr">
        <is>
          <t>Form10A_2026-05-27 p454</t>
        </is>
      </c>
    </row>
    <row r="37">
      <c r="A37" s="14" t="inlineStr">
        <is>
          <t>Form10A_2026-05-27 · Intangibles - Accumulated amortization</t>
        </is>
      </c>
      <c r="B37" s="15" t="n"/>
      <c r="C37" s="15" t="n"/>
      <c r="D37" s="15" t="n"/>
      <c r="E37" s="15" t="n"/>
    </row>
    <row r="38">
      <c r="A38" s="38" t="inlineStr">
        <is>
          <t>Databases and software</t>
        </is>
      </c>
      <c r="B38" s="30" t="n">
        <v>181</v>
      </c>
      <c r="C38" s="30" t="n">
        <v>280</v>
      </c>
      <c r="D38" s="30" t="n">
        <v>379</v>
      </c>
      <c r="E38" s="4" t="inlineStr">
        <is>
          <t>Form10A_2026-05-27 p454</t>
        </is>
      </c>
    </row>
    <row r="39">
      <c r="A39" s="38" t="inlineStr">
        <is>
          <t>Customer relationships</t>
        </is>
      </c>
      <c r="B39" s="30" t="n">
        <v>199</v>
      </c>
      <c r="C39" s="30" t="n">
        <v>310</v>
      </c>
      <c r="D39" s="30" t="n">
        <v>421</v>
      </c>
      <c r="E39" s="4" t="inlineStr">
        <is>
          <t>Form10A_2026-05-27 p454</t>
        </is>
      </c>
    </row>
    <row r="40">
      <c r="A40" s="38" t="inlineStr">
        <is>
          <t>Trade names</t>
        </is>
      </c>
      <c r="B40" s="30" t="n">
        <v>156</v>
      </c>
      <c r="C40" s="30" t="n">
        <v>242</v>
      </c>
      <c r="D40" s="30" t="n">
        <v>328</v>
      </c>
      <c r="E40" s="4" t="inlineStr">
        <is>
          <t>Form10A_2026-05-27 p454</t>
        </is>
      </c>
    </row>
    <row r="41">
      <c r="A41" s="39" t="inlineStr">
        <is>
          <t>Total</t>
        </is>
      </c>
      <c r="B41" s="18" t="n">
        <v>536</v>
      </c>
      <c r="C41" s="18" t="n">
        <v>832</v>
      </c>
      <c r="D41" s="18" t="n">
        <v>1128</v>
      </c>
      <c r="E41" s="4" t="inlineStr">
        <is>
          <t>Form10A_2026-05-27 p454</t>
        </is>
      </c>
    </row>
    <row r="42">
      <c r="A42" s="14" t="inlineStr">
        <is>
          <t>Form10A_2026-05-27 · Intangibles - Current year amortization</t>
        </is>
      </c>
      <c r="B42" s="15" t="n"/>
      <c r="C42" s="15" t="n"/>
      <c r="D42" s="15" t="n"/>
      <c r="E42" s="15" t="n"/>
    </row>
    <row r="43">
      <c r="A43" s="38" t="inlineStr">
        <is>
          <t>Databases and software</t>
        </is>
      </c>
      <c r="B43" s="3" t="n"/>
      <c r="C43" s="30" t="n">
        <v>99</v>
      </c>
      <c r="D43" s="30" t="n">
        <v>99</v>
      </c>
      <c r="E43" s="4" t="inlineStr">
        <is>
          <t>Form10A_2026-05-27 p454</t>
        </is>
      </c>
    </row>
    <row r="44">
      <c r="A44" s="38" t="inlineStr">
        <is>
          <t>Customer relationships</t>
        </is>
      </c>
      <c r="B44" s="3" t="n"/>
      <c r="C44" s="30" t="n">
        <v>111</v>
      </c>
      <c r="D44" s="30" t="n">
        <v>111</v>
      </c>
      <c r="E44" s="4" t="inlineStr">
        <is>
          <t>Form10A_2026-05-27 p454</t>
        </is>
      </c>
    </row>
    <row r="45">
      <c r="A45" s="38" t="inlineStr">
        <is>
          <t>Trade names</t>
        </is>
      </c>
      <c r="B45" s="3" t="n"/>
      <c r="C45" s="30" t="n">
        <v>86</v>
      </c>
      <c r="D45" s="30" t="n">
        <v>86</v>
      </c>
      <c r="E45" s="4" t="inlineStr">
        <is>
          <t>Form10A_2026-05-27 p454</t>
        </is>
      </c>
    </row>
    <row r="46">
      <c r="A46" s="39" t="inlineStr">
        <is>
          <t>Total</t>
        </is>
      </c>
      <c r="B46" s="3" t="n"/>
      <c r="C46" s="18" t="n">
        <v>296</v>
      </c>
      <c r="D46" s="18" t="n">
        <v>296</v>
      </c>
      <c r="E46" s="4" t="inlineStr">
        <is>
          <t>Form10A_2026-05-27 p454</t>
        </is>
      </c>
    </row>
    <row r="47">
      <c r="A47" s="14" t="inlineStr">
        <is>
          <t>Form10A_2026-05-27 · Net definite-lived intangibles</t>
        </is>
      </c>
      <c r="B47" s="15" t="n"/>
      <c r="C47" s="15" t="n"/>
      <c r="D47" s="15" t="n"/>
      <c r="E47" s="15" t="n"/>
    </row>
    <row r="48">
      <c r="A48" s="38" t="inlineStr">
        <is>
          <t>Databases and software</t>
        </is>
      </c>
      <c r="B48" s="3" t="n"/>
      <c r="C48" s="30" t="n">
        <v>797</v>
      </c>
      <c r="D48" s="30" t="n">
        <v>698</v>
      </c>
      <c r="E48" s="4" t="inlineStr">
        <is>
          <t>Form10A_2026-05-27 p454</t>
        </is>
      </c>
    </row>
    <row r="49">
      <c r="A49" s="38" t="inlineStr">
        <is>
          <t>Customer relationships</t>
        </is>
      </c>
      <c r="B49" s="3" t="n"/>
      <c r="C49" s="30" t="n">
        <v>2443</v>
      </c>
      <c r="D49" s="30" t="n">
        <v>2332</v>
      </c>
      <c r="E49" s="4" t="inlineStr">
        <is>
          <t>Form10A_2026-05-27 p454</t>
        </is>
      </c>
    </row>
    <row r="50">
      <c r="A50" s="38" t="inlineStr">
        <is>
          <t>Trade names</t>
        </is>
      </c>
      <c r="B50" s="3" t="n"/>
      <c r="C50" s="30" t="n">
        <v>845</v>
      </c>
      <c r="D50" s="30" t="n">
        <v>759</v>
      </c>
      <c r="E50" s="4" t="inlineStr">
        <is>
          <t>Form10A_2026-05-27 p454</t>
        </is>
      </c>
    </row>
    <row r="51">
      <c r="A51" s="39" t="inlineStr">
        <is>
          <t>Total</t>
        </is>
      </c>
      <c r="B51" s="3" t="n"/>
      <c r="C51" s="18" t="n">
        <v>4085</v>
      </c>
      <c r="D51" s="18" t="n">
        <v>3789</v>
      </c>
      <c r="E51" s="4" t="inlineStr">
        <is>
          <t>Form10A_2026-05-27 p454</t>
        </is>
      </c>
    </row>
    <row r="52">
      <c r="A52" s="14" t="inlineStr">
        <is>
          <t>Form10A_2026-05-27 · Expected amortization expense</t>
        </is>
      </c>
      <c r="B52" s="15" t="n"/>
      <c r="C52" s="15" t="n"/>
      <c r="D52" s="15" t="n"/>
      <c r="E52" s="15" t="n"/>
    </row>
    <row r="53">
      <c r="A53" s="38" t="inlineStr">
        <is>
          <t>2026</t>
        </is>
      </c>
      <c r="B53" s="3" t="n"/>
      <c r="C53" s="3" t="n"/>
      <c r="D53" s="30" t="n">
        <v>296</v>
      </c>
      <c r="E53" s="4" t="inlineStr">
        <is>
          <t>Form10A_2026-05-27 p454</t>
        </is>
      </c>
    </row>
    <row r="54">
      <c r="A54" s="38" t="inlineStr">
        <is>
          <t>2027</t>
        </is>
      </c>
      <c r="B54" s="3" t="n"/>
      <c r="C54" s="3" t="n"/>
      <c r="D54" s="30" t="n">
        <v>296</v>
      </c>
      <c r="E54" s="4" t="inlineStr">
        <is>
          <t>Form10A_2026-05-27 p454</t>
        </is>
      </c>
    </row>
    <row r="55">
      <c r="A55" s="38" t="inlineStr">
        <is>
          <t>2028</t>
        </is>
      </c>
      <c r="B55" s="3" t="n"/>
      <c r="C55" s="3" t="n"/>
      <c r="D55" s="30" t="n">
        <v>296</v>
      </c>
      <c r="E55" s="4" t="inlineStr">
        <is>
          <t>Form10A_2026-05-27 p454</t>
        </is>
      </c>
    </row>
    <row r="56">
      <c r="A56" s="38" t="inlineStr">
        <is>
          <t>2029</t>
        </is>
      </c>
      <c r="B56" s="3" t="n"/>
      <c r="C56" s="3" t="n"/>
      <c r="D56" s="30" t="n">
        <v>296</v>
      </c>
      <c r="E56" s="4" t="inlineStr">
        <is>
          <t>Form10A_2026-05-27 p454</t>
        </is>
      </c>
    </row>
    <row r="57">
      <c r="A57" s="38" t="inlineStr">
        <is>
          <t>2030</t>
        </is>
      </c>
      <c r="B57" s="3" t="n"/>
      <c r="C57" s="3" t="n"/>
      <c r="D57" s="30" t="n">
        <v>293</v>
      </c>
      <c r="E57" s="4" t="inlineStr">
        <is>
          <t>Form10A_2026-05-27 p454</t>
        </is>
      </c>
    </row>
    <row r="58">
      <c r="A58" s="14" t="inlineStr">
        <is>
          <t>Form10A_2026-05-27 · Intangibles policy</t>
        </is>
      </c>
      <c r="B58" s="15" t="n"/>
      <c r="C58" s="15" t="n"/>
      <c r="D58" s="15" t="n"/>
      <c r="E58" s="15" t="n"/>
    </row>
    <row r="59">
      <c r="A59" s="38" t="inlineStr">
        <is>
          <t>weighted-average life of the intangible assets (approximately; years)</t>
        </is>
      </c>
      <c r="B59" s="3" t="n"/>
      <c r="C59" s="3" t="n"/>
      <c r="D59" s="40" t="n">
        <v>15</v>
      </c>
      <c r="E59" s="4" t="inlineStr">
        <is>
          <t>Form10A_2026-05-27 p454</t>
        </is>
      </c>
    </row>
    <row r="60">
      <c r="A60" s="38" t="inlineStr">
        <is>
          <t>maximum straight-line amortization period (years)</t>
        </is>
      </c>
      <c r="B60" s="3" t="n"/>
      <c r="C60" s="3" t="n"/>
      <c r="D60" s="40" t="n">
        <v>25</v>
      </c>
      <c r="E60" s="4" t="inlineStr">
        <is>
          <t>Form10A_2026-05-27 p454</t>
        </is>
      </c>
    </row>
    <row r="61">
      <c r="A61" s="14" t="inlineStr">
        <is>
          <t>Form10A_2026-05-27 · Amortization</t>
        </is>
      </c>
      <c r="B61" s="15" t="n"/>
      <c r="C61" s="15" t="n"/>
      <c r="D61" s="15" t="n"/>
      <c r="E61" s="15" t="n"/>
    </row>
    <row r="62">
      <c r="A62" s="38" t="inlineStr">
        <is>
          <t>Amortization expense</t>
        </is>
      </c>
      <c r="B62" s="30" t="n">
        <v>295</v>
      </c>
      <c r="C62" s="30" t="n">
        <v>296</v>
      </c>
      <c r="D62" s="30" t="n">
        <v>296</v>
      </c>
      <c r="E62" s="4" t="inlineStr">
        <is>
          <t>Form10A_2026-05-27 p454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45" customWidth="1" min="11" max="11"/>
    <col hidden="1" width="13" customWidth="1" min="26" max="26"/>
  </cols>
  <sheetData>
    <row r="1" ht="20" customHeight="1">
      <c r="A1" s="1" t="inlineStr">
        <is>
          <t>Related-party transactions and S&amp;P Global allocations</t>
        </is>
      </c>
      <c r="B1" s="2" t="n"/>
      <c r="C1" s="2" t="n"/>
      <c r="D1" s="2" t="n"/>
      <c r="E1" s="2" t="n"/>
      <c r="F1" s="2" t="n"/>
      <c r="G1" s="2" t="n"/>
      <c r="H1" s="2" t="n"/>
      <c r="I1" s="2" t="n"/>
      <c r="J1" s="2" t="n"/>
      <c r="K1" s="2" t="n"/>
    </row>
    <row r="2">
      <c r="A2" s="4" t="inlineStr">
        <is>
          <t>As printed; see notes_NOTES.md for unreadable cells and tables that do not foot.</t>
        </is>
      </c>
      <c r="B2" s="3" t="n"/>
      <c r="C2" s="3" t="n"/>
      <c r="D2" s="3" t="n"/>
      <c r="E2" s="3" t="n"/>
      <c r="F2" s="3" t="n"/>
      <c r="G2" s="3" t="n"/>
      <c r="H2" s="3" t="n"/>
      <c r="I2" s="3" t="n"/>
      <c r="J2" s="3" t="n"/>
      <c r="K2" s="3" t="n"/>
    </row>
    <row r="3">
      <c r="A3" s="3" t="n"/>
      <c r="B3" s="3" t="n"/>
      <c r="C3" s="3" t="n"/>
      <c r="D3" s="3" t="n"/>
      <c r="E3" s="3" t="n"/>
      <c r="F3" s="3" t="n"/>
      <c r="G3" s="3" t="n"/>
      <c r="H3" s="3" t="n"/>
      <c r="I3" s="3" t="n"/>
      <c r="J3" s="3" t="n"/>
      <c r="K3" s="3" t="n"/>
    </row>
    <row r="4">
      <c r="A4" s="9" t="inlineStr">
        <is>
          <t>Line item (verbatim caption)</t>
        </is>
      </c>
      <c r="B4" s="29" t="inlineStr">
        <is>
          <t>FY2023</t>
        </is>
      </c>
      <c r="C4" s="29" t="inlineStr">
        <is>
          <t>FY2024</t>
        </is>
      </c>
      <c r="D4" s="29" t="inlineStr">
        <is>
          <t>FY2025</t>
        </is>
      </c>
      <c r="E4" s="29" t="inlineStr">
        <is>
          <t>Q1-2025</t>
        </is>
      </c>
      <c r="F4" s="29" t="inlineStr">
        <is>
          <t>Q2-2025</t>
        </is>
      </c>
      <c r="G4" s="29" t="inlineStr">
        <is>
          <t>6M-2025</t>
        </is>
      </c>
      <c r="H4" s="29" t="inlineStr">
        <is>
          <t>Q1-2026</t>
        </is>
      </c>
      <c r="I4" s="29" t="inlineStr">
        <is>
          <t>Q2-2026</t>
        </is>
      </c>
      <c r="J4" s="29" t="inlineStr">
        <is>
          <t>6M-2026</t>
        </is>
      </c>
      <c r="K4" s="29" t="inlineStr">
        <is>
          <t>Source (doc p.)</t>
        </is>
      </c>
    </row>
    <row r="5">
      <c r="A5" s="14" t="inlineStr">
        <is>
          <t>Form10A_2026-05-27 · Related party summary</t>
        </is>
      </c>
      <c r="B5" s="15" t="n"/>
      <c r="C5" s="15" t="n"/>
      <c r="D5" s="15" t="n"/>
      <c r="E5" s="15" t="n"/>
      <c r="F5" s="15" t="n"/>
      <c r="G5" s="15" t="n"/>
      <c r="H5" s="15" t="n"/>
      <c r="I5" s="15" t="n"/>
      <c r="J5" s="15" t="n"/>
      <c r="K5" s="15" t="n"/>
    </row>
    <row r="6">
      <c r="A6" s="38" t="inlineStr">
        <is>
          <t>Data sharing revenues</t>
        </is>
      </c>
      <c r="B6" s="30" t="n">
        <v>3</v>
      </c>
      <c r="C6" s="30" t="n">
        <v>3</v>
      </c>
      <c r="D6" s="30" t="n">
        <v>3</v>
      </c>
      <c r="E6" s="30" t="n">
        <v>1</v>
      </c>
      <c r="F6" s="3" t="n"/>
      <c r="G6" s="3" t="n"/>
      <c r="H6" s="30" t="n">
        <v>1</v>
      </c>
      <c r="I6" s="3" t="n"/>
      <c r="J6" s="3" t="n"/>
      <c r="K6" s="4" t="inlineStr">
        <is>
          <t>Form10A_2026-05-27 p434; Form10A_2026-05-27 p465</t>
        </is>
      </c>
    </row>
    <row r="7">
      <c r="A7" s="38" t="inlineStr">
        <is>
          <t>Data sharing expenses (1)</t>
        </is>
      </c>
      <c r="B7" s="30" t="n">
        <v>1</v>
      </c>
      <c r="C7" s="30" t="n">
        <v>1</v>
      </c>
      <c r="D7" s="30" t="n">
        <v>1</v>
      </c>
      <c r="E7" s="3" t="n"/>
      <c r="F7" s="3" t="n"/>
      <c r="G7" s="3" t="n"/>
      <c r="H7" s="3" t="n"/>
      <c r="I7" s="3" t="n"/>
      <c r="J7" s="3" t="n"/>
      <c r="K7" s="4" t="inlineStr">
        <is>
          <t>Form10A_2026-05-27 p465</t>
        </is>
      </c>
    </row>
    <row r="8">
      <c r="A8" s="38" t="inlineStr">
        <is>
          <t>Corporate allocations from Parent (2)</t>
        </is>
      </c>
      <c r="B8" s="30" t="n">
        <v>89</v>
      </c>
      <c r="C8" s="30" t="n">
        <v>90</v>
      </c>
      <c r="D8" s="30" t="n">
        <v>112</v>
      </c>
      <c r="E8" s="30" t="n">
        <v>22</v>
      </c>
      <c r="F8" s="3" t="n"/>
      <c r="G8" s="3" t="n"/>
      <c r="H8" s="30" t="n">
        <v>28</v>
      </c>
      <c r="I8" s="3" t="n"/>
      <c r="J8" s="3" t="n"/>
      <c r="K8" s="4" t="inlineStr">
        <is>
          <t>Form10A_2026-05-27 p434; Form10A_2026-05-27 p465</t>
        </is>
      </c>
    </row>
    <row r="9">
      <c r="A9" s="39" t="inlineStr">
        <is>
          <t>Total expenses</t>
        </is>
      </c>
      <c r="B9" s="18" t="n">
        <v>90</v>
      </c>
      <c r="C9" s="18" t="n">
        <v>91</v>
      </c>
      <c r="D9" s="18" t="n">
        <v>113</v>
      </c>
      <c r="E9" s="18" t="n">
        <v>22</v>
      </c>
      <c r="F9" s="3" t="n"/>
      <c r="G9" s="3" t="n"/>
      <c r="H9" s="18" t="n">
        <v>28</v>
      </c>
      <c r="I9" s="3" t="n"/>
      <c r="J9" s="3" t="n"/>
      <c r="K9" s="4" t="inlineStr">
        <is>
          <t>Form10A_2026-05-27 p434; Form10A_2026-05-27 p465</t>
        </is>
      </c>
    </row>
    <row r="10">
      <c r="A10" s="38" t="inlineStr">
        <is>
          <t>Related party loan interest expense net</t>
        </is>
      </c>
      <c r="B10" s="3" t="n"/>
      <c r="C10" s="3" t="n"/>
      <c r="D10" s="3" t="n"/>
      <c r="E10" s="30" t="n">
        <v>4</v>
      </c>
      <c r="F10" s="3" t="n"/>
      <c r="G10" s="3" t="n"/>
      <c r="H10" s="30" t="n">
        <v>3</v>
      </c>
      <c r="I10" s="3" t="n"/>
      <c r="J10" s="3" t="n"/>
      <c r="K10" s="4" t="inlineStr">
        <is>
          <t>Form10A_2026-05-27 p434</t>
        </is>
      </c>
    </row>
    <row r="11">
      <c r="A11" s="38" t="inlineStr">
        <is>
          <t>Related party dividend income (3)</t>
        </is>
      </c>
      <c r="B11" s="30" t="n">
        <v>-3</v>
      </c>
      <c r="C11" s="30" t="n">
        <v>-1</v>
      </c>
      <c r="D11" s="3" t="n"/>
      <c r="E11" s="3" t="n"/>
      <c r="F11" s="3" t="n"/>
      <c r="G11" s="3" t="n"/>
      <c r="H11" s="3" t="n"/>
      <c r="I11" s="3" t="n"/>
      <c r="J11" s="3" t="n"/>
      <c r="K11" s="4" t="inlineStr">
        <is>
          <t>Form10A_2026-05-27 p465</t>
        </is>
      </c>
    </row>
    <row r="12">
      <c r="A12" s="38" t="inlineStr">
        <is>
          <t>Related party loan interest expense, net</t>
        </is>
      </c>
      <c r="B12" s="30" t="n">
        <v>18</v>
      </c>
      <c r="C12" s="30" t="n">
        <v>17</v>
      </c>
      <c r="D12" s="30" t="n">
        <v>14</v>
      </c>
      <c r="E12" s="3" t="n"/>
      <c r="F12" s="3" t="n"/>
      <c r="G12" s="3" t="n"/>
      <c r="H12" s="3" t="n"/>
      <c r="I12" s="3" t="n"/>
      <c r="J12" s="3" t="n"/>
      <c r="K12" s="4" t="inlineStr">
        <is>
          <t>Form10A_2026-05-27 p465</t>
        </is>
      </c>
    </row>
    <row r="13">
      <c r="A13" s="14" t="inlineStr">
        <is>
          <t>Form10A_2026-05-27 · Stand-up costs</t>
        </is>
      </c>
      <c r="B13" s="15" t="n"/>
      <c r="C13" s="15" t="n"/>
      <c r="D13" s="15" t="n"/>
      <c r="E13" s="15" t="n"/>
      <c r="F13" s="15" t="n"/>
      <c r="G13" s="15" t="n"/>
      <c r="H13" s="15" t="n"/>
      <c r="I13" s="15" t="n"/>
      <c r="J13" s="15" t="n"/>
      <c r="K13" s="15" t="n"/>
    </row>
    <row r="14">
      <c r="A14" s="38" t="inlineStr">
        <is>
          <t>transaction costs related to the stand-up of Mobility as a standalone entity</t>
        </is>
      </c>
      <c r="B14" s="3" t="n"/>
      <c r="C14" s="3" t="n"/>
      <c r="D14" s="30" t="n">
        <v>21</v>
      </c>
      <c r="E14" s="3" t="n"/>
      <c r="F14" s="3" t="n"/>
      <c r="G14" s="3" t="n"/>
      <c r="H14" s="30" t="n">
        <v>21</v>
      </c>
      <c r="I14" s="3" t="n"/>
      <c r="J14" s="3" t="n"/>
      <c r="K14" s="4" t="inlineStr">
        <is>
          <t>Form10A_2026-05-27 p435; Form10A_2026-05-27 p466</t>
        </is>
      </c>
    </row>
    <row r="15">
      <c r="A15" s="38" t="inlineStr">
        <is>
          <t>of which allocated to the Company from S&amp;P Global (approximately)</t>
        </is>
      </c>
      <c r="B15" s="3" t="n"/>
      <c r="C15" s="3" t="n"/>
      <c r="D15" s="3" t="n"/>
      <c r="E15" s="3" t="n"/>
      <c r="F15" s="3" t="n"/>
      <c r="G15" s="3" t="n"/>
      <c r="H15" s="30" t="n">
        <v>7</v>
      </c>
      <c r="I15" s="3" t="n"/>
      <c r="J15" s="3" t="n"/>
      <c r="K15" s="4" t="inlineStr">
        <is>
          <t>Form10A_2026-05-27 p435</t>
        </is>
      </c>
    </row>
    <row r="16">
      <c r="A16" s="38" t="inlineStr">
        <is>
          <t>of which allocated to the Company from Parent (approximately)</t>
        </is>
      </c>
      <c r="B16" s="3" t="n"/>
      <c r="C16" s="3" t="n"/>
      <c r="D16" s="30" t="n">
        <v>12</v>
      </c>
      <c r="E16" s="3" t="n"/>
      <c r="F16" s="3" t="n"/>
      <c r="G16" s="3" t="n"/>
      <c r="H16" s="3" t="n"/>
      <c r="I16" s="3" t="n"/>
      <c r="J16" s="3" t="n"/>
      <c r="K16" s="4" t="inlineStr">
        <is>
          <t>Form10A_2026-05-27 p466</t>
        </is>
      </c>
    </row>
    <row r="17">
      <c r="A17" s="14" t="inlineStr">
        <is>
          <t>Form10A_2026-05-27 · Related Party Dividend Income</t>
        </is>
      </c>
      <c r="B17" s="15" t="n"/>
      <c r="C17" s="15" t="n"/>
      <c r="D17" s="15" t="n"/>
      <c r="E17" s="15" t="n"/>
      <c r="F17" s="15" t="n"/>
      <c r="G17" s="15" t="n"/>
      <c r="H17" s="15" t="n"/>
      <c r="I17" s="15" t="n"/>
      <c r="J17" s="15" t="n"/>
      <c r="K17" s="15" t="n"/>
    </row>
    <row r="18">
      <c r="A18" s="38" t="inlineStr">
        <is>
          <t>equity interest in IHS Markit Global LLC</t>
        </is>
      </c>
      <c r="B18" s="3" t="n"/>
      <c r="C18" s="3" t="n"/>
      <c r="D18" s="41" t="n">
        <v>1.4</v>
      </c>
      <c r="E18" s="3" t="n"/>
      <c r="F18" s="3" t="n"/>
      <c r="G18" s="3" t="n"/>
      <c r="H18" s="3" t="n"/>
      <c r="I18" s="3" t="n"/>
      <c r="J18" s="3" t="n"/>
      <c r="K18" s="4" t="inlineStr">
        <is>
          <t>Form10A_2026-05-27 p466</t>
        </is>
      </c>
    </row>
    <row r="19">
      <c r="A19" s="14" t="inlineStr">
        <is>
          <t>Form10A_2026-05-27 · TSA (j)</t>
        </is>
      </c>
      <c r="B19" s="15" t="n"/>
      <c r="C19" s="15" t="n"/>
      <c r="D19" s="15" t="n"/>
      <c r="E19" s="15" t="n"/>
      <c r="F19" s="15" t="n"/>
      <c r="G19" s="15" t="n"/>
      <c r="H19" s="15" t="n"/>
      <c r="I19" s="15" t="n"/>
      <c r="J19" s="15" t="n"/>
      <c r="K19" s="15" t="n"/>
    </row>
    <row r="20">
      <c r="A20" s="38" t="inlineStr">
        <is>
          <t>Incremental costs associated with TSA</t>
        </is>
      </c>
      <c r="B20" s="3" t="n"/>
      <c r="C20" s="3" t="n"/>
      <c r="D20" s="30" t="n">
        <v>3</v>
      </c>
      <c r="E20" s="3" t="n"/>
      <c r="F20" s="3" t="n"/>
      <c r="G20" s="3" t="n"/>
      <c r="H20" s="3" t="n"/>
      <c r="I20" s="3" t="n"/>
      <c r="J20" s="3" t="n"/>
      <c r="K20" s="4" t="inlineStr">
        <is>
          <t>Form10A_2026-05-27 p339</t>
        </is>
      </c>
    </row>
    <row r="21">
      <c r="A21" s="14" t="inlineStr">
        <is>
          <t>Form10A_2026-05-27 · Pro forma S&amp;G (l)</t>
        </is>
      </c>
      <c r="B21" s="15" t="n"/>
      <c r="C21" s="15" t="n"/>
      <c r="D21" s="15" t="n"/>
      <c r="E21" s="15" t="n"/>
      <c r="F21" s="15" t="n"/>
      <c r="G21" s="15" t="n"/>
      <c r="H21" s="15" t="n"/>
      <c r="I21" s="15" t="n"/>
      <c r="J21" s="15" t="n"/>
      <c r="K21" s="15" t="n"/>
    </row>
    <row r="22">
      <c r="A22" s="38" t="inlineStr">
        <is>
          <t>Net impact on rent expense for leases associated with new corporate offices</t>
        </is>
      </c>
      <c r="B22" s="3" t="n"/>
      <c r="C22" s="3" t="n"/>
      <c r="D22" s="30" t="n">
        <v>9</v>
      </c>
      <c r="E22" s="3" t="n"/>
      <c r="F22" s="3" t="n"/>
      <c r="G22" s="3" t="n"/>
      <c r="H22" s="30" t="n">
        <v>2</v>
      </c>
      <c r="I22" s="3" t="n"/>
      <c r="J22" s="3" t="n"/>
      <c r="K22" s="4" t="inlineStr">
        <is>
          <t>Form10A_2026-05-27 p339</t>
        </is>
      </c>
    </row>
    <row r="23">
      <c r="A23" s="39" t="inlineStr">
        <is>
          <t>Total pro forma adjustment to Selling and general expenses</t>
        </is>
      </c>
      <c r="B23" s="3" t="n"/>
      <c r="C23" s="3" t="n"/>
      <c r="D23" s="18" t="n">
        <v>12</v>
      </c>
      <c r="E23" s="3" t="n"/>
      <c r="F23" s="3" t="n"/>
      <c r="G23" s="3" t="n"/>
      <c r="H23" s="18" t="n">
        <v>2</v>
      </c>
      <c r="I23" s="3" t="n"/>
      <c r="J23" s="3" t="n"/>
      <c r="K23" s="4" t="inlineStr">
        <is>
          <t>Form10A_2026-05-27 p339</t>
        </is>
      </c>
    </row>
    <row r="24">
      <c r="A24" s="14" t="inlineStr">
        <is>
          <t>Form10A_2026-05-27 · TSA terms</t>
        </is>
      </c>
      <c r="B24" s="15" t="n"/>
      <c r="C24" s="15" t="n"/>
      <c r="D24" s="15" t="n"/>
      <c r="E24" s="15" t="n"/>
      <c r="F24" s="15" t="n"/>
      <c r="G24" s="15" t="n"/>
      <c r="H24" s="15" t="n"/>
      <c r="I24" s="15" t="n"/>
      <c r="J24" s="15" t="n"/>
      <c r="K24" s="15" t="n"/>
    </row>
    <row r="25">
      <c r="A25" s="38" t="inlineStr">
        <is>
          <t>TSA service period up to (months following the Distribution)</t>
        </is>
      </c>
      <c r="B25" s="3" t="n"/>
      <c r="C25" s="3" t="n"/>
      <c r="D25" s="3" t="n"/>
      <c r="E25" s="3" t="n"/>
      <c r="F25" s="3" t="n"/>
      <c r="G25" s="3" t="n"/>
      <c r="H25" s="40" t="n">
        <v>18</v>
      </c>
      <c r="I25" s="3" t="n"/>
      <c r="J25" s="3" t="n"/>
      <c r="K25" s="4" t="inlineStr">
        <is>
          <t>Form10A_2026-05-27 p327</t>
        </is>
      </c>
    </row>
    <row r="26">
      <c r="A26" s="14" t="inlineStr">
        <is>
          <t>10Q_Q2-2026 · Related party summary</t>
        </is>
      </c>
      <c r="B26" s="15" t="n"/>
      <c r="C26" s="15" t="n"/>
      <c r="D26" s="15" t="n"/>
      <c r="E26" s="15" t="n"/>
      <c r="F26" s="15" t="n"/>
      <c r="G26" s="15" t="n"/>
      <c r="H26" s="15" t="n"/>
      <c r="I26" s="15" t="n"/>
      <c r="J26" s="15" t="n"/>
      <c r="K26" s="15" t="n"/>
    </row>
    <row r="27">
      <c r="A27" s="38" t="inlineStr">
        <is>
          <t>Data sharing revenues</t>
        </is>
      </c>
      <c r="B27" s="3" t="n"/>
      <c r="C27" s="3" t="n"/>
      <c r="D27" s="3" t="n"/>
      <c r="E27" s="3" t="n"/>
      <c r="F27" s="30" t="n">
        <v>1</v>
      </c>
      <c r="G27" s="30" t="n">
        <v>2</v>
      </c>
      <c r="H27" s="3" t="n"/>
      <c r="I27" s="30" t="n">
        <v>1</v>
      </c>
      <c r="J27" s="30" t="n">
        <v>2</v>
      </c>
      <c r="K27" s="4" t="inlineStr">
        <is>
          <t>10Q_Q2-2026 p16</t>
        </is>
      </c>
    </row>
    <row r="28">
      <c r="A28" s="38" t="inlineStr">
        <is>
          <t>Data sharing expenses (1)</t>
        </is>
      </c>
      <c r="B28" s="3" t="n"/>
      <c r="C28" s="3" t="n"/>
      <c r="D28" s="3" t="n"/>
      <c r="E28" s="3" t="n"/>
      <c r="F28" s="3" t="n"/>
      <c r="G28" s="3" t="n"/>
      <c r="H28" s="3" t="n"/>
      <c r="I28" s="30" t="n">
        <v>1</v>
      </c>
      <c r="J28" s="30" t="n">
        <v>1</v>
      </c>
      <c r="K28" s="4" t="inlineStr">
        <is>
          <t>10Q_Q2-2026 p16</t>
        </is>
      </c>
    </row>
    <row r="29">
      <c r="A29" s="38" t="inlineStr">
        <is>
          <t>Corporate allocations from Parent (2)</t>
        </is>
      </c>
      <c r="B29" s="3" t="n"/>
      <c r="C29" s="3" t="n"/>
      <c r="D29" s="3" t="n"/>
      <c r="E29" s="3" t="n"/>
      <c r="F29" s="30" t="n">
        <v>24</v>
      </c>
      <c r="G29" s="30" t="n">
        <v>46</v>
      </c>
      <c r="H29" s="3" t="n"/>
      <c r="I29" s="30" t="n">
        <v>36</v>
      </c>
      <c r="J29" s="30" t="n">
        <v>64</v>
      </c>
      <c r="K29" s="4" t="inlineStr">
        <is>
          <t>10Q_Q2-2026 p16</t>
        </is>
      </c>
    </row>
    <row r="30">
      <c r="A30" s="39" t="inlineStr">
        <is>
          <t>Total expenses</t>
        </is>
      </c>
      <c r="B30" s="3" t="n"/>
      <c r="C30" s="3" t="n"/>
      <c r="D30" s="3" t="n"/>
      <c r="E30" s="3" t="n"/>
      <c r="F30" s="18" t="n">
        <v>24</v>
      </c>
      <c r="G30" s="18" t="n">
        <v>46</v>
      </c>
      <c r="H30" s="3" t="n"/>
      <c r="I30" s="18" t="n">
        <v>37</v>
      </c>
      <c r="J30" s="18" t="n">
        <v>65</v>
      </c>
      <c r="K30" s="4" t="inlineStr">
        <is>
          <t>10Q_Q2-2026 p16</t>
        </is>
      </c>
    </row>
    <row r="31">
      <c r="A31" s="38" t="inlineStr">
        <is>
          <t>Related party loan interest expense, net</t>
        </is>
      </c>
      <c r="B31" s="3" t="n"/>
      <c r="C31" s="3" t="n"/>
      <c r="D31" s="3" t="n"/>
      <c r="E31" s="3" t="n"/>
      <c r="F31" s="30" t="n">
        <v>3</v>
      </c>
      <c r="G31" s="30" t="n">
        <v>7</v>
      </c>
      <c r="H31" s="3" t="n"/>
      <c r="I31" s="30" t="n">
        <v>4</v>
      </c>
      <c r="J31" s="30" t="n">
        <v>7</v>
      </c>
      <c r="K31" s="4" t="inlineStr">
        <is>
          <t>10Q_Q2-2026 p16</t>
        </is>
      </c>
    </row>
    <row r="32">
      <c r="A32" s="14" t="inlineStr">
        <is>
          <t>10Q_Q2-2026 · Stand-up costs</t>
        </is>
      </c>
      <c r="B32" s="15" t="n"/>
      <c r="C32" s="15" t="n"/>
      <c r="D32" s="15" t="n"/>
      <c r="E32" s="15" t="n"/>
      <c r="F32" s="15" t="n"/>
      <c r="G32" s="15" t="n"/>
      <c r="H32" s="15" t="n"/>
      <c r="I32" s="15" t="n"/>
      <c r="J32" s="15" t="n"/>
      <c r="K32" s="15" t="n"/>
    </row>
    <row r="33">
      <c r="A33" s="38" t="inlineStr">
        <is>
          <t>transaction costs related to the stand-up of Mobility Global as a stand-alone entity</t>
        </is>
      </c>
      <c r="B33" s="3" t="n"/>
      <c r="C33" s="3" t="n"/>
      <c r="D33" s="3" t="n"/>
      <c r="E33" s="3" t="n"/>
      <c r="F33" s="30" t="n">
        <v>2</v>
      </c>
      <c r="G33" s="30" t="n">
        <v>2</v>
      </c>
      <c r="H33" s="3" t="n"/>
      <c r="I33" s="30" t="n">
        <v>36</v>
      </c>
      <c r="J33" s="30" t="n">
        <v>57</v>
      </c>
      <c r="K33" s="4" t="inlineStr">
        <is>
          <t>10Q_Q2-2026 p17</t>
        </is>
      </c>
    </row>
    <row r="34">
      <c r="A34" s="38" t="inlineStr">
        <is>
          <t>of which allocated to the Company from S&amp;P Global (approximately)</t>
        </is>
      </c>
      <c r="B34" s="3" t="n"/>
      <c r="C34" s="3" t="n"/>
      <c r="D34" s="3" t="n"/>
      <c r="E34" s="3" t="n"/>
      <c r="F34" s="30" t="n">
        <v>2</v>
      </c>
      <c r="G34" s="30" t="n">
        <v>2</v>
      </c>
      <c r="H34" s="3" t="n"/>
      <c r="I34" s="30" t="n">
        <v>15</v>
      </c>
      <c r="J34" s="30" t="n">
        <v>22</v>
      </c>
      <c r="K34" s="4" t="inlineStr">
        <is>
          <t>10Q_Q2-2026 p17</t>
        </is>
      </c>
    </row>
    <row r="35">
      <c r="A35" s="14" t="inlineStr">
        <is>
          <t>10Q_Q2-2026 · Corporate allocations footnote (2)</t>
        </is>
      </c>
      <c r="B35" s="15" t="n"/>
      <c r="C35" s="15" t="n"/>
      <c r="D35" s="15" t="n"/>
      <c r="E35" s="15" t="n"/>
      <c r="F35" s="15" t="n"/>
      <c r="G35" s="15" t="n"/>
      <c r="H35" s="15" t="n"/>
      <c r="I35" s="15" t="n"/>
      <c r="J35" s="15" t="n"/>
      <c r="K35" s="15" t="n"/>
    </row>
    <row r="36">
      <c r="A36" s="38" t="inlineStr">
        <is>
          <t>severance and other employee related costs included in corporate allocations</t>
        </is>
      </c>
      <c r="B36" s="3" t="n"/>
      <c r="C36" s="3" t="n"/>
      <c r="D36" s="3" t="n"/>
      <c r="E36" s="3" t="n"/>
      <c r="F36" s="3" t="n"/>
      <c r="G36" s="3" t="n"/>
      <c r="H36" s="3" t="n"/>
      <c r="I36" s="30" t="n">
        <v>2</v>
      </c>
      <c r="J36" s="30" t="n">
        <v>2</v>
      </c>
      <c r="K36" s="4" t="inlineStr">
        <is>
          <t>10Q_Q2-2026 p16</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45" customWidth="1" min="8" max="8"/>
    <col hidden="1" width="13" customWidth="1" min="26" max="26"/>
  </cols>
  <sheetData>
    <row r="1" ht="20" customHeight="1">
      <c r="A1" s="1" t="inlineStr">
        <is>
          <t>Leases</t>
        </is>
      </c>
      <c r="B1" s="2" t="n"/>
      <c r="C1" s="2" t="n"/>
      <c r="D1" s="2" t="n"/>
      <c r="E1" s="2" t="n"/>
      <c r="F1" s="2" t="n"/>
      <c r="G1" s="2" t="n"/>
      <c r="H1" s="2" t="n"/>
    </row>
    <row r="2">
      <c r="A2" s="4" t="inlineStr">
        <is>
          <t>As printed; see notes_NOTES.md for unreadable cells and tables that do not foot.</t>
        </is>
      </c>
      <c r="B2" s="3" t="n"/>
      <c r="C2" s="3" t="n"/>
      <c r="D2" s="3" t="n"/>
      <c r="E2" s="3" t="n"/>
      <c r="F2" s="3" t="n"/>
      <c r="G2" s="3" t="n"/>
      <c r="H2" s="3" t="n"/>
    </row>
    <row r="3">
      <c r="A3" s="3" t="n"/>
      <c r="B3" s="3" t="n"/>
      <c r="C3" s="3" t="n"/>
      <c r="D3" s="3" t="n"/>
      <c r="E3" s="3" t="n"/>
      <c r="F3" s="3" t="n"/>
      <c r="G3" s="3" t="n"/>
      <c r="H3" s="3" t="n"/>
    </row>
    <row r="4">
      <c r="A4" s="9" t="inlineStr">
        <is>
          <t>Line item (verbatim caption)</t>
        </is>
      </c>
      <c r="B4" s="29" t="inlineStr">
        <is>
          <t>FY2023</t>
        </is>
      </c>
      <c r="C4" s="29" t="inlineStr">
        <is>
          <t>FY2024</t>
        </is>
      </c>
      <c r="D4" s="29" t="inlineStr">
        <is>
          <t>FY2025</t>
        </is>
      </c>
      <c r="E4" s="29" t="inlineStr">
        <is>
          <t>Q1-2025</t>
        </is>
      </c>
      <c r="F4" s="29" t="inlineStr">
        <is>
          <t>Q1-2026</t>
        </is>
      </c>
      <c r="G4" s="29" t="inlineStr">
        <is>
          <t>Q2-2026</t>
        </is>
      </c>
      <c r="H4" s="29" t="inlineStr">
        <is>
          <t>Source (doc p.)</t>
        </is>
      </c>
    </row>
    <row r="5">
      <c r="A5" s="14" t="inlineStr">
        <is>
          <t>Form10A_2026-05-27 · Lease balance sheet</t>
        </is>
      </c>
      <c r="B5" s="15" t="n"/>
      <c r="C5" s="15" t="n"/>
      <c r="D5" s="15" t="n"/>
      <c r="E5" s="15" t="n"/>
      <c r="F5" s="15" t="n"/>
      <c r="G5" s="15" t="n"/>
      <c r="H5" s="15" t="n"/>
    </row>
    <row r="6">
      <c r="A6" s="38" t="inlineStr">
        <is>
          <t>Lease right-of-use assets</t>
        </is>
      </c>
      <c r="B6" s="3" t="n"/>
      <c r="C6" s="30" t="n">
        <v>20</v>
      </c>
      <c r="D6" s="30" t="n">
        <v>16</v>
      </c>
      <c r="E6" s="3" t="n"/>
      <c r="F6" s="30" t="n">
        <v>23</v>
      </c>
      <c r="G6" s="3" t="n"/>
      <c r="H6" s="4" t="inlineStr">
        <is>
          <t>Form10A_2026-05-27 p433; Form10A_2026-05-27 p464</t>
        </is>
      </c>
    </row>
    <row r="7">
      <c r="A7" s="38" t="inlineStr">
        <is>
          <t>Current lease liabilities</t>
        </is>
      </c>
      <c r="B7" s="3" t="n"/>
      <c r="C7" s="30" t="n">
        <v>7</v>
      </c>
      <c r="D7" s="30" t="n">
        <v>7</v>
      </c>
      <c r="E7" s="3" t="n"/>
      <c r="F7" s="30" t="n">
        <v>6</v>
      </c>
      <c r="G7" s="3" t="n"/>
      <c r="H7" s="4" t="inlineStr">
        <is>
          <t>Form10A_2026-05-27 p433; Form10A_2026-05-27 p464</t>
        </is>
      </c>
    </row>
    <row r="8">
      <c r="A8" s="38" t="inlineStr">
        <is>
          <t>Non-current lease liabilities</t>
        </is>
      </c>
      <c r="B8" s="3" t="n"/>
      <c r="C8" s="30" t="n">
        <v>16</v>
      </c>
      <c r="D8" s="30" t="n">
        <v>11</v>
      </c>
      <c r="E8" s="3" t="n"/>
      <c r="F8" s="30" t="n">
        <v>19</v>
      </c>
      <c r="G8" s="3" t="n"/>
      <c r="H8" s="4" t="inlineStr">
        <is>
          <t>Form10A_2026-05-27 p433; Form10A_2026-05-27 p464</t>
        </is>
      </c>
    </row>
    <row r="9">
      <c r="A9" s="14" t="inlineStr">
        <is>
          <t>Form10A_2026-05-27 · Lease expense</t>
        </is>
      </c>
      <c r="B9" s="15" t="n"/>
      <c r="C9" s="15" t="n"/>
      <c r="D9" s="15" t="n"/>
      <c r="E9" s="15" t="n"/>
      <c r="F9" s="15" t="n"/>
      <c r="G9" s="15" t="n"/>
      <c r="H9" s="15" t="n"/>
    </row>
    <row r="10">
      <c r="A10" s="38" t="inlineStr">
        <is>
          <t>Lease expense for our operating leases</t>
        </is>
      </c>
      <c r="B10" s="30" t="n">
        <v>6</v>
      </c>
      <c r="C10" s="30" t="n">
        <v>6</v>
      </c>
      <c r="D10" s="30" t="n">
        <v>6</v>
      </c>
      <c r="E10" s="30" t="n">
        <v>2</v>
      </c>
      <c r="F10" s="30" t="n">
        <v>2</v>
      </c>
      <c r="G10" s="3" t="n"/>
      <c r="H10" s="4" t="inlineStr">
        <is>
          <t>Form10A_2026-05-27 p433; Form10A_2026-05-27 p464</t>
        </is>
      </c>
    </row>
    <row r="11">
      <c r="A11" s="14" t="inlineStr">
        <is>
          <t>Form10A_2026-05-27 · Supplemental</t>
        </is>
      </c>
      <c r="B11" s="15" t="n"/>
      <c r="C11" s="15" t="n"/>
      <c r="D11" s="15" t="n"/>
      <c r="E11" s="15" t="n"/>
      <c r="F11" s="15" t="n"/>
      <c r="G11" s="15" t="n"/>
      <c r="H11" s="15" t="n"/>
    </row>
    <row r="12">
      <c r="A12" s="38" t="inlineStr">
        <is>
          <t>Operating cash flows for operating leases</t>
        </is>
      </c>
      <c r="B12" s="30" t="n">
        <v>7</v>
      </c>
      <c r="C12" s="30" t="n">
        <v>7</v>
      </c>
      <c r="D12" s="30" t="n">
        <v>8</v>
      </c>
      <c r="E12" s="30" t="n">
        <v>2</v>
      </c>
      <c r="F12" s="30" t="n">
        <v>2</v>
      </c>
      <c r="G12" s="3" t="n"/>
      <c r="H12" s="4" t="inlineStr">
        <is>
          <t>Form10A_2026-05-27 p433; Form10A_2026-05-27 p464</t>
        </is>
      </c>
    </row>
    <row r="13">
      <c r="A13" s="38" t="inlineStr">
        <is>
          <t>Right of use assets obtained in exchange for lease obligations - Operating leases</t>
        </is>
      </c>
      <c r="B13" s="3" t="n"/>
      <c r="C13" s="3" t="n"/>
      <c r="D13" s="3" t="n"/>
      <c r="E13" s="3" t="n"/>
      <c r="F13" s="30" t="n">
        <v>9</v>
      </c>
      <c r="G13" s="3" t="n"/>
      <c r="H13" s="4" t="inlineStr">
        <is>
          <t>Form10A_2026-05-27 p433</t>
        </is>
      </c>
    </row>
    <row r="14">
      <c r="A14" s="14" t="inlineStr">
        <is>
          <t>Form10A_2026-05-27 · Lease terms</t>
        </is>
      </c>
      <c r="B14" s="15" t="n"/>
      <c r="C14" s="15" t="n"/>
      <c r="D14" s="15" t="n"/>
      <c r="E14" s="15" t="n"/>
      <c r="F14" s="15" t="n"/>
      <c r="G14" s="15" t="n"/>
      <c r="H14" s="15" t="n"/>
    </row>
    <row r="15">
      <c r="A15" s="38" t="inlineStr">
        <is>
          <t>Weighted-average remaining lease term (years)</t>
        </is>
      </c>
      <c r="B15" s="3" t="n"/>
      <c r="C15" s="40" t="n">
        <v>4.1</v>
      </c>
      <c r="D15" s="40" t="n">
        <v>4.7</v>
      </c>
      <c r="E15" s="3" t="n"/>
      <c r="F15" s="40" t="n">
        <v>5.6</v>
      </c>
      <c r="G15" s="3" t="n"/>
      <c r="H15" s="4" t="inlineStr">
        <is>
          <t>Form10A_2026-05-27 p434; Form10A_2026-05-27 p464</t>
        </is>
      </c>
    </row>
    <row r="16">
      <c r="A16" s="38" t="inlineStr">
        <is>
          <t>Weighted-average discount rate</t>
        </is>
      </c>
      <c r="B16" s="3" t="n"/>
      <c r="C16" s="41" t="n">
        <v>2.78</v>
      </c>
      <c r="D16" s="41" t="n">
        <v>2.79</v>
      </c>
      <c r="E16" s="3" t="n"/>
      <c r="F16" s="41" t="n">
        <v>3.71</v>
      </c>
      <c r="G16" s="3" t="n"/>
      <c r="H16" s="4" t="inlineStr">
        <is>
          <t>Form10A_2026-05-27 p434; Form10A_2026-05-27 p464</t>
        </is>
      </c>
    </row>
    <row r="17">
      <c r="A17" s="14" t="inlineStr">
        <is>
          <t>Form10A_2026-05-27 · Maturities</t>
        </is>
      </c>
      <c r="B17" s="15" t="n"/>
      <c r="C17" s="15" t="n"/>
      <c r="D17" s="15" t="n"/>
      <c r="E17" s="15" t="n"/>
      <c r="F17" s="15" t="n"/>
      <c r="G17" s="15" t="n"/>
      <c r="H17" s="15" t="n"/>
    </row>
    <row r="18">
      <c r="A18" s="38" t="inlineStr">
        <is>
          <t>2026 (Excluding the three months ended March 31 2026)</t>
        </is>
      </c>
      <c r="B18" s="3" t="n"/>
      <c r="C18" s="3" t="n"/>
      <c r="D18" s="3" t="n"/>
      <c r="E18" s="3" t="n"/>
      <c r="F18" s="30" t="n">
        <v>6</v>
      </c>
      <c r="G18" s="3" t="n"/>
      <c r="H18" s="4" t="inlineStr">
        <is>
          <t>Form10A_2026-05-27 p434</t>
        </is>
      </c>
    </row>
    <row r="19">
      <c r="A19" s="38" t="inlineStr">
        <is>
          <t>2026</t>
        </is>
      </c>
      <c r="B19" s="3" t="n"/>
      <c r="C19" s="3" t="n"/>
      <c r="D19" s="30" t="n">
        <v>7</v>
      </c>
      <c r="E19" s="3" t="n"/>
      <c r="F19" s="3" t="n"/>
      <c r="G19" s="3" t="n"/>
      <c r="H19" s="4" t="inlineStr">
        <is>
          <t>Form10A_2026-05-27 p464</t>
        </is>
      </c>
    </row>
    <row r="20">
      <c r="A20" s="38" t="inlineStr">
        <is>
          <t>2027</t>
        </is>
      </c>
      <c r="B20" s="3" t="n"/>
      <c r="C20" s="3" t="n"/>
      <c r="D20" s="3" t="n"/>
      <c r="E20" s="3" t="n"/>
      <c r="F20" s="30" t="n">
        <v>4</v>
      </c>
      <c r="G20" s="3" t="n"/>
      <c r="H20" s="4" t="inlineStr">
        <is>
          <t>Form10A_2026-05-27 p434</t>
        </is>
      </c>
    </row>
    <row r="21">
      <c r="A21" s="38" t="inlineStr">
        <is>
          <t>2028</t>
        </is>
      </c>
      <c r="B21" s="3" t="n"/>
      <c r="C21" s="3" t="n"/>
      <c r="D21" s="3" t="n"/>
      <c r="E21" s="3" t="n"/>
      <c r="F21" s="30" t="n">
        <v>3</v>
      </c>
      <c r="G21" s="3" t="n"/>
      <c r="H21" s="4" t="inlineStr">
        <is>
          <t>Form10A_2026-05-27 p434</t>
        </is>
      </c>
    </row>
    <row r="22">
      <c r="A22" s="38" t="inlineStr">
        <is>
          <t>2029</t>
        </is>
      </c>
      <c r="B22" s="3" t="n"/>
      <c r="C22" s="3" t="n"/>
      <c r="D22" s="3" t="n"/>
      <c r="E22" s="3" t="n"/>
      <c r="F22" s="30" t="n">
        <v>3</v>
      </c>
      <c r="G22" s="3" t="n"/>
      <c r="H22" s="4" t="inlineStr">
        <is>
          <t>Form10A_2026-05-27 p434</t>
        </is>
      </c>
    </row>
    <row r="23">
      <c r="A23" s="38" t="inlineStr">
        <is>
          <t>2030</t>
        </is>
      </c>
      <c r="B23" s="3" t="n"/>
      <c r="C23" s="3" t="n"/>
      <c r="D23" s="3" t="n"/>
      <c r="E23" s="3" t="n"/>
      <c r="F23" s="30" t="n">
        <v>3</v>
      </c>
      <c r="G23" s="3" t="n"/>
      <c r="H23" s="4" t="inlineStr">
        <is>
          <t>Form10A_2026-05-27 p434</t>
        </is>
      </c>
    </row>
    <row r="24">
      <c r="A24" s="38" t="inlineStr">
        <is>
          <t>2031 and beyond</t>
        </is>
      </c>
      <c r="B24" s="3" t="n"/>
      <c r="C24" s="3" t="n"/>
      <c r="D24" s="3" t="n"/>
      <c r="E24" s="3" t="n"/>
      <c r="F24" s="30" t="n">
        <v>9</v>
      </c>
      <c r="G24" s="3" t="n"/>
      <c r="H24" s="4" t="inlineStr">
        <is>
          <t>Form10A_2026-05-27 p434</t>
        </is>
      </c>
    </row>
    <row r="25">
      <c r="A25" s="39" t="inlineStr">
        <is>
          <t>Total undiscounted lease payments</t>
        </is>
      </c>
      <c r="B25" s="3" t="n"/>
      <c r="C25" s="3" t="n"/>
      <c r="D25" s="3" t="n"/>
      <c r="E25" s="3" t="n"/>
      <c r="F25" s="18" t="n">
        <v>28</v>
      </c>
      <c r="G25" s="3" t="n"/>
      <c r="H25" s="4" t="inlineStr">
        <is>
          <t>Form10A_2026-05-27 p434</t>
        </is>
      </c>
    </row>
    <row r="26">
      <c r="A26" s="38" t="inlineStr">
        <is>
          <t>Less: Imputed interest</t>
        </is>
      </c>
      <c r="B26" s="3" t="n"/>
      <c r="C26" s="3" t="n"/>
      <c r="D26" s="3" t="n"/>
      <c r="E26" s="3" t="n"/>
      <c r="F26" s="30" t="n">
        <v>3</v>
      </c>
      <c r="G26" s="3" t="n"/>
      <c r="H26" s="4" t="inlineStr">
        <is>
          <t>Form10A_2026-05-27 p434</t>
        </is>
      </c>
    </row>
    <row r="27">
      <c r="A27" s="39" t="inlineStr">
        <is>
          <t>Present value of lease liabilities</t>
        </is>
      </c>
      <c r="B27" s="3" t="n"/>
      <c r="C27" s="3" t="n"/>
      <c r="D27" s="18" t="n">
        <v>18</v>
      </c>
      <c r="E27" s="3" t="n"/>
      <c r="F27" s="18" t="n">
        <v>25</v>
      </c>
      <c r="G27" s="3" t="n"/>
      <c r="H27" s="4" t="inlineStr">
        <is>
          <t>Form10A_2026-05-27 p434; Form10A_2026-05-27 p464</t>
        </is>
      </c>
    </row>
    <row r="28">
      <c r="A28" s="14" t="inlineStr">
        <is>
          <t>Form10A_2026-05-27 · Not yet commenced</t>
        </is>
      </c>
      <c r="B28" s="15" t="n"/>
      <c r="C28" s="15" t="n"/>
      <c r="D28" s="15" t="n"/>
      <c r="E28" s="15" t="n"/>
      <c r="F28" s="15" t="n"/>
      <c r="G28" s="15" t="n"/>
      <c r="H28" s="15" t="n"/>
    </row>
    <row r="29">
      <c r="A29" s="38" t="inlineStr">
        <is>
          <t>lease agreements not yet commenced - total estimated future lease payments (2026 through 2037)</t>
        </is>
      </c>
      <c r="B29" s="3" t="n"/>
      <c r="C29" s="3" t="n"/>
      <c r="D29" s="30" t="n">
        <v>63</v>
      </c>
      <c r="E29" s="3" t="n"/>
      <c r="F29" s="30" t="n">
        <v>74</v>
      </c>
      <c r="G29" s="3" t="n"/>
      <c r="H29" s="4" t="inlineStr">
        <is>
          <t>Form10A_2026-05-27 p434; Form10A_2026-05-27 p465</t>
        </is>
      </c>
    </row>
    <row r="30">
      <c r="A30" s="14" t="inlineStr">
        <is>
          <t>Form10A_2026-05-27 · Pro forma new corporate office leases (k)</t>
        </is>
      </c>
      <c r="B30" s="15" t="n"/>
      <c r="C30" s="15" t="n"/>
      <c r="D30" s="15" t="n"/>
      <c r="E30" s="15" t="n"/>
      <c r="F30" s="15" t="n"/>
      <c r="G30" s="15" t="n"/>
      <c r="H30" s="15" t="n"/>
    </row>
    <row r="31">
      <c r="A31" s="38" t="inlineStr">
        <is>
          <t>Right-of-use assets</t>
        </is>
      </c>
      <c r="B31" s="3" t="n"/>
      <c r="C31" s="3" t="n"/>
      <c r="D31" s="3" t="n"/>
      <c r="E31" s="3" t="n"/>
      <c r="F31" s="30" t="n">
        <v>54</v>
      </c>
      <c r="G31" s="3" t="n"/>
      <c r="H31" s="4" t="inlineStr">
        <is>
          <t>Form10A_2026-05-27 p339</t>
        </is>
      </c>
    </row>
    <row r="32">
      <c r="A32" s="38" t="inlineStr">
        <is>
          <t>Current operating lease liabilities</t>
        </is>
      </c>
      <c r="B32" s="3" t="n"/>
      <c r="C32" s="3" t="n"/>
      <c r="D32" s="3" t="n"/>
      <c r="E32" s="3" t="n"/>
      <c r="F32" s="30" t="n">
        <v>1</v>
      </c>
      <c r="G32" s="3" t="n"/>
      <c r="H32" s="4" t="inlineStr">
        <is>
          <t>Form10A_2026-05-27 p339</t>
        </is>
      </c>
    </row>
    <row r="33">
      <c r="A33" s="38" t="inlineStr">
        <is>
          <t>Non-current operating lease liabilities</t>
        </is>
      </c>
      <c r="B33" s="3" t="n"/>
      <c r="C33" s="3" t="n"/>
      <c r="D33" s="3" t="n"/>
      <c r="E33" s="3" t="n"/>
      <c r="F33" s="30" t="n">
        <v>53</v>
      </c>
      <c r="G33" s="3" t="n"/>
      <c r="H33" s="4" t="inlineStr">
        <is>
          <t>Form10A_2026-05-27 p339</t>
        </is>
      </c>
    </row>
    <row r="34">
      <c r="A34" s="14" t="inlineStr">
        <is>
          <t>10Q_Q2-2026 · Not yet commenced</t>
        </is>
      </c>
      <c r="B34" s="15" t="n"/>
      <c r="C34" s="15" t="n"/>
      <c r="D34" s="15" t="n"/>
      <c r="E34" s="15" t="n"/>
      <c r="F34" s="15" t="n"/>
      <c r="G34" s="15" t="n"/>
      <c r="H34" s="15" t="n"/>
    </row>
    <row r="35">
      <c r="A35" s="38" t="inlineStr">
        <is>
          <t>lease agreements not yet commenced - total estimated future lease payments (2026 through 2037)</t>
        </is>
      </c>
      <c r="B35" s="3" t="n"/>
      <c r="C35" s="3" t="n"/>
      <c r="D35" s="3" t="n"/>
      <c r="E35" s="3" t="n"/>
      <c r="F35" s="3" t="n"/>
      <c r="G35" s="30" t="n">
        <v>64</v>
      </c>
      <c r="H35" s="4" t="inlineStr">
        <is>
          <t>10Q_Q2-2026 p16</t>
        </is>
      </c>
    </row>
    <row r="36">
      <c r="A36" s="14" t="inlineStr">
        <is>
          <t>10Q_Q2-2026 · Balance sheet</t>
        </is>
      </c>
      <c r="B36" s="15" t="n"/>
      <c r="C36" s="15" t="n"/>
      <c r="D36" s="15" t="n"/>
      <c r="E36" s="15" t="n"/>
      <c r="F36" s="15" t="n"/>
      <c r="G36" s="15" t="n"/>
      <c r="H36" s="15" t="n"/>
    </row>
    <row r="37">
      <c r="A37" s="38" t="inlineStr">
        <is>
          <t>Right of use assets</t>
        </is>
      </c>
      <c r="B37" s="3" t="n"/>
      <c r="C37" s="3" t="n"/>
      <c r="D37" s="3" t="n"/>
      <c r="E37" s="3" t="n"/>
      <c r="F37" s="3" t="n"/>
      <c r="G37" s="30" t="n">
        <v>33</v>
      </c>
      <c r="H37" s="4" t="inlineStr">
        <is>
          <t>10Q_Q2-2026 p6</t>
        </is>
      </c>
    </row>
    <row r="38">
      <c r="A38" s="38" t="inlineStr">
        <is>
          <t>Operating lease liabilities (non-current)</t>
        </is>
      </c>
      <c r="B38" s="3" t="n"/>
      <c r="C38" s="3" t="n"/>
      <c r="D38" s="3" t="n"/>
      <c r="E38" s="3" t="n"/>
      <c r="F38" s="3" t="n"/>
      <c r="G38" s="30" t="n">
        <v>27</v>
      </c>
      <c r="H38" s="4" t="inlineStr">
        <is>
          <t>10Q_Q2-2026 p6</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45" customWidth="1" min="4" max="4"/>
    <col hidden="1" width="13" customWidth="1" min="26" max="26"/>
  </cols>
  <sheetData>
    <row r="1" ht="20" customHeight="1">
      <c r="A1" s="1" t="inlineStr">
        <is>
          <t>Commitments and contingencies</t>
        </is>
      </c>
      <c r="B1" s="2" t="n"/>
      <c r="C1" s="2" t="n"/>
      <c r="D1" s="2" t="n"/>
    </row>
    <row r="2">
      <c r="A2" s="4" t="inlineStr">
        <is>
          <t>As printed; see notes_NOTES.md for unreadable cells and tables that do not foot.</t>
        </is>
      </c>
      <c r="B2" s="3" t="n"/>
      <c r="C2" s="3" t="n"/>
      <c r="D2" s="3" t="n"/>
    </row>
    <row r="3">
      <c r="A3" s="3" t="n"/>
      <c r="B3" s="3" t="n"/>
      <c r="C3" s="3" t="n"/>
      <c r="D3" s="3" t="n"/>
    </row>
    <row r="4">
      <c r="A4" s="9" t="inlineStr">
        <is>
          <t>Line item (verbatim caption)</t>
        </is>
      </c>
      <c r="B4" s="29" t="inlineStr">
        <is>
          <t>FY2025</t>
        </is>
      </c>
      <c r="C4" s="29" t="inlineStr">
        <is>
          <t>Q1-2026</t>
        </is>
      </c>
      <c r="D4" s="29" t="inlineStr">
        <is>
          <t>Source (doc p.)</t>
        </is>
      </c>
    </row>
    <row r="5">
      <c r="A5" s="14" t="inlineStr">
        <is>
          <t>Form10A_2026-05-27 · Pro forma (e)</t>
        </is>
      </c>
      <c r="B5" s="15" t="n"/>
      <c r="C5" s="15" t="n"/>
      <c r="D5" s="15" t="n"/>
    </row>
    <row r="6">
      <c r="A6" s="38" t="inlineStr">
        <is>
          <t>restructuring liabilities retained by S&amp;P Global (Other current liabilities)</t>
        </is>
      </c>
      <c r="B6" s="3" t="n"/>
      <c r="C6" s="30" t="n">
        <v>8</v>
      </c>
      <c r="D6" s="4" t="inlineStr">
        <is>
          <t>Form10A_2026-05-27 p338</t>
        </is>
      </c>
    </row>
    <row r="7">
      <c r="A7" s="14" t="inlineStr">
        <is>
          <t>Form10A_2026-05-27 · Contractual obligations</t>
        </is>
      </c>
      <c r="B7" s="15" t="n"/>
      <c r="C7" s="15" t="n"/>
      <c r="D7" s="15" t="n"/>
    </row>
    <row r="8">
      <c r="A8" s="38" t="inlineStr">
        <is>
          <t>Operating leases (1) - Less than 1 Year</t>
        </is>
      </c>
      <c r="B8" s="30" t="n">
        <v>7</v>
      </c>
      <c r="C8" s="3" t="n"/>
      <c r="D8" s="4" t="inlineStr">
        <is>
          <t>Form10A_2026-05-27 p365</t>
        </is>
      </c>
    </row>
    <row r="9">
      <c r="A9" s="38" t="inlineStr">
        <is>
          <t>Operating leases (1) - 1-3 Years</t>
        </is>
      </c>
      <c r="B9" s="30" t="n">
        <v>4</v>
      </c>
      <c r="C9" s="3" t="n"/>
      <c r="D9" s="4" t="inlineStr">
        <is>
          <t>Form10A_2026-05-27 p365</t>
        </is>
      </c>
    </row>
    <row r="10">
      <c r="A10" s="38" t="inlineStr">
        <is>
          <t>Operating leases (1) - 3-5 Years</t>
        </is>
      </c>
      <c r="B10" s="30" t="n">
        <v>4</v>
      </c>
      <c r="C10" s="3" t="n"/>
      <c r="D10" s="4" t="inlineStr">
        <is>
          <t>Form10A_2026-05-27 p365</t>
        </is>
      </c>
    </row>
    <row r="11">
      <c r="A11" s="38" t="inlineStr">
        <is>
          <t>Operating leases (1) - More than 5 Years</t>
        </is>
      </c>
      <c r="B11" s="30" t="n">
        <v>4</v>
      </c>
      <c r="C11" s="3" t="n"/>
      <c r="D11" s="4" t="inlineStr">
        <is>
          <t>Form10A_2026-05-27 p365</t>
        </is>
      </c>
    </row>
    <row r="12">
      <c r="A12" s="39" t="inlineStr">
        <is>
          <t>Operating leases (1) - Total</t>
        </is>
      </c>
      <c r="B12" s="18" t="n">
        <v>19</v>
      </c>
      <c r="C12" s="3" t="n"/>
      <c r="D12" s="4" t="inlineStr">
        <is>
          <t>Form10A_2026-05-27 p365</t>
        </is>
      </c>
    </row>
    <row r="13">
      <c r="A13" s="38" t="inlineStr">
        <is>
          <t>Purchase obligations and other (2) - Less than 1 Year</t>
        </is>
      </c>
      <c r="B13" s="30" t="n">
        <v>44</v>
      </c>
      <c r="C13" s="3" t="n"/>
      <c r="D13" s="4" t="inlineStr">
        <is>
          <t>Form10A_2026-05-27 p365</t>
        </is>
      </c>
    </row>
    <row r="14">
      <c r="A14" s="38" t="inlineStr">
        <is>
          <t>Purchase obligations and other (2) - 1-3 Years</t>
        </is>
      </c>
      <c r="B14" s="30" t="n">
        <v>36</v>
      </c>
      <c r="C14" s="3" t="n"/>
      <c r="D14" s="4" t="inlineStr">
        <is>
          <t>Form10A_2026-05-27 p365</t>
        </is>
      </c>
    </row>
    <row r="15">
      <c r="A15" s="38" t="inlineStr">
        <is>
          <t>Purchase obligations and other (2) - 3-5 Years</t>
        </is>
      </c>
      <c r="B15" s="30" t="n">
        <v>10</v>
      </c>
      <c r="C15" s="3" t="n"/>
      <c r="D15" s="4" t="inlineStr">
        <is>
          <t>Form10A_2026-05-27 p365</t>
        </is>
      </c>
    </row>
    <row r="16">
      <c r="A16" s="39" t="inlineStr">
        <is>
          <t>Purchase obligations and other (2) - Total</t>
        </is>
      </c>
      <c r="B16" s="18" t="n">
        <v>90</v>
      </c>
      <c r="C16" s="3" t="n"/>
      <c r="D16" s="4" t="inlineStr">
        <is>
          <t>Form10A_2026-05-27 p365</t>
        </is>
      </c>
    </row>
    <row r="17">
      <c r="A17" s="39" t="inlineStr">
        <is>
          <t>Total contractual cash obligations - Less than 1 Year</t>
        </is>
      </c>
      <c r="B17" s="18" t="n">
        <v>51</v>
      </c>
      <c r="C17" s="3" t="n"/>
      <c r="D17" s="4" t="inlineStr">
        <is>
          <t>Form10A_2026-05-27 p365</t>
        </is>
      </c>
    </row>
    <row r="18">
      <c r="A18" s="39" t="inlineStr">
        <is>
          <t>Total contractual cash obligations - 1-3 Years</t>
        </is>
      </c>
      <c r="B18" s="18" t="n">
        <v>40</v>
      </c>
      <c r="C18" s="3" t="n"/>
      <c r="D18" s="4" t="inlineStr">
        <is>
          <t>Form10A_2026-05-27 p365</t>
        </is>
      </c>
    </row>
    <row r="19">
      <c r="A19" s="39" t="inlineStr">
        <is>
          <t>Total contractual cash obligations - 3-5 Years</t>
        </is>
      </c>
      <c r="B19" s="18" t="n">
        <v>14</v>
      </c>
      <c r="C19" s="3" t="n"/>
      <c r="D19" s="4" t="inlineStr">
        <is>
          <t>Form10A_2026-05-27 p365</t>
        </is>
      </c>
    </row>
    <row r="20">
      <c r="A20" s="39" t="inlineStr">
        <is>
          <t>Total contractual cash obligations - More than 5 Years</t>
        </is>
      </c>
      <c r="B20" s="18" t="n">
        <v>4</v>
      </c>
      <c r="C20" s="3" t="n"/>
      <c r="D20" s="4" t="inlineStr">
        <is>
          <t>Form10A_2026-05-27 p365</t>
        </is>
      </c>
    </row>
    <row r="21">
      <c r="A21" s="39" t="inlineStr">
        <is>
          <t>Total contractual cash obligations - Total</t>
        </is>
      </c>
      <c r="B21" s="18" t="n">
        <v>109</v>
      </c>
      <c r="C21" s="3" t="n"/>
      <c r="D21" s="4" t="inlineStr">
        <is>
          <t>Form10A_2026-05-27 p365</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45" customWidth="1" min="7" max="7"/>
    <col hidden="1" width="13" customWidth="1" min="26" max="26"/>
  </cols>
  <sheetData>
    <row r="1" ht="20" customHeight="1">
      <c r="A1" s="1" t="inlineStr">
        <is>
          <t>Unearned revenue and remaining performance obligations</t>
        </is>
      </c>
      <c r="B1" s="2" t="n"/>
      <c r="C1" s="2" t="n"/>
      <c r="D1" s="2" t="n"/>
      <c r="E1" s="2" t="n"/>
      <c r="F1" s="2" t="n"/>
      <c r="G1" s="2" t="n"/>
    </row>
    <row r="2">
      <c r="A2" s="4" t="inlineStr">
        <is>
          <t>As printed; see notes_NOTES.md for unreadable cells and tables that do not foot.</t>
        </is>
      </c>
      <c r="B2" s="3" t="n"/>
      <c r="C2" s="3" t="n"/>
      <c r="D2" s="3" t="n"/>
      <c r="E2" s="3" t="n"/>
      <c r="F2" s="3" t="n"/>
      <c r="G2" s="3" t="n"/>
    </row>
    <row r="3">
      <c r="A3" s="3" t="n"/>
      <c r="B3" s="3" t="n"/>
      <c r="C3" s="3" t="n"/>
      <c r="D3" s="3" t="n"/>
      <c r="E3" s="3" t="n"/>
      <c r="F3" s="3" t="n"/>
      <c r="G3" s="3" t="n"/>
    </row>
    <row r="4">
      <c r="A4" s="9" t="inlineStr">
        <is>
          <t>Line item (verbatim caption)</t>
        </is>
      </c>
      <c r="B4" s="29" t="inlineStr">
        <is>
          <t>FY2024</t>
        </is>
      </c>
      <c r="C4" s="29" t="inlineStr">
        <is>
          <t>FY2025</t>
        </is>
      </c>
      <c r="D4" s="29" t="inlineStr">
        <is>
          <t>Q1-2026</t>
        </is>
      </c>
      <c r="E4" s="29" t="inlineStr">
        <is>
          <t>Q2-2026</t>
        </is>
      </c>
      <c r="F4" s="29" t="inlineStr">
        <is>
          <t>6M-2026</t>
        </is>
      </c>
      <c r="G4" s="29" t="inlineStr">
        <is>
          <t>Source (doc p.)</t>
        </is>
      </c>
    </row>
    <row r="5">
      <c r="A5" s="14" t="inlineStr">
        <is>
          <t>Form10A_2026-05-27 · Unearned Revenue</t>
        </is>
      </c>
      <c r="B5" s="15" t="n"/>
      <c r="C5" s="15" t="n"/>
      <c r="D5" s="15" t="n"/>
      <c r="E5" s="15" t="n"/>
      <c r="F5" s="15" t="n"/>
      <c r="G5" s="15" t="n"/>
    </row>
    <row r="6">
      <c r="A6" s="38" t="inlineStr">
        <is>
          <t>revenues recognized that were included in the unearned revenue balance at the beginning of the period</t>
        </is>
      </c>
      <c r="B6" s="3" t="n"/>
      <c r="C6" s="30" t="n">
        <v>73</v>
      </c>
      <c r="D6" s="30" t="n">
        <v>38</v>
      </c>
      <c r="E6" s="3" t="n"/>
      <c r="F6" s="3" t="n"/>
      <c r="G6" s="4" t="inlineStr">
        <is>
          <t>Form10A_2026-05-27 p428; Form10A_2026-05-27 p447</t>
        </is>
      </c>
    </row>
    <row r="7">
      <c r="A7" s="14" t="inlineStr">
        <is>
          <t>Form10A_2026-05-27 · Remaining Performance Obligations</t>
        </is>
      </c>
      <c r="B7" s="15" t="n"/>
      <c r="C7" s="15" t="n"/>
      <c r="D7" s="15" t="n"/>
      <c r="E7" s="15" t="n"/>
      <c r="F7" s="15" t="n"/>
      <c r="G7" s="15" t="n"/>
    </row>
    <row r="8">
      <c r="A8" s="38" t="inlineStr">
        <is>
          <t>aggregate transaction price allocated to remaining performance obligations (majority over next 12 months)</t>
        </is>
      </c>
      <c r="B8" s="3" t="n"/>
      <c r="C8" s="30" t="n">
        <v>78</v>
      </c>
      <c r="D8" s="30" t="n">
        <v>92</v>
      </c>
      <c r="E8" s="3" t="n"/>
      <c r="F8" s="3" t="n"/>
      <c r="G8" s="4" t="inlineStr">
        <is>
          <t>Form10A_2026-05-27 p429; Form10A_2026-05-27 p447</t>
        </is>
      </c>
    </row>
    <row r="9">
      <c r="A9" s="14" t="inlineStr">
        <is>
          <t>Form10A_2026-05-27 · Balance sheet</t>
        </is>
      </c>
      <c r="B9" s="15" t="n"/>
      <c r="C9" s="15" t="n"/>
      <c r="D9" s="15" t="n"/>
      <c r="E9" s="15" t="n"/>
      <c r="F9" s="15" t="n"/>
      <c r="G9" s="15" t="n"/>
    </row>
    <row r="10">
      <c r="A10" s="38" t="inlineStr">
        <is>
          <t>Unearned revenue</t>
        </is>
      </c>
      <c r="B10" s="30" t="n">
        <v>75</v>
      </c>
      <c r="C10" s="30" t="n">
        <v>78</v>
      </c>
      <c r="D10" s="30" t="n">
        <v>94</v>
      </c>
      <c r="E10" s="3" t="n"/>
      <c r="F10" s="3" t="n"/>
      <c r="G10" s="4" t="inlineStr">
        <is>
          <t>Form10A_2026-05-27 p424; Form10A_2026-05-27 p442</t>
        </is>
      </c>
    </row>
    <row r="11">
      <c r="A11" s="14" t="inlineStr">
        <is>
          <t>10Q_Q2-2026 · Unearned Revenue</t>
        </is>
      </c>
      <c r="B11" s="15" t="n"/>
      <c r="C11" s="15" t="n"/>
      <c r="D11" s="15" t="n"/>
      <c r="E11" s="15" t="n"/>
      <c r="F11" s="15" t="n"/>
      <c r="G11" s="15" t="n"/>
    </row>
    <row r="12">
      <c r="A12" s="38" t="inlineStr">
        <is>
          <t>revenues recognized that were included in the unearned revenue balance at the beginning of the period</t>
        </is>
      </c>
      <c r="B12" s="3" t="n"/>
      <c r="C12" s="3" t="n"/>
      <c r="D12" s="3" t="n"/>
      <c r="E12" s="3" t="n"/>
      <c r="F12" s="30" t="n">
        <v>60</v>
      </c>
      <c r="G12" s="4" t="inlineStr">
        <is>
          <t>10Q_Q2-2026 p10</t>
        </is>
      </c>
    </row>
    <row r="13">
      <c r="A13" s="14" t="inlineStr">
        <is>
          <t>10Q_Q2-2026 · Remaining Performance Obligations</t>
        </is>
      </c>
      <c r="B13" s="15" t="n"/>
      <c r="C13" s="15" t="n"/>
      <c r="D13" s="15" t="n"/>
      <c r="E13" s="15" t="n"/>
      <c r="F13" s="15" t="n"/>
      <c r="G13" s="15" t="n"/>
    </row>
    <row r="14">
      <c r="A14" s="38" t="inlineStr">
        <is>
          <t>aggregate transaction price allocated to remaining performance obligations (majority over next 12 months)</t>
        </is>
      </c>
      <c r="B14" s="3" t="n"/>
      <c r="C14" s="3" t="n"/>
      <c r="D14" s="3" t="n"/>
      <c r="E14" s="30" t="n">
        <v>102</v>
      </c>
      <c r="F14" s="3" t="n"/>
      <c r="G14" s="4" t="inlineStr">
        <is>
          <t>10Q_Q2-2026 p10</t>
        </is>
      </c>
    </row>
    <row r="15">
      <c r="A15" s="14" t="inlineStr">
        <is>
          <t>10Q_Q2-2026 · Balance sheet</t>
        </is>
      </c>
      <c r="B15" s="15" t="n"/>
      <c r="C15" s="15" t="n"/>
      <c r="D15" s="15" t="n"/>
      <c r="E15" s="15" t="n"/>
      <c r="F15" s="15" t="n"/>
      <c r="G15" s="15" t="n"/>
    </row>
    <row r="16">
      <c r="A16" s="38" t="inlineStr">
        <is>
          <t>Unearned revenue</t>
        </is>
      </c>
      <c r="B16" s="3" t="n"/>
      <c r="C16" s="3" t="n"/>
      <c r="D16" s="3" t="n"/>
      <c r="E16" s="30" t="n">
        <v>102</v>
      </c>
      <c r="F16" s="3" t="n"/>
      <c r="G16" s="4" t="inlineStr">
        <is>
          <t>10Q_Q2-2026 p6</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6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45" customWidth="1" min="4" max="4"/>
    <col hidden="1" width="13" customWidth="1" min="26" max="26"/>
  </cols>
  <sheetData>
    <row r="1" ht="20" customHeight="1">
      <c r="A1" s="1" t="inlineStr">
        <is>
          <t>Unaudited pro forma condensed combined (Form 10/A) — never merged with historical</t>
        </is>
      </c>
      <c r="B1" s="2" t="n"/>
      <c r="C1" s="2" t="n"/>
      <c r="D1" s="2" t="n"/>
    </row>
    <row r="2">
      <c r="A2" s="4" t="inlineStr">
        <is>
          <t>Management estimates of the separation (debt, distribution, standalone adjustments).</t>
        </is>
      </c>
      <c r="B2" s="3" t="n"/>
      <c r="C2" s="3" t="n"/>
      <c r="D2" s="3" t="n"/>
    </row>
    <row r="3">
      <c r="A3" s="3" t="n"/>
      <c r="B3" s="3" t="n"/>
      <c r="C3" s="3" t="n"/>
      <c r="D3" s="3" t="n"/>
    </row>
    <row r="4">
      <c r="A4" s="9" t="inlineStr">
        <is>
          <t>Line item (verbatim caption)</t>
        </is>
      </c>
      <c r="B4" s="29" t="inlineStr">
        <is>
          <t>FY2025</t>
        </is>
      </c>
      <c r="C4" s="29" t="inlineStr">
        <is>
          <t>Q1-2026</t>
        </is>
      </c>
      <c r="D4" s="29" t="inlineStr">
        <is>
          <t>Source (doc p.)</t>
        </is>
      </c>
    </row>
    <row r="5">
      <c r="A5" s="14" t="inlineStr">
        <is>
          <t>Form10A_2026-05-27 · PF IS Q1-2026 - Historical Spin Business (a)</t>
        </is>
      </c>
      <c r="B5" s="15" t="n"/>
      <c r="C5" s="15" t="n"/>
      <c r="D5" s="15" t="n"/>
    </row>
    <row r="6">
      <c r="A6" s="39" t="inlineStr">
        <is>
          <t>Revenue</t>
        </is>
      </c>
      <c r="B6" s="3" t="n"/>
      <c r="C6" s="18" t="n">
        <v>455</v>
      </c>
      <c r="D6" s="4" t="inlineStr">
        <is>
          <t>Form10A_2026-05-27 p334</t>
        </is>
      </c>
    </row>
    <row r="7">
      <c r="A7" s="38" t="inlineStr">
        <is>
          <t>Operating-related expenses</t>
        </is>
      </c>
      <c r="B7" s="3" t="n"/>
      <c r="C7" s="30" t="n">
        <v>136</v>
      </c>
      <c r="D7" s="4" t="inlineStr">
        <is>
          <t>Form10A_2026-05-27 p334</t>
        </is>
      </c>
    </row>
    <row r="8">
      <c r="A8" s="38" t="inlineStr">
        <is>
          <t>Selling and general expenses</t>
        </is>
      </c>
      <c r="B8" s="3" t="n"/>
      <c r="C8" s="30" t="n">
        <v>160</v>
      </c>
      <c r="D8" s="4" t="inlineStr">
        <is>
          <t>Form10A_2026-05-27 p334</t>
        </is>
      </c>
    </row>
    <row r="9">
      <c r="A9" s="38" t="inlineStr">
        <is>
          <t>Depreciation</t>
        </is>
      </c>
      <c r="B9" s="3" t="n"/>
      <c r="C9" s="30" t="n">
        <v>4</v>
      </c>
      <c r="D9" s="4" t="inlineStr">
        <is>
          <t>Form10A_2026-05-27 p334</t>
        </is>
      </c>
    </row>
    <row r="10">
      <c r="A10" s="38" t="inlineStr">
        <is>
          <t>Amortization of intangibles</t>
        </is>
      </c>
      <c r="B10" s="3" t="n"/>
      <c r="C10" s="30" t="n">
        <v>74</v>
      </c>
      <c r="D10" s="4" t="inlineStr">
        <is>
          <t>Form10A_2026-05-27 p334</t>
        </is>
      </c>
    </row>
    <row r="11">
      <c r="A11" s="39" t="inlineStr">
        <is>
          <t>Total expenses</t>
        </is>
      </c>
      <c r="B11" s="3" t="n"/>
      <c r="C11" s="18" t="n">
        <v>374</v>
      </c>
      <c r="D11" s="4" t="inlineStr">
        <is>
          <t>Form10A_2026-05-27 p334</t>
        </is>
      </c>
    </row>
    <row r="12">
      <c r="A12" s="39" t="inlineStr">
        <is>
          <t>Operating profit</t>
        </is>
      </c>
      <c r="B12" s="3" t="n"/>
      <c r="C12" s="18" t="n">
        <v>81</v>
      </c>
      <c r="D12" s="4" t="inlineStr">
        <is>
          <t>Form10A_2026-05-27 p334</t>
        </is>
      </c>
    </row>
    <row r="13">
      <c r="A13" s="38" t="inlineStr">
        <is>
          <t>Interest expense, net</t>
        </is>
      </c>
      <c r="B13" s="3" t="n"/>
      <c r="C13" s="30" t="n">
        <v>3</v>
      </c>
      <c r="D13" s="4" t="inlineStr">
        <is>
          <t>Form10A_2026-05-27 p334</t>
        </is>
      </c>
    </row>
    <row r="14">
      <c r="A14" s="39" t="inlineStr">
        <is>
          <t>Income before taxes on income</t>
        </is>
      </c>
      <c r="B14" s="3" t="n"/>
      <c r="C14" s="18" t="n">
        <v>78</v>
      </c>
      <c r="D14" s="4" t="inlineStr">
        <is>
          <t>Form10A_2026-05-27 p334</t>
        </is>
      </c>
    </row>
    <row r="15">
      <c r="A15" s="38" t="inlineStr">
        <is>
          <t>Provision for taxes on income</t>
        </is>
      </c>
      <c r="B15" s="3" t="n"/>
      <c r="C15" s="30" t="n">
        <v>23</v>
      </c>
      <c r="D15" s="4" t="inlineStr">
        <is>
          <t>Form10A_2026-05-27 p334</t>
        </is>
      </c>
    </row>
    <row r="16">
      <c r="A16" s="39" t="inlineStr">
        <is>
          <t>Net income</t>
        </is>
      </c>
      <c r="B16" s="3" t="n"/>
      <c r="C16" s="18" t="n">
        <v>55</v>
      </c>
      <c r="D16" s="4" t="inlineStr">
        <is>
          <t>Form10A_2026-05-27 p334</t>
        </is>
      </c>
    </row>
    <row r="17">
      <c r="A17" s="14" t="inlineStr">
        <is>
          <t>Form10A_2026-05-27 · PF IS Q1-2026 - Pro Forma</t>
        </is>
      </c>
      <c r="B17" s="15" t="n"/>
      <c r="C17" s="15" t="n"/>
      <c r="D17" s="15" t="n"/>
    </row>
    <row r="18">
      <c r="A18" s="39" t="inlineStr">
        <is>
          <t>Revenue</t>
        </is>
      </c>
      <c r="B18" s="3" t="n"/>
      <c r="C18" s="18" t="n">
        <v>455</v>
      </c>
      <c r="D18" s="4" t="inlineStr">
        <is>
          <t>Form10A_2026-05-27 p334</t>
        </is>
      </c>
    </row>
    <row r="19">
      <c r="A19" s="38" t="inlineStr">
        <is>
          <t>Operating-related expenses</t>
        </is>
      </c>
      <c r="B19" s="3" t="n"/>
      <c r="C19" s="30" t="n">
        <v>136</v>
      </c>
      <c r="D19" s="4" t="inlineStr">
        <is>
          <t>Form10A_2026-05-27 p334</t>
        </is>
      </c>
    </row>
    <row r="20">
      <c r="A20" s="38" t="inlineStr">
        <is>
          <t>Selling and general expenses</t>
        </is>
      </c>
      <c r="B20" s="3" t="n"/>
      <c r="C20" s="30" t="n">
        <v>162</v>
      </c>
      <c r="D20" s="4" t="inlineStr">
        <is>
          <t>Form10A_2026-05-27 p334</t>
        </is>
      </c>
    </row>
    <row r="21">
      <c r="A21" s="38" t="inlineStr">
        <is>
          <t>Depreciation</t>
        </is>
      </c>
      <c r="B21" s="3" t="n"/>
      <c r="C21" s="30" t="n">
        <v>4</v>
      </c>
      <c r="D21" s="4" t="inlineStr">
        <is>
          <t>Form10A_2026-05-27 p334</t>
        </is>
      </c>
    </row>
    <row r="22">
      <c r="A22" s="38" t="inlineStr">
        <is>
          <t>Amortization of intangibles</t>
        </is>
      </c>
      <c r="B22" s="3" t="n"/>
      <c r="C22" s="30" t="n">
        <v>74</v>
      </c>
      <c r="D22" s="4" t="inlineStr">
        <is>
          <t>Form10A_2026-05-27 p334</t>
        </is>
      </c>
    </row>
    <row r="23">
      <c r="A23" s="39" t="inlineStr">
        <is>
          <t>Total expenses</t>
        </is>
      </c>
      <c r="B23" s="3" t="n"/>
      <c r="C23" s="18" t="n">
        <v>376</v>
      </c>
      <c r="D23" s="4" t="inlineStr">
        <is>
          <t>Form10A_2026-05-27 p334</t>
        </is>
      </c>
    </row>
    <row r="24">
      <c r="A24" s="39" t="inlineStr">
        <is>
          <t>Operating profit</t>
        </is>
      </c>
      <c r="B24" s="3" t="n"/>
      <c r="C24" s="18" t="n">
        <v>79</v>
      </c>
      <c r="D24" s="4" t="inlineStr">
        <is>
          <t>Form10A_2026-05-27 p334</t>
        </is>
      </c>
    </row>
    <row r="25">
      <c r="A25" s="38" t="inlineStr">
        <is>
          <t>Interest expense, net</t>
        </is>
      </c>
      <c r="B25" s="3" t="n"/>
      <c r="C25" s="30" t="n">
        <v>29</v>
      </c>
      <c r="D25" s="4" t="inlineStr">
        <is>
          <t>Form10A_2026-05-27 p334</t>
        </is>
      </c>
    </row>
    <row r="26">
      <c r="A26" s="39" t="inlineStr">
        <is>
          <t>Income before taxes on income</t>
        </is>
      </c>
      <c r="B26" s="3" t="n"/>
      <c r="C26" s="18" t="n">
        <v>50</v>
      </c>
      <c r="D26" s="4" t="inlineStr">
        <is>
          <t>Form10A_2026-05-27 p334</t>
        </is>
      </c>
    </row>
    <row r="27">
      <c r="A27" s="38" t="inlineStr">
        <is>
          <t>Provision for taxes on income</t>
        </is>
      </c>
      <c r="B27" s="3" t="n"/>
      <c r="C27" s="30" t="n">
        <v>15</v>
      </c>
      <c r="D27" s="4" t="inlineStr">
        <is>
          <t>Form10A_2026-05-27 p334</t>
        </is>
      </c>
    </row>
    <row r="28">
      <c r="A28" s="39" t="inlineStr">
        <is>
          <t>Net income</t>
        </is>
      </c>
      <c r="B28" s="3" t="n"/>
      <c r="C28" s="18" t="n">
        <v>35</v>
      </c>
      <c r="D28" s="4" t="inlineStr">
        <is>
          <t>Form10A_2026-05-27 p334</t>
        </is>
      </c>
    </row>
    <row r="29">
      <c r="A29" s="38" t="inlineStr">
        <is>
          <t>Earnings per share - Net income: Basic</t>
        </is>
      </c>
      <c r="B29" s="3" t="n"/>
      <c r="C29" s="32" t="n">
        <v>0.12</v>
      </c>
      <c r="D29" s="4" t="inlineStr">
        <is>
          <t>Form10A_2026-05-27 p334</t>
        </is>
      </c>
    </row>
    <row r="30">
      <c r="A30" s="38" t="inlineStr">
        <is>
          <t>Earnings per share - Net income: Diluted</t>
        </is>
      </c>
      <c r="B30" s="3" t="n"/>
      <c r="C30" s="32" t="n">
        <v>0.12</v>
      </c>
      <c r="D30" s="4" t="inlineStr">
        <is>
          <t>Form10A_2026-05-27 p334</t>
        </is>
      </c>
    </row>
    <row r="31">
      <c r="A31" s="38" t="inlineStr">
        <is>
          <t>Weighted-average number of common shares outstanding: Basic</t>
        </is>
      </c>
      <c r="B31" s="3" t="n"/>
      <c r="C31" s="30" t="n">
        <v>295</v>
      </c>
      <c r="D31" s="4" t="inlineStr">
        <is>
          <t>Form10A_2026-05-27 p334</t>
        </is>
      </c>
    </row>
    <row r="32">
      <c r="A32" s="38" t="inlineStr">
        <is>
          <t>Weighted-average number of common shares outstanding: Diluted</t>
        </is>
      </c>
      <c r="B32" s="3" t="n"/>
      <c r="C32" s="30" t="n">
        <v>295</v>
      </c>
      <c r="D32" s="4" t="inlineStr">
        <is>
          <t>Form10A_2026-05-27 p334</t>
        </is>
      </c>
    </row>
    <row r="33">
      <c r="A33" s="14" t="inlineStr">
        <is>
          <t>Form10A_2026-05-27 · PF IS FY2025 - Historical Spin Business (a)</t>
        </is>
      </c>
      <c r="B33" s="15" t="n"/>
      <c r="C33" s="15" t="n"/>
      <c r="D33" s="15" t="n"/>
    </row>
    <row r="34">
      <c r="A34" s="39" t="inlineStr">
        <is>
          <t>Revenue</t>
        </is>
      </c>
      <c r="B34" s="18" t="n">
        <v>1750</v>
      </c>
      <c r="C34" s="3" t="n"/>
      <c r="D34" s="4" t="inlineStr">
        <is>
          <t>Form10A_2026-05-27 p335</t>
        </is>
      </c>
    </row>
    <row r="35">
      <c r="A35" s="38" t="inlineStr">
        <is>
          <t>Operating-related expenses</t>
        </is>
      </c>
      <c r="B35" s="30" t="n">
        <v>516</v>
      </c>
      <c r="C35" s="3" t="n"/>
      <c r="D35" s="4" t="inlineStr">
        <is>
          <t>Form10A_2026-05-27 p335</t>
        </is>
      </c>
    </row>
    <row r="36">
      <c r="A36" s="38" t="inlineStr">
        <is>
          <t>Selling and general expenses</t>
        </is>
      </c>
      <c r="B36" s="30" t="n">
        <v>585</v>
      </c>
      <c r="C36" s="3" t="n"/>
      <c r="D36" s="4" t="inlineStr">
        <is>
          <t>Form10A_2026-05-27 p335</t>
        </is>
      </c>
    </row>
    <row r="37">
      <c r="A37" s="38" t="inlineStr">
        <is>
          <t>Depreciation</t>
        </is>
      </c>
      <c r="B37" s="30" t="n">
        <v>14</v>
      </c>
      <c r="C37" s="3" t="n"/>
      <c r="D37" s="4" t="inlineStr">
        <is>
          <t>Form10A_2026-05-27 p335</t>
        </is>
      </c>
    </row>
    <row r="38">
      <c r="A38" s="38" t="inlineStr">
        <is>
          <t>Amortization of intangibles</t>
        </is>
      </c>
      <c r="B38" s="30" t="n">
        <v>296</v>
      </c>
      <c r="C38" s="3" t="n"/>
      <c r="D38" s="4" t="inlineStr">
        <is>
          <t>Form10A_2026-05-27 p335</t>
        </is>
      </c>
    </row>
    <row r="39">
      <c r="A39" s="39" t="inlineStr">
        <is>
          <t>Total expenses</t>
        </is>
      </c>
      <c r="B39" s="18" t="n">
        <v>1411</v>
      </c>
      <c r="C39" s="3" t="n"/>
      <c r="D39" s="4" t="inlineStr">
        <is>
          <t>Form10A_2026-05-27 p335</t>
        </is>
      </c>
    </row>
    <row r="40">
      <c r="A40" s="39" t="inlineStr">
        <is>
          <t>Operating profit</t>
        </is>
      </c>
      <c r="B40" s="18" t="n">
        <v>339</v>
      </c>
      <c r="C40" s="3" t="n"/>
      <c r="D40" s="4" t="inlineStr">
        <is>
          <t>Form10A_2026-05-27 p335</t>
        </is>
      </c>
    </row>
    <row r="41">
      <c r="A41" s="38" t="inlineStr">
        <is>
          <t>Interest expense, net</t>
        </is>
      </c>
      <c r="B41" s="30" t="n">
        <v>13</v>
      </c>
      <c r="C41" s="3" t="n"/>
      <c r="D41" s="4" t="inlineStr">
        <is>
          <t>Form10A_2026-05-27 p335</t>
        </is>
      </c>
    </row>
    <row r="42">
      <c r="A42" s="39" t="inlineStr">
        <is>
          <t>Income before taxes on income</t>
        </is>
      </c>
      <c r="B42" s="18" t="n">
        <v>326</v>
      </c>
      <c r="C42" s="3" t="n"/>
      <c r="D42" s="4" t="inlineStr">
        <is>
          <t>Form10A_2026-05-27 p335</t>
        </is>
      </c>
    </row>
    <row r="43">
      <c r="A43" s="38" t="inlineStr">
        <is>
          <t>Provision for taxes on income</t>
        </is>
      </c>
      <c r="B43" s="30" t="n">
        <v>106</v>
      </c>
      <c r="C43" s="3" t="n"/>
      <c r="D43" s="4" t="inlineStr">
        <is>
          <t>Form10A_2026-05-27 p335</t>
        </is>
      </c>
    </row>
    <row r="44">
      <c r="A44" s="39" t="inlineStr">
        <is>
          <t>Net income</t>
        </is>
      </c>
      <c r="B44" s="18" t="n">
        <v>220</v>
      </c>
      <c r="C44" s="3" t="n"/>
      <c r="D44" s="4" t="inlineStr">
        <is>
          <t>Form10A_2026-05-27 p335</t>
        </is>
      </c>
    </row>
    <row r="45">
      <c r="A45" s="14" t="inlineStr">
        <is>
          <t>Form10A_2026-05-27 · PF IS FY2025 - Pro Forma</t>
        </is>
      </c>
      <c r="B45" s="15" t="n"/>
      <c r="C45" s="15" t="n"/>
      <c r="D45" s="15" t="n"/>
    </row>
    <row r="46">
      <c r="A46" s="39" t="inlineStr">
        <is>
          <t>Revenue</t>
        </is>
      </c>
      <c r="B46" s="18" t="n">
        <v>1750</v>
      </c>
      <c r="C46" s="3" t="n"/>
      <c r="D46" s="4" t="inlineStr">
        <is>
          <t>Form10A_2026-05-27 p335</t>
        </is>
      </c>
    </row>
    <row r="47">
      <c r="A47" s="38" t="inlineStr">
        <is>
          <t>Operating-related expenses</t>
        </is>
      </c>
      <c r="B47" s="30" t="n">
        <v>516</v>
      </c>
      <c r="C47" s="3" t="n"/>
      <c r="D47" s="4" t="inlineStr">
        <is>
          <t>Form10A_2026-05-27 p335</t>
        </is>
      </c>
    </row>
    <row r="48">
      <c r="A48" s="38" t="inlineStr">
        <is>
          <t>Selling and general expenses</t>
        </is>
      </c>
      <c r="B48" s="30" t="n">
        <v>597</v>
      </c>
      <c r="C48" s="3" t="n"/>
      <c r="D48" s="4" t="inlineStr">
        <is>
          <t>Form10A_2026-05-27 p335</t>
        </is>
      </c>
    </row>
    <row r="49">
      <c r="A49" s="38" t="inlineStr">
        <is>
          <t>Depreciation</t>
        </is>
      </c>
      <c r="B49" s="30" t="n">
        <v>14</v>
      </c>
      <c r="C49" s="3" t="n"/>
      <c r="D49" s="4" t="inlineStr">
        <is>
          <t>Form10A_2026-05-27 p335</t>
        </is>
      </c>
    </row>
    <row r="50">
      <c r="A50" s="38" t="inlineStr">
        <is>
          <t>Amortization of intangibles</t>
        </is>
      </c>
      <c r="B50" s="30" t="n">
        <v>296</v>
      </c>
      <c r="C50" s="3" t="n"/>
      <c r="D50" s="4" t="inlineStr">
        <is>
          <t>Form10A_2026-05-27 p335</t>
        </is>
      </c>
    </row>
    <row r="51">
      <c r="A51" s="39" t="inlineStr">
        <is>
          <t>Total expenses</t>
        </is>
      </c>
      <c r="B51" s="18" t="n">
        <v>1423</v>
      </c>
      <c r="C51" s="3" t="n"/>
      <c r="D51" s="4" t="inlineStr">
        <is>
          <t>Form10A_2026-05-27 p335</t>
        </is>
      </c>
    </row>
    <row r="52">
      <c r="A52" s="39" t="inlineStr">
        <is>
          <t>Operating profit</t>
        </is>
      </c>
      <c r="B52" s="18" t="n">
        <v>327</v>
      </c>
      <c r="C52" s="3" t="n"/>
      <c r="D52" s="4" t="inlineStr">
        <is>
          <t>Form10A_2026-05-27 p335</t>
        </is>
      </c>
    </row>
    <row r="53">
      <c r="A53" s="38" t="inlineStr">
        <is>
          <t>Interest expense, net</t>
        </is>
      </c>
      <c r="B53" s="30" t="n">
        <v>113</v>
      </c>
      <c r="C53" s="3" t="n"/>
      <c r="D53" s="4" t="inlineStr">
        <is>
          <t>Form10A_2026-05-27 p335</t>
        </is>
      </c>
    </row>
    <row r="54">
      <c r="A54" s="39" t="inlineStr">
        <is>
          <t>Income before taxes on income</t>
        </is>
      </c>
      <c r="B54" s="18" t="n">
        <v>214</v>
      </c>
      <c r="C54" s="3" t="n"/>
      <c r="D54" s="4" t="inlineStr">
        <is>
          <t>Form10A_2026-05-27 p335</t>
        </is>
      </c>
    </row>
    <row r="55">
      <c r="A55" s="38" t="inlineStr">
        <is>
          <t>Provision for taxes on income</t>
        </is>
      </c>
      <c r="B55" s="30" t="n">
        <v>75</v>
      </c>
      <c r="C55" s="3" t="n"/>
      <c r="D55" s="4" t="inlineStr">
        <is>
          <t>Form10A_2026-05-27 p335</t>
        </is>
      </c>
    </row>
    <row r="56">
      <c r="A56" s="39" t="inlineStr">
        <is>
          <t>Net income</t>
        </is>
      </c>
      <c r="B56" s="18" t="n">
        <v>139</v>
      </c>
      <c r="C56" s="3" t="n"/>
      <c r="D56" s="4" t="inlineStr">
        <is>
          <t>Form10A_2026-05-27 p335</t>
        </is>
      </c>
    </row>
    <row r="57">
      <c r="A57" s="38" t="inlineStr">
        <is>
          <t>Earnings per share - Net income: Basic</t>
        </is>
      </c>
      <c r="B57" s="32" t="n">
        <v>0.47</v>
      </c>
      <c r="C57" s="3" t="n"/>
      <c r="D57" s="4" t="inlineStr">
        <is>
          <t>Form10A_2026-05-27 p335</t>
        </is>
      </c>
    </row>
    <row r="58">
      <c r="A58" s="38" t="inlineStr">
        <is>
          <t>Earnings per share - Net income: Diluted</t>
        </is>
      </c>
      <c r="B58" s="32" t="n">
        <v>0.47</v>
      </c>
      <c r="C58" s="3" t="n"/>
      <c r="D58" s="4" t="inlineStr">
        <is>
          <t>Form10A_2026-05-27 p335</t>
        </is>
      </c>
    </row>
    <row r="59">
      <c r="A59" s="38" t="inlineStr">
        <is>
          <t>Weighted-average number of common shares outstanding: Basic</t>
        </is>
      </c>
      <c r="B59" s="30" t="n">
        <v>295</v>
      </c>
      <c r="C59" s="3" t="n"/>
      <c r="D59" s="4" t="inlineStr">
        <is>
          <t>Form10A_2026-05-27 p335</t>
        </is>
      </c>
    </row>
    <row r="60">
      <c r="A60" s="38" t="inlineStr">
        <is>
          <t>Weighted-average number of common shares outstanding: Diluted</t>
        </is>
      </c>
      <c r="B60" s="30" t="n">
        <v>295</v>
      </c>
      <c r="C60" s="3" t="n"/>
      <c r="D60" s="4" t="inlineStr">
        <is>
          <t>Form10A_2026-05-27 p335</t>
        </is>
      </c>
    </row>
    <row r="61">
      <c r="A61" s="14" t="inlineStr">
        <is>
          <t>Form10A_2026-05-27 · PF IS Q1-2026 - Transaction Accounting Adjustments</t>
        </is>
      </c>
      <c r="B61" s="15" t="n"/>
      <c r="C61" s="15" t="n"/>
      <c r="D61" s="15" t="n"/>
    </row>
    <row r="62">
      <c r="A62" s="38" t="inlineStr">
        <is>
          <t>Interest expense, net</t>
        </is>
      </c>
      <c r="B62" s="3" t="n"/>
      <c r="C62" s="30" t="n">
        <v>26</v>
      </c>
      <c r="D62" s="4" t="inlineStr">
        <is>
          <t>Form10A_2026-05-27 p334</t>
        </is>
      </c>
    </row>
    <row r="63">
      <c r="A63" s="38" t="inlineStr">
        <is>
          <t>Income before taxes on income</t>
        </is>
      </c>
      <c r="B63" s="3" t="n"/>
      <c r="C63" s="30" t="n">
        <v>-26</v>
      </c>
      <c r="D63" s="4" t="inlineStr">
        <is>
          <t>Form10A_2026-05-27 p334</t>
        </is>
      </c>
    </row>
    <row r="64">
      <c r="A64" s="38" t="inlineStr">
        <is>
          <t>Net income</t>
        </is>
      </c>
      <c r="B64" s="3" t="n"/>
      <c r="C64" s="30" t="n">
        <v>-19</v>
      </c>
      <c r="D64" s="4" t="inlineStr">
        <is>
          <t>Form10A_2026-05-27 p334</t>
        </is>
      </c>
    </row>
    <row r="65">
      <c r="A65" s="14" t="inlineStr">
        <is>
          <t>Form10A_2026-05-27 · PF IS Q1-2026 - Autonomous Entity Adjustments</t>
        </is>
      </c>
      <c r="B65" s="15" t="n"/>
      <c r="C65" s="15" t="n"/>
      <c r="D65" s="15" t="n"/>
    </row>
    <row r="66">
      <c r="A66" s="38" t="inlineStr">
        <is>
          <t>Selling and general expenses</t>
        </is>
      </c>
      <c r="B66" s="3" t="n"/>
      <c r="C66" s="30" t="n">
        <v>2</v>
      </c>
      <c r="D66" s="4" t="inlineStr">
        <is>
          <t>Form10A_2026-05-27 p334</t>
        </is>
      </c>
    </row>
    <row r="67">
      <c r="A67" s="38" t="inlineStr">
        <is>
          <t>Net income</t>
        </is>
      </c>
      <c r="B67" s="3" t="n"/>
      <c r="C67" s="30" t="n">
        <v>-1</v>
      </c>
      <c r="D67" s="4" t="inlineStr">
        <is>
          <t>Form10A_2026-05-27 p334</t>
        </is>
      </c>
    </row>
    <row r="68">
      <c r="A68" s="14" t="inlineStr">
        <is>
          <t>Form10A_2026-05-27 · PF IS FY2025 - Transaction Accounting Adjustments</t>
        </is>
      </c>
      <c r="B68" s="15" t="n"/>
      <c r="C68" s="15" t="n"/>
      <c r="D68" s="15" t="n"/>
    </row>
    <row r="69">
      <c r="A69" s="38" t="inlineStr">
        <is>
          <t>Interest expense, net</t>
        </is>
      </c>
      <c r="B69" s="30" t="n">
        <v>100</v>
      </c>
      <c r="C69" s="3" t="n"/>
      <c r="D69" s="4" t="inlineStr">
        <is>
          <t>Form10A_2026-05-27 p335</t>
        </is>
      </c>
    </row>
    <row r="70">
      <c r="A70" s="38" t="inlineStr">
        <is>
          <t>Income before taxes on income</t>
        </is>
      </c>
      <c r="B70" s="30" t="n">
        <v>-100</v>
      </c>
      <c r="C70" s="3" t="n"/>
      <c r="D70" s="4" t="inlineStr">
        <is>
          <t>Form10A_2026-05-27 p335</t>
        </is>
      </c>
    </row>
    <row r="71">
      <c r="A71" s="38" t="inlineStr">
        <is>
          <t>Provision for taxes on income</t>
        </is>
      </c>
      <c r="B71" s="30" t="n">
        <v>-28</v>
      </c>
      <c r="C71" s="3" t="n"/>
      <c r="D71" s="4" t="inlineStr">
        <is>
          <t>Form10A_2026-05-27 p335</t>
        </is>
      </c>
    </row>
    <row r="72">
      <c r="A72" s="38" t="inlineStr">
        <is>
          <t>Net income</t>
        </is>
      </c>
      <c r="B72" s="30" t="n">
        <v>-72</v>
      </c>
      <c r="C72" s="3" t="n"/>
      <c r="D72" s="4" t="inlineStr">
        <is>
          <t>Form10A_2026-05-27 p335</t>
        </is>
      </c>
    </row>
    <row r="73">
      <c r="A73" s="14" t="inlineStr">
        <is>
          <t>Form10A_2026-05-27 · PF IS FY2025 - Autonomous Entity Adjustments</t>
        </is>
      </c>
      <c r="B73" s="15" t="n"/>
      <c r="C73" s="15" t="n"/>
      <c r="D73" s="15" t="n"/>
    </row>
    <row r="74">
      <c r="A74" s="38" t="inlineStr">
        <is>
          <t>Selling and general expenses</t>
        </is>
      </c>
      <c r="B74" s="30" t="n">
        <v>12</v>
      </c>
      <c r="C74" s="3" t="n"/>
      <c r="D74" s="4" t="inlineStr">
        <is>
          <t>Form10A_2026-05-27 p335</t>
        </is>
      </c>
    </row>
    <row r="75">
      <c r="A75" s="38" t="inlineStr">
        <is>
          <t>Total expenses</t>
        </is>
      </c>
      <c r="B75" s="30" t="n">
        <v>12</v>
      </c>
      <c r="C75" s="3" t="n"/>
      <c r="D75" s="4" t="inlineStr">
        <is>
          <t>Form10A_2026-05-27 p335</t>
        </is>
      </c>
    </row>
    <row r="76">
      <c r="A76" s="38" t="inlineStr">
        <is>
          <t>Operating profit</t>
        </is>
      </c>
      <c r="B76" s="30" t="n">
        <v>-12</v>
      </c>
      <c r="C76" s="3" t="n"/>
      <c r="D76" s="4" t="inlineStr">
        <is>
          <t>Form10A_2026-05-27 p335</t>
        </is>
      </c>
    </row>
    <row r="77">
      <c r="A77" s="38" t="inlineStr">
        <is>
          <t>Provision for taxes on income</t>
        </is>
      </c>
      <c r="B77" s="30" t="n">
        <v>-3</v>
      </c>
      <c r="C77" s="3" t="n"/>
      <c r="D77" s="4" t="inlineStr">
        <is>
          <t>Form10A_2026-05-27 p335</t>
        </is>
      </c>
    </row>
    <row r="78">
      <c r="A78" s="38" t="inlineStr">
        <is>
          <t>Net income</t>
        </is>
      </c>
      <c r="B78" s="30" t="n">
        <v>-9</v>
      </c>
      <c r="C78" s="3" t="n"/>
      <c r="D78" s="4" t="inlineStr">
        <is>
          <t>Form10A_2026-05-27 p335</t>
        </is>
      </c>
    </row>
    <row r="79">
      <c r="A79" s="14" t="inlineStr">
        <is>
          <t>Form10A_2026-05-27 · PF BS 2026-03-31 - Historical Spin Business (a)</t>
        </is>
      </c>
      <c r="B79" s="15" t="n"/>
      <c r="C79" s="15" t="n"/>
      <c r="D79" s="15" t="n"/>
    </row>
    <row r="80">
      <c r="A80" s="38" t="inlineStr">
        <is>
          <t>Cash and cash equivalents</t>
        </is>
      </c>
      <c r="B80" s="3" t="n"/>
      <c r="C80" s="30" t="n">
        <v>122</v>
      </c>
      <c r="D80" s="4" t="inlineStr">
        <is>
          <t>Form10A_2026-05-27 p336</t>
        </is>
      </c>
    </row>
    <row r="81">
      <c r="A81" s="38" t="inlineStr">
        <is>
          <t>Due from related parties - current</t>
        </is>
      </c>
      <c r="B81" s="3" t="n"/>
      <c r="C81" s="30" t="n">
        <v>15</v>
      </c>
      <c r="D81" s="4" t="inlineStr">
        <is>
          <t>Form10A_2026-05-27 p336</t>
        </is>
      </c>
    </row>
    <row r="82">
      <c r="A82" s="38" t="inlineStr">
        <is>
          <t>Accounts receivable, net of allowance for doubtful accounts</t>
        </is>
      </c>
      <c r="B82" s="3" t="n"/>
      <c r="C82" s="30" t="n">
        <v>216</v>
      </c>
      <c r="D82" s="4" t="inlineStr">
        <is>
          <t>Form10A_2026-05-27 p336</t>
        </is>
      </c>
    </row>
    <row r="83">
      <c r="A83" s="38" t="inlineStr">
        <is>
          <t>Prepaid and other current assets</t>
        </is>
      </c>
      <c r="B83" s="3" t="n"/>
      <c r="C83" s="30" t="n">
        <v>39</v>
      </c>
      <c r="D83" s="4" t="inlineStr">
        <is>
          <t>Form10A_2026-05-27 p336</t>
        </is>
      </c>
    </row>
    <row r="84">
      <c r="A84" s="39" t="inlineStr">
        <is>
          <t>Total current assets</t>
        </is>
      </c>
      <c r="B84" s="3" t="n"/>
      <c r="C84" s="18" t="n">
        <v>392</v>
      </c>
      <c r="D84" s="4" t="inlineStr">
        <is>
          <t>Form10A_2026-05-27 p336</t>
        </is>
      </c>
    </row>
    <row r="85">
      <c r="A85" s="38" t="inlineStr">
        <is>
          <t>Buildings and leasehold improvements</t>
        </is>
      </c>
      <c r="B85" s="3" t="n"/>
      <c r="C85" s="30" t="n">
        <v>25</v>
      </c>
      <c r="D85" s="4" t="inlineStr">
        <is>
          <t>Form10A_2026-05-27 p336</t>
        </is>
      </c>
    </row>
    <row r="86">
      <c r="A86" s="38" t="inlineStr">
        <is>
          <t>Equipment and furniture</t>
        </is>
      </c>
      <c r="B86" s="3" t="n"/>
      <c r="C86" s="30" t="n">
        <v>77</v>
      </c>
      <c r="D86" s="4" t="inlineStr">
        <is>
          <t>Form10A_2026-05-27 p336</t>
        </is>
      </c>
    </row>
    <row r="87">
      <c r="A87" s="39" t="inlineStr">
        <is>
          <t>Total property and equipment</t>
        </is>
      </c>
      <c r="B87" s="3" t="n"/>
      <c r="C87" s="18" t="n">
        <v>102</v>
      </c>
      <c r="D87" s="4" t="inlineStr">
        <is>
          <t>Form10A_2026-05-27 p336</t>
        </is>
      </c>
    </row>
    <row r="88">
      <c r="A88" s="38" t="inlineStr">
        <is>
          <t>Less: accumulated depreciation</t>
        </is>
      </c>
      <c r="B88" s="3" t="n"/>
      <c r="C88" s="30" t="n">
        <v>-83</v>
      </c>
      <c r="D88" s="4" t="inlineStr">
        <is>
          <t>Form10A_2026-05-27 p336</t>
        </is>
      </c>
    </row>
    <row r="89">
      <c r="A89" s="39" t="inlineStr">
        <is>
          <t>Property and equipment, net</t>
        </is>
      </c>
      <c r="B89" s="3" t="n"/>
      <c r="C89" s="18" t="n">
        <v>19</v>
      </c>
      <c r="D89" s="4" t="inlineStr">
        <is>
          <t>Form10A_2026-05-27 p336</t>
        </is>
      </c>
    </row>
    <row r="90">
      <c r="A90" s="38" t="inlineStr">
        <is>
          <t>Right of use assets</t>
        </is>
      </c>
      <c r="B90" s="3" t="n"/>
      <c r="C90" s="30" t="n">
        <v>23</v>
      </c>
      <c r="D90" s="4" t="inlineStr">
        <is>
          <t>Form10A_2026-05-27 p336</t>
        </is>
      </c>
    </row>
    <row r="91">
      <c r="A91" s="38" t="inlineStr">
        <is>
          <t>Goodwill</t>
        </is>
      </c>
      <c r="B91" s="3" t="n"/>
      <c r="C91" s="30" t="n">
        <v>8845</v>
      </c>
      <c r="D91" s="4" t="inlineStr">
        <is>
          <t>Form10A_2026-05-27 p336</t>
        </is>
      </c>
    </row>
    <row r="92">
      <c r="A92" s="38" t="inlineStr">
        <is>
          <t>Other intangible assets - net</t>
        </is>
      </c>
      <c r="B92" s="3" t="n"/>
      <c r="C92" s="30" t="n">
        <v>3714</v>
      </c>
      <c r="D92" s="4" t="inlineStr">
        <is>
          <t>Form10A_2026-05-27 p336</t>
        </is>
      </c>
    </row>
    <row r="93">
      <c r="A93" s="38" t="inlineStr">
        <is>
          <t>Other non-current assets</t>
        </is>
      </c>
      <c r="B93" s="3" t="n"/>
      <c r="C93" s="30" t="n">
        <v>49</v>
      </c>
      <c r="D93" s="4" t="inlineStr">
        <is>
          <t>Form10A_2026-05-27 p336</t>
        </is>
      </c>
    </row>
    <row r="94">
      <c r="A94" s="39" t="inlineStr">
        <is>
          <t>Total assets</t>
        </is>
      </c>
      <c r="B94" s="3" t="n"/>
      <c r="C94" s="18" t="n">
        <v>13042</v>
      </c>
      <c r="D94" s="4" t="inlineStr">
        <is>
          <t>Form10A_2026-05-27 p336</t>
        </is>
      </c>
    </row>
    <row r="95">
      <c r="A95" s="38" t="inlineStr">
        <is>
          <t>Accounts payable</t>
        </is>
      </c>
      <c r="B95" s="3" t="n"/>
      <c r="C95" s="30" t="n">
        <v>48</v>
      </c>
      <c r="D95" s="4" t="inlineStr">
        <is>
          <t>Form10A_2026-05-27 p336</t>
        </is>
      </c>
    </row>
    <row r="96">
      <c r="A96" s="38" t="inlineStr">
        <is>
          <t>Due to related parties – current</t>
        </is>
      </c>
      <c r="B96" s="3" t="n"/>
      <c r="C96" s="30" t="n">
        <v>24</v>
      </c>
      <c r="D96" s="4" t="inlineStr">
        <is>
          <t>Form10A_2026-05-27 p336</t>
        </is>
      </c>
    </row>
    <row r="97">
      <c r="A97" s="38" t="inlineStr">
        <is>
          <t>Accrued compensation and contributions to retirement plans</t>
        </is>
      </c>
      <c r="B97" s="3" t="n"/>
      <c r="C97" s="30" t="n">
        <v>25</v>
      </c>
      <c r="D97" s="4" t="inlineStr">
        <is>
          <t>Form10A_2026-05-27 p336</t>
        </is>
      </c>
    </row>
    <row r="98">
      <c r="A98" s="38" t="inlineStr">
        <is>
          <t>Unearned revenue</t>
        </is>
      </c>
      <c r="B98" s="3" t="n"/>
      <c r="C98" s="30" t="n">
        <v>94</v>
      </c>
      <c r="D98" s="4" t="inlineStr">
        <is>
          <t>Form10A_2026-05-27 p336</t>
        </is>
      </c>
    </row>
    <row r="99">
      <c r="A99" s="38" t="inlineStr">
        <is>
          <t>Other current liabilities</t>
        </is>
      </c>
      <c r="B99" s="3" t="n"/>
      <c r="C99" s="30" t="n">
        <v>38</v>
      </c>
      <c r="D99" s="4" t="inlineStr">
        <is>
          <t>Form10A_2026-05-27 p336</t>
        </is>
      </c>
    </row>
    <row r="100">
      <c r="A100" s="39" t="inlineStr">
        <is>
          <t>Total current liabilities</t>
        </is>
      </c>
      <c r="B100" s="3" t="n"/>
      <c r="C100" s="18" t="n">
        <v>229</v>
      </c>
      <c r="D100" s="4" t="inlineStr">
        <is>
          <t>Form10A_2026-05-27 p336</t>
        </is>
      </c>
    </row>
    <row r="101">
      <c r="A101" s="38" t="inlineStr">
        <is>
          <t>Lease liabilities - non-current</t>
        </is>
      </c>
      <c r="B101" s="3" t="n"/>
      <c r="C101" s="30" t="n">
        <v>19</v>
      </c>
      <c r="D101" s="4" t="inlineStr">
        <is>
          <t>Form10A_2026-05-27 p336</t>
        </is>
      </c>
    </row>
    <row r="102">
      <c r="A102" s="38" t="inlineStr">
        <is>
          <t>Deferred tax liability – non-current</t>
        </is>
      </c>
      <c r="B102" s="3" t="n"/>
      <c r="C102" s="30" t="n">
        <v>983</v>
      </c>
      <c r="D102" s="4" t="inlineStr">
        <is>
          <t>Form10A_2026-05-27 p336</t>
        </is>
      </c>
    </row>
    <row r="103">
      <c r="A103" s="38" t="inlineStr">
        <is>
          <t>Due to related parties – non-current</t>
        </is>
      </c>
      <c r="B103" s="3" t="n"/>
      <c r="C103" s="30" t="n">
        <v>227</v>
      </c>
      <c r="D103" s="4" t="inlineStr">
        <is>
          <t>Form10A_2026-05-27 p336</t>
        </is>
      </c>
    </row>
    <row r="104">
      <c r="A104" s="38" t="inlineStr">
        <is>
          <t>Other non-current liabilities</t>
        </is>
      </c>
      <c r="B104" s="3" t="n"/>
      <c r="C104" s="30" t="n">
        <v>1</v>
      </c>
      <c r="D104" s="4" t="inlineStr">
        <is>
          <t>Form10A_2026-05-27 p336</t>
        </is>
      </c>
    </row>
    <row r="105">
      <c r="A105" s="39" t="inlineStr">
        <is>
          <t>Total liabilities</t>
        </is>
      </c>
      <c r="B105" s="3" t="n"/>
      <c r="C105" s="18" t="n">
        <v>1459</v>
      </c>
      <c r="D105" s="4" t="inlineStr">
        <is>
          <t>Form10A_2026-05-27 p336</t>
        </is>
      </c>
    </row>
    <row r="106">
      <c r="A106" s="38" t="inlineStr">
        <is>
          <t>Parent company investment</t>
        </is>
      </c>
      <c r="B106" s="3" t="n"/>
      <c r="C106" s="30" t="n">
        <v>11586</v>
      </c>
      <c r="D106" s="4" t="inlineStr">
        <is>
          <t>Form10A_2026-05-27 p336</t>
        </is>
      </c>
    </row>
    <row r="107">
      <c r="A107" s="38" t="inlineStr">
        <is>
          <t>Accumulated other comprehensive loss</t>
        </is>
      </c>
      <c r="B107" s="3" t="n"/>
      <c r="C107" s="30" t="n">
        <v>-3</v>
      </c>
      <c r="D107" s="4" t="inlineStr">
        <is>
          <t>Form10A_2026-05-27 p336</t>
        </is>
      </c>
    </row>
    <row r="108">
      <c r="A108" s="39" t="inlineStr">
        <is>
          <t>Total equity</t>
        </is>
      </c>
      <c r="B108" s="3" t="n"/>
      <c r="C108" s="18" t="n">
        <v>11583</v>
      </c>
      <c r="D108" s="4" t="inlineStr">
        <is>
          <t>Form10A_2026-05-27 p336</t>
        </is>
      </c>
    </row>
    <row r="109">
      <c r="A109" s="39" t="inlineStr">
        <is>
          <t>Total liabilities and equity</t>
        </is>
      </c>
      <c r="B109" s="3" t="n"/>
      <c r="C109" s="18" t="n">
        <v>13042</v>
      </c>
      <c r="D109" s="4" t="inlineStr">
        <is>
          <t>Form10A_2026-05-27 p336</t>
        </is>
      </c>
    </row>
    <row r="110">
      <c r="A110" s="14" t="inlineStr">
        <is>
          <t>Form10A_2026-05-27 · PF BS 2026-03-31 - Transaction Accounting Adjustments</t>
        </is>
      </c>
      <c r="B110" s="15" t="n"/>
      <c r="C110" s="15" t="n"/>
      <c r="D110" s="15" t="n"/>
    </row>
    <row r="111">
      <c r="A111" s="38" t="inlineStr">
        <is>
          <t>Cash and cash equivalents</t>
        </is>
      </c>
      <c r="B111" s="3" t="n"/>
      <c r="C111" s="30" t="n">
        <v>78</v>
      </c>
      <c r="D111" s="4" t="inlineStr">
        <is>
          <t>Form10A_2026-05-27 p336</t>
        </is>
      </c>
    </row>
    <row r="112">
      <c r="A112" s="38" t="inlineStr">
        <is>
          <t>Due from related parties - current</t>
        </is>
      </c>
      <c r="B112" s="3" t="n"/>
      <c r="C112" s="30" t="n">
        <v>-15</v>
      </c>
      <c r="D112" s="4" t="inlineStr">
        <is>
          <t>Form10A_2026-05-27 p336</t>
        </is>
      </c>
    </row>
    <row r="113">
      <c r="A113" s="39" t="inlineStr">
        <is>
          <t>Total current assets</t>
        </is>
      </c>
      <c r="B113" s="3" t="n"/>
      <c r="C113" s="18" t="n">
        <v>63</v>
      </c>
      <c r="D113" s="4" t="inlineStr">
        <is>
          <t>Form10A_2026-05-27 p336</t>
        </is>
      </c>
    </row>
    <row r="114">
      <c r="A114" s="38" t="inlineStr">
        <is>
          <t>Other non-current assets</t>
        </is>
      </c>
      <c r="B114" s="3" t="n"/>
      <c r="C114" s="30" t="n">
        <v>3</v>
      </c>
      <c r="D114" s="4" t="inlineStr">
        <is>
          <t>Form10A_2026-05-27 p336</t>
        </is>
      </c>
    </row>
    <row r="115">
      <c r="A115" s="39" t="inlineStr">
        <is>
          <t>Total assets</t>
        </is>
      </c>
      <c r="B115" s="3" t="n"/>
      <c r="C115" s="18" t="n">
        <v>66</v>
      </c>
      <c r="D115" s="4" t="inlineStr">
        <is>
          <t>Form10A_2026-05-27 p336</t>
        </is>
      </c>
    </row>
    <row r="116">
      <c r="A116" s="38" t="inlineStr">
        <is>
          <t>Due to related parties – current</t>
        </is>
      </c>
      <c r="B116" s="3" t="n"/>
      <c r="C116" s="30" t="n">
        <v>-24</v>
      </c>
      <c r="D116" s="4" t="inlineStr">
        <is>
          <t>Form10A_2026-05-27 p336</t>
        </is>
      </c>
    </row>
    <row r="117">
      <c r="A117" s="38" t="inlineStr">
        <is>
          <t>Other current liabilities</t>
        </is>
      </c>
      <c r="B117" s="3" t="n"/>
      <c r="C117" s="30" t="n">
        <v>-8</v>
      </c>
      <c r="D117" s="4" t="inlineStr">
        <is>
          <t>Form10A_2026-05-27 p336</t>
        </is>
      </c>
    </row>
    <row r="118">
      <c r="A118" s="39" t="inlineStr">
        <is>
          <t>Total current liabilities</t>
        </is>
      </c>
      <c r="B118" s="3" t="n"/>
      <c r="C118" s="18" t="n">
        <v>-32</v>
      </c>
      <c r="D118" s="4" t="inlineStr">
        <is>
          <t>Form10A_2026-05-27 p336</t>
        </is>
      </c>
    </row>
    <row r="119">
      <c r="A119" s="38" t="inlineStr">
        <is>
          <t>Due to related parties – non-current</t>
        </is>
      </c>
      <c r="B119" s="3" t="n"/>
      <c r="C119" s="30" t="n">
        <v>-227</v>
      </c>
      <c r="D119" s="4" t="inlineStr">
        <is>
          <t>Form10A_2026-05-27 p336</t>
        </is>
      </c>
    </row>
    <row r="120">
      <c r="A120" s="38" t="inlineStr">
        <is>
          <t>Long-term debt</t>
        </is>
      </c>
      <c r="B120" s="3" t="n"/>
      <c r="C120" s="30" t="n">
        <v>1981</v>
      </c>
      <c r="D120" s="4" t="inlineStr">
        <is>
          <t>Form10A_2026-05-27 p336</t>
        </is>
      </c>
    </row>
    <row r="121">
      <c r="A121" s="39" t="inlineStr">
        <is>
          <t>Total liabilities</t>
        </is>
      </c>
      <c r="B121" s="3" t="n"/>
      <c r="C121" s="18" t="n">
        <v>1722</v>
      </c>
      <c r="D121" s="4" t="inlineStr">
        <is>
          <t>Form10A_2026-05-27 p336</t>
        </is>
      </c>
    </row>
    <row r="122">
      <c r="A122" s="38" t="inlineStr">
        <is>
          <t>Parent company investment</t>
        </is>
      </c>
      <c r="B122" s="3" t="n"/>
      <c r="C122" s="30" t="n">
        <v>-11586</v>
      </c>
      <c r="D122" s="4" t="inlineStr">
        <is>
          <t>Form10A_2026-05-27 p336</t>
        </is>
      </c>
    </row>
    <row r="123">
      <c r="A123" s="38" t="inlineStr">
        <is>
          <t>Common stock</t>
        </is>
      </c>
      <c r="B123" s="3" t="n"/>
      <c r="C123" s="30" t="n">
        <v>3</v>
      </c>
      <c r="D123" s="4" t="inlineStr">
        <is>
          <t>Form10A_2026-05-27 p336</t>
        </is>
      </c>
    </row>
    <row r="124">
      <c r="A124" s="38" t="inlineStr">
        <is>
          <t>Additional paid-in capital</t>
        </is>
      </c>
      <c r="B124" s="3" t="n"/>
      <c r="C124" s="30" t="n">
        <v>9927</v>
      </c>
      <c r="D124" s="4" t="inlineStr">
        <is>
          <t>Form10A_2026-05-27 p336</t>
        </is>
      </c>
    </row>
    <row r="125">
      <c r="A125" s="39" t="inlineStr">
        <is>
          <t>Total equity</t>
        </is>
      </c>
      <c r="B125" s="3" t="n"/>
      <c r="C125" s="18" t="n">
        <v>-1656</v>
      </c>
      <c r="D125" s="4" t="inlineStr">
        <is>
          <t>Form10A_2026-05-27 p336</t>
        </is>
      </c>
    </row>
    <row r="126">
      <c r="A126" s="39" t="inlineStr">
        <is>
          <t>Total liabilities and equity</t>
        </is>
      </c>
      <c r="B126" s="3" t="n"/>
      <c r="C126" s="18" t="n">
        <v>66</v>
      </c>
      <c r="D126" s="4" t="inlineStr">
        <is>
          <t>Form10A_2026-05-27 p336</t>
        </is>
      </c>
    </row>
    <row r="127">
      <c r="A127" s="14" t="inlineStr">
        <is>
          <t>Form10A_2026-05-27 · PF BS 2026-03-31 - Pro Forma</t>
        </is>
      </c>
      <c r="B127" s="15" t="n"/>
      <c r="C127" s="15" t="n"/>
      <c r="D127" s="15" t="n"/>
    </row>
    <row r="128">
      <c r="A128" s="38" t="inlineStr">
        <is>
          <t>Cash and cash equivalents</t>
        </is>
      </c>
      <c r="B128" s="3" t="n"/>
      <c r="C128" s="30" t="n">
        <v>200</v>
      </c>
      <c r="D128" s="4" t="inlineStr">
        <is>
          <t>Form10A_2026-05-27 p336</t>
        </is>
      </c>
    </row>
    <row r="129">
      <c r="A129" s="38" t="inlineStr">
        <is>
          <t>Accounts receivable, net of allowance for doubtful accounts</t>
        </is>
      </c>
      <c r="B129" s="3" t="n"/>
      <c r="C129" s="30" t="n">
        <v>216</v>
      </c>
      <c r="D129" s="4" t="inlineStr">
        <is>
          <t>Form10A_2026-05-27 p336</t>
        </is>
      </c>
    </row>
    <row r="130">
      <c r="A130" s="38" t="inlineStr">
        <is>
          <t>Prepaid and other current assets</t>
        </is>
      </c>
      <c r="B130" s="3" t="n"/>
      <c r="C130" s="30" t="n">
        <v>39</v>
      </c>
      <c r="D130" s="4" t="inlineStr">
        <is>
          <t>Form10A_2026-05-27 p336</t>
        </is>
      </c>
    </row>
    <row r="131">
      <c r="A131" s="39" t="inlineStr">
        <is>
          <t>Total current assets</t>
        </is>
      </c>
      <c r="B131" s="3" t="n"/>
      <c r="C131" s="18" t="n">
        <v>455</v>
      </c>
      <c r="D131" s="4" t="inlineStr">
        <is>
          <t>Form10A_2026-05-27 p336</t>
        </is>
      </c>
    </row>
    <row r="132">
      <c r="A132" s="38" t="inlineStr">
        <is>
          <t>Buildings and leasehold improvements</t>
        </is>
      </c>
      <c r="B132" s="3" t="n"/>
      <c r="C132" s="30" t="n">
        <v>25</v>
      </c>
      <c r="D132" s="4" t="inlineStr">
        <is>
          <t>Form10A_2026-05-27 p336</t>
        </is>
      </c>
    </row>
    <row r="133">
      <c r="A133" s="38" t="inlineStr">
        <is>
          <t>Equipment and furniture</t>
        </is>
      </c>
      <c r="B133" s="3" t="n"/>
      <c r="C133" s="30" t="n">
        <v>77</v>
      </c>
      <c r="D133" s="4" t="inlineStr">
        <is>
          <t>Form10A_2026-05-27 p336</t>
        </is>
      </c>
    </row>
    <row r="134">
      <c r="A134" s="39" t="inlineStr">
        <is>
          <t>Total property and equipment</t>
        </is>
      </c>
      <c r="B134" s="3" t="n"/>
      <c r="C134" s="18" t="n">
        <v>102</v>
      </c>
      <c r="D134" s="4" t="inlineStr">
        <is>
          <t>Form10A_2026-05-27 p336</t>
        </is>
      </c>
    </row>
    <row r="135">
      <c r="A135" s="38" t="inlineStr">
        <is>
          <t>Less: accumulated depreciation</t>
        </is>
      </c>
      <c r="B135" s="3" t="n"/>
      <c r="C135" s="30" t="n">
        <v>-83</v>
      </c>
      <c r="D135" s="4" t="inlineStr">
        <is>
          <t>Form10A_2026-05-27 p336</t>
        </is>
      </c>
    </row>
    <row r="136">
      <c r="A136" s="39" t="inlineStr">
        <is>
          <t>Property and equipment, net</t>
        </is>
      </c>
      <c r="B136" s="3" t="n"/>
      <c r="C136" s="18" t="n">
        <v>19</v>
      </c>
      <c r="D136" s="4" t="inlineStr">
        <is>
          <t>Form10A_2026-05-27 p336</t>
        </is>
      </c>
    </row>
    <row r="137">
      <c r="A137" s="38" t="inlineStr">
        <is>
          <t>Right of use assets</t>
        </is>
      </c>
      <c r="B137" s="3" t="n"/>
      <c r="C137" s="30" t="n">
        <v>77</v>
      </c>
      <c r="D137" s="4" t="inlineStr">
        <is>
          <t>Form10A_2026-05-27 p336</t>
        </is>
      </c>
    </row>
    <row r="138">
      <c r="A138" s="38" t="inlineStr">
        <is>
          <t>Goodwill</t>
        </is>
      </c>
      <c r="B138" s="3" t="n"/>
      <c r="C138" s="30" t="n">
        <v>8845</v>
      </c>
      <c r="D138" s="4" t="inlineStr">
        <is>
          <t>Form10A_2026-05-27 p336</t>
        </is>
      </c>
    </row>
    <row r="139">
      <c r="A139" s="38" t="inlineStr">
        <is>
          <t>Other intangible assets - net</t>
        </is>
      </c>
      <c r="B139" s="3" t="n"/>
      <c r="C139" s="30" t="n">
        <v>3714</v>
      </c>
      <c r="D139" s="4" t="inlineStr">
        <is>
          <t>Form10A_2026-05-27 p336</t>
        </is>
      </c>
    </row>
    <row r="140">
      <c r="A140" s="38" t="inlineStr">
        <is>
          <t>Other non-current assets</t>
        </is>
      </c>
      <c r="B140" s="3" t="n"/>
      <c r="C140" s="30" t="n">
        <v>52</v>
      </c>
      <c r="D140" s="4" t="inlineStr">
        <is>
          <t>Form10A_2026-05-27 p336</t>
        </is>
      </c>
    </row>
    <row r="141">
      <c r="A141" s="39" t="inlineStr">
        <is>
          <t>Total assets</t>
        </is>
      </c>
      <c r="B141" s="3" t="n"/>
      <c r="C141" s="18" t="n">
        <v>13162</v>
      </c>
      <c r="D141" s="4" t="inlineStr">
        <is>
          <t>Form10A_2026-05-27 p336</t>
        </is>
      </c>
    </row>
    <row r="142">
      <c r="A142" s="38" t="inlineStr">
        <is>
          <t>Accounts payable</t>
        </is>
      </c>
      <c r="B142" s="3" t="n"/>
      <c r="C142" s="30" t="n">
        <v>48</v>
      </c>
      <c r="D142" s="4" t="inlineStr">
        <is>
          <t>Form10A_2026-05-27 p336</t>
        </is>
      </c>
    </row>
    <row r="143">
      <c r="A143" s="38" t="inlineStr">
        <is>
          <t>Accrued compensation and contributions to retirement plans</t>
        </is>
      </c>
      <c r="B143" s="3" t="n"/>
      <c r="C143" s="30" t="n">
        <v>25</v>
      </c>
      <c r="D143" s="4" t="inlineStr">
        <is>
          <t>Form10A_2026-05-27 p336</t>
        </is>
      </c>
    </row>
    <row r="144">
      <c r="A144" s="38" t="inlineStr">
        <is>
          <t>Unearned revenue</t>
        </is>
      </c>
      <c r="B144" s="3" t="n"/>
      <c r="C144" s="30" t="n">
        <v>94</v>
      </c>
      <c r="D144" s="4" t="inlineStr">
        <is>
          <t>Form10A_2026-05-27 p336</t>
        </is>
      </c>
    </row>
    <row r="145">
      <c r="A145" s="38" t="inlineStr">
        <is>
          <t>Other current liabilities</t>
        </is>
      </c>
      <c r="B145" s="3" t="n"/>
      <c r="C145" s="30" t="n">
        <v>31</v>
      </c>
      <c r="D145" s="4" t="inlineStr">
        <is>
          <t>Form10A_2026-05-27 p336</t>
        </is>
      </c>
    </row>
    <row r="146">
      <c r="A146" s="39" t="inlineStr">
        <is>
          <t>Total current liabilities</t>
        </is>
      </c>
      <c r="B146" s="3" t="n"/>
      <c r="C146" s="18" t="n">
        <v>198</v>
      </c>
      <c r="D146" s="4" t="inlineStr">
        <is>
          <t>Form10A_2026-05-27 p336</t>
        </is>
      </c>
    </row>
    <row r="147">
      <c r="A147" s="38" t="inlineStr">
        <is>
          <t>Lease liabilities - non-current</t>
        </is>
      </c>
      <c r="B147" s="3" t="n"/>
      <c r="C147" s="30" t="n">
        <v>72</v>
      </c>
      <c r="D147" s="4" t="inlineStr">
        <is>
          <t>Form10A_2026-05-27 p336</t>
        </is>
      </c>
    </row>
    <row r="148">
      <c r="A148" s="38" t="inlineStr">
        <is>
          <t>Deferred tax liability – non-current</t>
        </is>
      </c>
      <c r="B148" s="3" t="n"/>
      <c r="C148" s="30" t="n">
        <v>983</v>
      </c>
      <c r="D148" s="4" t="inlineStr">
        <is>
          <t>Form10A_2026-05-27 p336</t>
        </is>
      </c>
    </row>
    <row r="149">
      <c r="A149" s="38" t="inlineStr">
        <is>
          <t>Long-term debt</t>
        </is>
      </c>
      <c r="B149" s="3" t="n"/>
      <c r="C149" s="30" t="n">
        <v>1981</v>
      </c>
      <c r="D149" s="4" t="inlineStr">
        <is>
          <t>Form10A_2026-05-27 p336</t>
        </is>
      </c>
    </row>
    <row r="150">
      <c r="A150" s="38" t="inlineStr">
        <is>
          <t>Other non-current liabilities</t>
        </is>
      </c>
      <c r="B150" s="3" t="n"/>
      <c r="C150" s="30" t="n">
        <v>1</v>
      </c>
      <c r="D150" s="4" t="inlineStr">
        <is>
          <t>Form10A_2026-05-27 p336</t>
        </is>
      </c>
    </row>
    <row r="151">
      <c r="A151" s="39" t="inlineStr">
        <is>
          <t>Total liabilities</t>
        </is>
      </c>
      <c r="B151" s="3" t="n"/>
      <c r="C151" s="18" t="n">
        <v>3235</v>
      </c>
      <c r="D151" s="4" t="inlineStr">
        <is>
          <t>Form10A_2026-05-27 p336</t>
        </is>
      </c>
    </row>
    <row r="152">
      <c r="A152" s="38" t="inlineStr">
        <is>
          <t>Common stock</t>
        </is>
      </c>
      <c r="B152" s="3" t="n"/>
      <c r="C152" s="30" t="n">
        <v>3</v>
      </c>
      <c r="D152" s="4" t="inlineStr">
        <is>
          <t>Form10A_2026-05-27 p336</t>
        </is>
      </c>
    </row>
    <row r="153">
      <c r="A153" s="38" t="inlineStr">
        <is>
          <t>Additional paid-in capital</t>
        </is>
      </c>
      <c r="B153" s="3" t="n"/>
      <c r="C153" s="30" t="n">
        <v>9927</v>
      </c>
      <c r="D153" s="4" t="inlineStr">
        <is>
          <t>Form10A_2026-05-27 p336</t>
        </is>
      </c>
    </row>
    <row r="154">
      <c r="A154" s="38" t="inlineStr">
        <is>
          <t>Accumulated other comprehensive loss</t>
        </is>
      </c>
      <c r="B154" s="3" t="n"/>
      <c r="C154" s="30" t="n">
        <v>-3</v>
      </c>
      <c r="D154" s="4" t="inlineStr">
        <is>
          <t>Form10A_2026-05-27 p336</t>
        </is>
      </c>
    </row>
    <row r="155">
      <c r="A155" s="39" t="inlineStr">
        <is>
          <t>Total equity</t>
        </is>
      </c>
      <c r="B155" s="3" t="n"/>
      <c r="C155" s="18" t="n">
        <v>9927</v>
      </c>
      <c r="D155" s="4" t="inlineStr">
        <is>
          <t>Form10A_2026-05-27 p336</t>
        </is>
      </c>
    </row>
    <row r="156">
      <c r="A156" s="39" t="inlineStr">
        <is>
          <t>Total liabilities and equity</t>
        </is>
      </c>
      <c r="B156" s="3" t="n"/>
      <c r="C156" s="18" t="n">
        <v>13162</v>
      </c>
      <c r="D156" s="4" t="inlineStr">
        <is>
          <t>Form10A_2026-05-27 p336</t>
        </is>
      </c>
    </row>
    <row r="157">
      <c r="A157" s="14" t="inlineStr">
        <is>
          <t>Form10A_2026-05-27 · PF BS 2026-03-31 - Autonomous Entity Adjustments</t>
        </is>
      </c>
      <c r="B157" s="15" t="n"/>
      <c r="C157" s="15" t="n"/>
      <c r="D157" s="15" t="n"/>
    </row>
    <row r="158">
      <c r="A158" s="38" t="inlineStr">
        <is>
          <t>Right of use assets</t>
        </is>
      </c>
      <c r="B158" s="3" t="n"/>
      <c r="C158" s="30" t="n">
        <v>54</v>
      </c>
      <c r="D158" s="4" t="inlineStr">
        <is>
          <t>Form10A_2026-05-27 p336</t>
        </is>
      </c>
    </row>
    <row r="159">
      <c r="A159" s="39" t="inlineStr">
        <is>
          <t>Total assets</t>
        </is>
      </c>
      <c r="B159" s="3" t="n"/>
      <c r="C159" s="18" t="n">
        <v>54</v>
      </c>
      <c r="D159" s="4" t="inlineStr">
        <is>
          <t>Form10A_2026-05-27 p336</t>
        </is>
      </c>
    </row>
    <row r="160">
      <c r="A160" s="38" t="inlineStr">
        <is>
          <t>Lease liabilities - non-current</t>
        </is>
      </c>
      <c r="B160" s="3" t="n"/>
      <c r="C160" s="30" t="n">
        <v>53</v>
      </c>
      <c r="D160" s="4" t="inlineStr">
        <is>
          <t>Form10A_2026-05-27 p336</t>
        </is>
      </c>
    </row>
    <row r="161">
      <c r="A161" s="39" t="inlineStr">
        <is>
          <t>Total liabilities</t>
        </is>
      </c>
      <c r="B161" s="3" t="n"/>
      <c r="C161" s="18" t="n">
        <v>54</v>
      </c>
      <c r="D161" s="4" t="inlineStr">
        <is>
          <t>Form10A_2026-05-27 p336</t>
        </is>
      </c>
    </row>
    <row r="162">
      <c r="A162" s="39" t="inlineStr">
        <is>
          <t>Total liabilities and equity</t>
        </is>
      </c>
      <c r="B162" s="3" t="n"/>
      <c r="C162" s="18" t="n">
        <v>54</v>
      </c>
      <c r="D162" s="4" t="inlineStr">
        <is>
          <t>Form10A_2026-05-27 p336</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86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45" customWidth="1" min="25" max="25"/>
    <col hidden="1" width="13" customWidth="1" min="26" max="26"/>
  </cols>
  <sheetData>
    <row r="1" ht="20" customHeight="1">
      <c r="A1" s="1" t="inlineStr">
        <is>
          <t>Predecessor segment history — S&amp;P Global "Mobility" (FY2022–25, Dec FYE) and IHS Markit "Transportation" (FY2014–21, Nov 30 FYE)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row>
    <row r="2">
      <c r="A2" s="4" t="inlineStr">
        <is>
          <t>NON-COMPARABLE across the eras (scope incl. Maritime &amp; Trade and Aerospace &amp; Defense until 2019-12; Nov vs Dec FYE; adjusted EBITDA vs operating profit after amortization; FY2022 = ~10 months post-merger). Segment-level only; never merged into carve-out tabs.</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row>
    <row r="4">
      <c r="A4" s="9" t="inlineStr">
        <is>
          <t>Line item (verbatim caption)</t>
        </is>
      </c>
      <c r="B4" s="29" t="inlineStr">
        <is>
          <t>FY2014</t>
        </is>
      </c>
      <c r="C4" s="29" t="inlineStr">
        <is>
          <t>FY2015</t>
        </is>
      </c>
      <c r="D4" s="29" t="inlineStr">
        <is>
          <t>FY2016</t>
        </is>
      </c>
      <c r="E4" s="29" t="inlineStr">
        <is>
          <t>FY2017</t>
        </is>
      </c>
      <c r="F4" s="29" t="inlineStr">
        <is>
          <t>FY2018</t>
        </is>
      </c>
      <c r="G4" s="29" t="inlineStr">
        <is>
          <t>FY2019</t>
        </is>
      </c>
      <c r="H4" s="29" t="inlineStr">
        <is>
          <t>FY2020</t>
        </is>
      </c>
      <c r="I4" s="29" t="inlineStr">
        <is>
          <t>FY2021</t>
        </is>
      </c>
      <c r="J4" s="29" t="inlineStr">
        <is>
          <t>FY2022</t>
        </is>
      </c>
      <c r="K4" s="29" t="inlineStr">
        <is>
          <t>FY2023</t>
        </is>
      </c>
      <c r="L4" s="29" t="inlineStr">
        <is>
          <t>FY2024</t>
        </is>
      </c>
      <c r="M4" s="29" t="inlineStr">
        <is>
          <t>FY2025</t>
        </is>
      </c>
      <c r="N4" s="29" t="inlineStr">
        <is>
          <t>6M-FY2020</t>
        </is>
      </c>
      <c r="O4" s="29" t="inlineStr">
        <is>
          <t>6M-FY2021</t>
        </is>
      </c>
      <c r="P4" s="29" t="inlineStr">
        <is>
          <t>9M-FY2020</t>
        </is>
      </c>
      <c r="Q4" s="29" t="inlineStr">
        <is>
          <t>9M-FY2021</t>
        </is>
      </c>
      <c r="R4" s="29" t="inlineStr">
        <is>
          <t>Q1-FY2020</t>
        </is>
      </c>
      <c r="S4" s="29" t="inlineStr">
        <is>
          <t>Q1-FY2021</t>
        </is>
      </c>
      <c r="T4" s="29" t="inlineStr">
        <is>
          <t>Q2-FY2020</t>
        </is>
      </c>
      <c r="U4" s="29" t="inlineStr">
        <is>
          <t>Q2-FY2021</t>
        </is>
      </c>
      <c r="V4" s="29" t="inlineStr">
        <is>
          <t>Q3-FY2020</t>
        </is>
      </c>
      <c r="W4" s="29" t="inlineStr">
        <is>
          <t>Q3-FY2021</t>
        </is>
      </c>
      <c r="X4" s="29" t="inlineStr">
        <is>
          <t>Q4-FY2020</t>
        </is>
      </c>
      <c r="Y4" s="29" t="inlineStr">
        <is>
          <t>Source (doc p.)</t>
        </is>
      </c>
    </row>
    <row r="5">
      <c r="A5" s="14" t="inlineStr">
        <is>
          <t>SPGI_10K_FY2025 · Item 7 Mobility segment description</t>
        </is>
      </c>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row>
    <row r="6">
      <c r="A6" s="38" t="inlineStr">
        <is>
          <t>Segment description (summary)</t>
        </is>
      </c>
      <c r="B6" s="3" t="n"/>
      <c r="C6" s="3" t="n"/>
      <c r="D6" s="3" t="n"/>
      <c r="E6" s="3" t="n"/>
      <c r="F6" s="3" t="n"/>
      <c r="G6" s="3" t="n"/>
      <c r="H6" s="3" t="n"/>
      <c r="I6" s="3" t="n"/>
      <c r="J6" s="3" t="n"/>
      <c r="K6" s="3" t="n"/>
      <c r="L6" s="3" t="n"/>
      <c r="M6" s="42" t="inlineStr">
        <is>
          <t>Leading provider of solutions serving the full automotive value chain (OEMs, suppliers, mobility service providers, retailers, consumers, finance and insurance companies). Business lines: Dealer, Manufacturing, Financial.</t>
        </is>
      </c>
      <c r="N6" s="3" t="n"/>
      <c r="O6" s="3" t="n"/>
      <c r="P6" s="3" t="n"/>
      <c r="Q6" s="3" t="n"/>
      <c r="R6" s="3" t="n"/>
      <c r="S6" s="3" t="n"/>
      <c r="T6" s="3" t="n"/>
      <c r="U6" s="3" t="n"/>
      <c r="V6" s="3" t="n"/>
      <c r="W6" s="3" t="n"/>
      <c r="X6" s="3" t="n"/>
      <c r="Y6" s="4" t="inlineStr">
        <is>
          <t>SPGI_10K_FY2025 p60</t>
        </is>
      </c>
    </row>
    <row r="7">
      <c r="A7" s="38" t="inlineStr">
        <is>
          <t>Acquisition: Market Scan Information Systems Inc. (completed February 2023; not material)</t>
        </is>
      </c>
      <c r="B7" s="3" t="n"/>
      <c r="C7" s="3" t="n"/>
      <c r="D7" s="3" t="n"/>
      <c r="E7" s="3" t="n"/>
      <c r="F7" s="3" t="n"/>
      <c r="G7" s="3" t="n"/>
      <c r="H7" s="3" t="n"/>
      <c r="I7" s="3" t="n"/>
      <c r="J7" s="3" t="n"/>
      <c r="K7" s="3" t="n"/>
      <c r="L7" s="3" t="n"/>
      <c r="M7" s="42" t="inlineStr">
        <is>
          <t>Completed Feb-2023; automotive pricing and incentive intelligence incl. Automotive Payments as a Service; not material to consolidated financial statements.</t>
        </is>
      </c>
      <c r="N7" s="3" t="n"/>
      <c r="O7" s="3" t="n"/>
      <c r="P7" s="3" t="n"/>
      <c r="Q7" s="3" t="n"/>
      <c r="R7" s="3" t="n"/>
      <c r="S7" s="3" t="n"/>
      <c r="T7" s="3" t="n"/>
      <c r="U7" s="3" t="n"/>
      <c r="V7" s="3" t="n"/>
      <c r="W7" s="3" t="n"/>
      <c r="X7" s="3" t="n"/>
      <c r="Y7" s="4" t="inlineStr">
        <is>
          <t>SPGI_10K_FY2025 p60</t>
        </is>
      </c>
    </row>
    <row r="8">
      <c r="A8" s="38" t="inlineStr">
        <is>
          <t>Spin-off announcement</t>
        </is>
      </c>
      <c r="B8" s="3" t="n"/>
      <c r="C8" s="3" t="n"/>
      <c r="D8" s="3" t="n"/>
      <c r="E8" s="3" t="n"/>
      <c r="F8" s="3" t="n"/>
      <c r="G8" s="3" t="n"/>
      <c r="H8" s="3" t="n"/>
      <c r="I8" s="3" t="n"/>
      <c r="J8" s="3" t="n"/>
      <c r="K8" s="3" t="n"/>
      <c r="L8" s="3" t="n"/>
      <c r="M8" s="42" t="inlineStr">
        <is>
          <t>On April 29, 2025, we announced that our Board of Directors decided to pursue a full separation of our Mobility segment, creating a new publicly traded company. Expected tax-free spin-off to S&amp;P Global shareholders, expected completion mid-2026.</t>
        </is>
      </c>
      <c r="N8" s="3" t="n"/>
      <c r="O8" s="3" t="n"/>
      <c r="P8" s="3" t="n"/>
      <c r="Q8" s="3" t="n"/>
      <c r="R8" s="3" t="n"/>
      <c r="S8" s="3" t="n"/>
      <c r="T8" s="3" t="n"/>
      <c r="U8" s="3" t="n"/>
      <c r="V8" s="3" t="n"/>
      <c r="W8" s="3" t="n"/>
      <c r="X8" s="3" t="n"/>
      <c r="Y8" s="4" t="inlineStr">
        <is>
          <t>SPGI_10K_FY2025 p62</t>
        </is>
      </c>
    </row>
    <row r="9">
      <c r="A9" s="14" t="inlineStr">
        <is>
          <t>SPGI_10K_FY2025 · MD&amp;A Mobility segment table</t>
        </is>
      </c>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row>
    <row r="10">
      <c r="A10" s="39" t="inlineStr">
        <is>
          <t>Revenue</t>
        </is>
      </c>
      <c r="B10" s="3" t="n"/>
      <c r="C10" s="3" t="n"/>
      <c r="D10" s="3" t="n"/>
      <c r="E10" s="3" t="n"/>
      <c r="F10" s="3" t="n"/>
      <c r="G10" s="3" t="n"/>
      <c r="H10" s="3" t="n"/>
      <c r="I10" s="3" t="n"/>
      <c r="J10" s="3" t="n"/>
      <c r="K10" s="18" t="n">
        <v>1484</v>
      </c>
      <c r="L10" s="18" t="n">
        <v>1609</v>
      </c>
      <c r="M10" s="18" t="n">
        <v>1747</v>
      </c>
      <c r="N10" s="3" t="n"/>
      <c r="O10" s="3" t="n"/>
      <c r="P10" s="3" t="n"/>
      <c r="Q10" s="3" t="n"/>
      <c r="R10" s="3" t="n"/>
      <c r="S10" s="3" t="n"/>
      <c r="T10" s="3" t="n"/>
      <c r="U10" s="3" t="n"/>
      <c r="V10" s="3" t="n"/>
      <c r="W10" s="3" t="n"/>
      <c r="X10" s="3" t="n"/>
      <c r="Y10" s="4" t="inlineStr">
        <is>
          <t>SPGI_10K_FY2025 p61</t>
        </is>
      </c>
    </row>
    <row r="11">
      <c r="A11" s="38" t="inlineStr">
        <is>
          <t>Subscription revenue</t>
        </is>
      </c>
      <c r="B11" s="3" t="n"/>
      <c r="C11" s="3" t="n"/>
      <c r="D11" s="3" t="n"/>
      <c r="E11" s="3" t="n"/>
      <c r="F11" s="3" t="n"/>
      <c r="G11" s="3" t="n"/>
      <c r="H11" s="3" t="n"/>
      <c r="I11" s="3" t="n"/>
      <c r="J11" s="3" t="n"/>
      <c r="K11" s="30" t="n">
        <v>1169</v>
      </c>
      <c r="L11" s="30" t="n">
        <v>1299</v>
      </c>
      <c r="M11" s="30" t="n">
        <v>1422</v>
      </c>
      <c r="N11" s="3" t="n"/>
      <c r="O11" s="3" t="n"/>
      <c r="P11" s="3" t="n"/>
      <c r="Q11" s="3" t="n"/>
      <c r="R11" s="3" t="n"/>
      <c r="S11" s="3" t="n"/>
      <c r="T11" s="3" t="n"/>
      <c r="U11" s="3" t="n"/>
      <c r="V11" s="3" t="n"/>
      <c r="W11" s="3" t="n"/>
      <c r="X11" s="3" t="n"/>
      <c r="Y11" s="4" t="inlineStr">
        <is>
          <t>SPGI_10K_FY2025 p61</t>
        </is>
      </c>
    </row>
    <row r="12">
      <c r="A12" s="38" t="inlineStr">
        <is>
          <t>Non-subscription revenue</t>
        </is>
      </c>
      <c r="B12" s="3" t="n"/>
      <c r="C12" s="3" t="n"/>
      <c r="D12" s="3" t="n"/>
      <c r="E12" s="3" t="n"/>
      <c r="F12" s="3" t="n"/>
      <c r="G12" s="3" t="n"/>
      <c r="H12" s="3" t="n"/>
      <c r="I12" s="3" t="n"/>
      <c r="J12" s="3" t="n"/>
      <c r="K12" s="30" t="n">
        <v>315</v>
      </c>
      <c r="L12" s="30" t="n">
        <v>310</v>
      </c>
      <c r="M12" s="30" t="n">
        <v>325</v>
      </c>
      <c r="N12" s="3" t="n"/>
      <c r="O12" s="3" t="n"/>
      <c r="P12" s="3" t="n"/>
      <c r="Q12" s="3" t="n"/>
      <c r="R12" s="3" t="n"/>
      <c r="S12" s="3" t="n"/>
      <c r="T12" s="3" t="n"/>
      <c r="U12" s="3" t="n"/>
      <c r="V12" s="3" t="n"/>
      <c r="W12" s="3" t="n"/>
      <c r="X12" s="3" t="n"/>
      <c r="Y12" s="4" t="inlineStr">
        <is>
          <t>SPGI_10K_FY2025 p61</t>
        </is>
      </c>
    </row>
    <row r="13">
      <c r="A13" s="38" t="inlineStr">
        <is>
          <t>% of total revenue: Subscription revenue</t>
        </is>
      </c>
      <c r="B13" s="3" t="n"/>
      <c r="C13" s="3" t="n"/>
      <c r="D13" s="3" t="n"/>
      <c r="E13" s="3" t="n"/>
      <c r="F13" s="3" t="n"/>
      <c r="G13" s="3" t="n"/>
      <c r="H13" s="3" t="n"/>
      <c r="I13" s="3" t="n"/>
      <c r="J13" s="3" t="n"/>
      <c r="K13" s="41" t="n">
        <v>79</v>
      </c>
      <c r="L13" s="41" t="n">
        <v>81</v>
      </c>
      <c r="M13" s="41" t="n">
        <v>81</v>
      </c>
      <c r="N13" s="3" t="n"/>
      <c r="O13" s="3" t="n"/>
      <c r="P13" s="3" t="n"/>
      <c r="Q13" s="3" t="n"/>
      <c r="R13" s="3" t="n"/>
      <c r="S13" s="3" t="n"/>
      <c r="T13" s="3" t="n"/>
      <c r="U13" s="3" t="n"/>
      <c r="V13" s="3" t="n"/>
      <c r="W13" s="3" t="n"/>
      <c r="X13" s="3" t="n"/>
      <c r="Y13" s="4" t="inlineStr">
        <is>
          <t>SPGI_10K_FY2025 p61</t>
        </is>
      </c>
    </row>
    <row r="14">
      <c r="A14" s="38" t="inlineStr">
        <is>
          <t>% of total revenue: Non-subscription revenue</t>
        </is>
      </c>
      <c r="B14" s="3" t="n"/>
      <c r="C14" s="3" t="n"/>
      <c r="D14" s="3" t="n"/>
      <c r="E14" s="3" t="n"/>
      <c r="F14" s="3" t="n"/>
      <c r="G14" s="3" t="n"/>
      <c r="H14" s="3" t="n"/>
      <c r="I14" s="3" t="n"/>
      <c r="J14" s="3" t="n"/>
      <c r="K14" s="41" t="n">
        <v>21</v>
      </c>
      <c r="L14" s="41" t="n">
        <v>19</v>
      </c>
      <c r="M14" s="41" t="n">
        <v>19</v>
      </c>
      <c r="N14" s="3" t="n"/>
      <c r="O14" s="3" t="n"/>
      <c r="P14" s="3" t="n"/>
      <c r="Q14" s="3" t="n"/>
      <c r="R14" s="3" t="n"/>
      <c r="S14" s="3" t="n"/>
      <c r="T14" s="3" t="n"/>
      <c r="U14" s="3" t="n"/>
      <c r="V14" s="3" t="n"/>
      <c r="W14" s="3" t="n"/>
      <c r="X14" s="3" t="n"/>
      <c r="Y14" s="4" t="inlineStr">
        <is>
          <t>SPGI_10K_FY2025 p61</t>
        </is>
      </c>
    </row>
    <row r="15">
      <c r="A15" s="38" t="inlineStr">
        <is>
          <t>U.S. revenue</t>
        </is>
      </c>
      <c r="B15" s="3" t="n"/>
      <c r="C15" s="3" t="n"/>
      <c r="D15" s="3" t="n"/>
      <c r="E15" s="3" t="n"/>
      <c r="F15" s="3" t="n"/>
      <c r="G15" s="3" t="n"/>
      <c r="H15" s="3" t="n"/>
      <c r="I15" s="3" t="n"/>
      <c r="J15" s="3" t="n"/>
      <c r="K15" s="30" t="n">
        <v>1223</v>
      </c>
      <c r="L15" s="30" t="n">
        <v>1325</v>
      </c>
      <c r="M15" s="30" t="n">
        <v>1451</v>
      </c>
      <c r="N15" s="3" t="n"/>
      <c r="O15" s="3" t="n"/>
      <c r="P15" s="3" t="n"/>
      <c r="Q15" s="3" t="n"/>
      <c r="R15" s="3" t="n"/>
      <c r="S15" s="3" t="n"/>
      <c r="T15" s="3" t="n"/>
      <c r="U15" s="3" t="n"/>
      <c r="V15" s="3" t="n"/>
      <c r="W15" s="3" t="n"/>
      <c r="X15" s="3" t="n"/>
      <c r="Y15" s="4" t="inlineStr">
        <is>
          <t>SPGI_10K_FY2025 p61</t>
        </is>
      </c>
    </row>
    <row r="16">
      <c r="A16" s="38" t="inlineStr">
        <is>
          <t>International revenue</t>
        </is>
      </c>
      <c r="B16" s="3" t="n"/>
      <c r="C16" s="3" t="n"/>
      <c r="D16" s="3" t="n"/>
      <c r="E16" s="3" t="n"/>
      <c r="F16" s="3" t="n"/>
      <c r="G16" s="3" t="n"/>
      <c r="H16" s="3" t="n"/>
      <c r="I16" s="3" t="n"/>
      <c r="J16" s="3" t="n"/>
      <c r="K16" s="30" t="n">
        <v>261</v>
      </c>
      <c r="L16" s="30" t="n">
        <v>284</v>
      </c>
      <c r="M16" s="30" t="n">
        <v>296</v>
      </c>
      <c r="N16" s="3" t="n"/>
      <c r="O16" s="3" t="n"/>
      <c r="P16" s="3" t="n"/>
      <c r="Q16" s="3" t="n"/>
      <c r="R16" s="3" t="n"/>
      <c r="S16" s="3" t="n"/>
      <c r="T16" s="3" t="n"/>
      <c r="U16" s="3" t="n"/>
      <c r="V16" s="3" t="n"/>
      <c r="W16" s="3" t="n"/>
      <c r="X16" s="3" t="n"/>
      <c r="Y16" s="4" t="inlineStr">
        <is>
          <t>SPGI_10K_FY2025 p61</t>
        </is>
      </c>
    </row>
    <row r="17">
      <c r="A17" s="38" t="inlineStr">
        <is>
          <t>% of total revenue: U.S. revenue</t>
        </is>
      </c>
      <c r="B17" s="3" t="n"/>
      <c r="C17" s="3" t="n"/>
      <c r="D17" s="3" t="n"/>
      <c r="E17" s="3" t="n"/>
      <c r="F17" s="3" t="n"/>
      <c r="G17" s="3" t="n"/>
      <c r="H17" s="3" t="n"/>
      <c r="I17" s="3" t="n"/>
      <c r="J17" s="3" t="n"/>
      <c r="K17" s="41" t="n">
        <v>82</v>
      </c>
      <c r="L17" s="41" t="n">
        <v>82</v>
      </c>
      <c r="M17" s="41" t="n">
        <v>83</v>
      </c>
      <c r="N17" s="3" t="n"/>
      <c r="O17" s="3" t="n"/>
      <c r="P17" s="3" t="n"/>
      <c r="Q17" s="3" t="n"/>
      <c r="R17" s="3" t="n"/>
      <c r="S17" s="3" t="n"/>
      <c r="T17" s="3" t="n"/>
      <c r="U17" s="3" t="n"/>
      <c r="V17" s="3" t="n"/>
      <c r="W17" s="3" t="n"/>
      <c r="X17" s="3" t="n"/>
      <c r="Y17" s="4" t="inlineStr">
        <is>
          <t>SPGI_10K_FY2025 p61</t>
        </is>
      </c>
    </row>
    <row r="18">
      <c r="A18" s="38" t="inlineStr">
        <is>
          <t>% of total revenue: International revenue</t>
        </is>
      </c>
      <c r="B18" s="3" t="n"/>
      <c r="C18" s="3" t="n"/>
      <c r="D18" s="3" t="n"/>
      <c r="E18" s="3" t="n"/>
      <c r="F18" s="3" t="n"/>
      <c r="G18" s="3" t="n"/>
      <c r="H18" s="3" t="n"/>
      <c r="I18" s="3" t="n"/>
      <c r="J18" s="3" t="n"/>
      <c r="K18" s="41" t="n">
        <v>18</v>
      </c>
      <c r="L18" s="41" t="n">
        <v>18</v>
      </c>
      <c r="M18" s="41" t="n">
        <v>17</v>
      </c>
      <c r="N18" s="3" t="n"/>
      <c r="O18" s="3" t="n"/>
      <c r="P18" s="3" t="n"/>
      <c r="Q18" s="3" t="n"/>
      <c r="R18" s="3" t="n"/>
      <c r="S18" s="3" t="n"/>
      <c r="T18" s="3" t="n"/>
      <c r="U18" s="3" t="n"/>
      <c r="V18" s="3" t="n"/>
      <c r="W18" s="3" t="n"/>
      <c r="X18" s="3" t="n"/>
      <c r="Y18" s="4" t="inlineStr">
        <is>
          <t>SPGI_10K_FY2025 p61</t>
        </is>
      </c>
    </row>
    <row r="19">
      <c r="A19" s="39" t="inlineStr">
        <is>
          <t>Operating profit</t>
        </is>
      </c>
      <c r="B19" s="3" t="n"/>
      <c r="C19" s="3" t="n"/>
      <c r="D19" s="3" t="n"/>
      <c r="E19" s="3" t="n"/>
      <c r="F19" s="3" t="n"/>
      <c r="G19" s="3" t="n"/>
      <c r="H19" s="3" t="n"/>
      <c r="I19" s="3" t="n"/>
      <c r="J19" s="3" t="n"/>
      <c r="K19" s="18" t="n">
        <v>260</v>
      </c>
      <c r="L19" s="18" t="n">
        <v>312</v>
      </c>
      <c r="M19" s="18" t="n">
        <v>378</v>
      </c>
      <c r="N19" s="3" t="n"/>
      <c r="O19" s="3" t="n"/>
      <c r="P19" s="3" t="n"/>
      <c r="Q19" s="3" t="n"/>
      <c r="R19" s="3" t="n"/>
      <c r="S19" s="3" t="n"/>
      <c r="T19" s="3" t="n"/>
      <c r="U19" s="3" t="n"/>
      <c r="V19" s="3" t="n"/>
      <c r="W19" s="3" t="n"/>
      <c r="X19" s="3" t="n"/>
      <c r="Y19" s="4" t="inlineStr">
        <is>
          <t>SPGI_10K_FY2025 p61</t>
        </is>
      </c>
    </row>
    <row r="20">
      <c r="A20" s="38" t="inlineStr">
        <is>
          <t>% Operating margin</t>
        </is>
      </c>
      <c r="B20" s="3" t="n"/>
      <c r="C20" s="3" t="n"/>
      <c r="D20" s="3" t="n"/>
      <c r="E20" s="3" t="n"/>
      <c r="F20" s="3" t="n"/>
      <c r="G20" s="3" t="n"/>
      <c r="H20" s="3" t="n"/>
      <c r="I20" s="3" t="n"/>
      <c r="J20" s="3" t="n"/>
      <c r="K20" s="41" t="n">
        <v>18</v>
      </c>
      <c r="L20" s="41" t="n">
        <v>19</v>
      </c>
      <c r="M20" s="41" t="n">
        <v>22</v>
      </c>
      <c r="N20" s="3" t="n"/>
      <c r="O20" s="3" t="n"/>
      <c r="P20" s="3" t="n"/>
      <c r="Q20" s="3" t="n"/>
      <c r="R20" s="3" t="n"/>
      <c r="S20" s="3" t="n"/>
      <c r="T20" s="3" t="n"/>
      <c r="U20" s="3" t="n"/>
      <c r="V20" s="3" t="n"/>
      <c r="W20" s="3" t="n"/>
      <c r="X20" s="3" t="n"/>
      <c r="Y20" s="4" t="inlineStr">
        <is>
          <t>SPGI_10K_FY2025 p61</t>
        </is>
      </c>
    </row>
    <row r="21">
      <c r="A21" s="38" t="inlineStr">
        <is>
          <t>% Change Revenue (vs prior year)</t>
        </is>
      </c>
      <c r="B21" s="3" t="n"/>
      <c r="C21" s="3" t="n"/>
      <c r="D21" s="3" t="n"/>
      <c r="E21" s="3" t="n"/>
      <c r="F21" s="3" t="n"/>
      <c r="G21" s="3" t="n"/>
      <c r="H21" s="3" t="n"/>
      <c r="I21" s="3" t="n"/>
      <c r="J21" s="3" t="n"/>
      <c r="K21" s="3" t="n"/>
      <c r="L21" s="41" t="n">
        <v>8</v>
      </c>
      <c r="M21" s="41" t="n">
        <v>9</v>
      </c>
      <c r="N21" s="3" t="n"/>
      <c r="O21" s="3" t="n"/>
      <c r="P21" s="3" t="n"/>
      <c r="Q21" s="3" t="n"/>
      <c r="R21" s="3" t="n"/>
      <c r="S21" s="3" t="n"/>
      <c r="T21" s="3" t="n"/>
      <c r="U21" s="3" t="n"/>
      <c r="V21" s="3" t="n"/>
      <c r="W21" s="3" t="n"/>
      <c r="X21" s="3" t="n"/>
      <c r="Y21" s="4" t="inlineStr">
        <is>
          <t>SPGI_10K_FY2025 p61</t>
        </is>
      </c>
    </row>
    <row r="22">
      <c r="A22" s="38" t="inlineStr">
        <is>
          <t>% Change Subscription revenue (vs prior year)</t>
        </is>
      </c>
      <c r="B22" s="3" t="n"/>
      <c r="C22" s="3" t="n"/>
      <c r="D22" s="3" t="n"/>
      <c r="E22" s="3" t="n"/>
      <c r="F22" s="3" t="n"/>
      <c r="G22" s="3" t="n"/>
      <c r="H22" s="3" t="n"/>
      <c r="I22" s="3" t="n"/>
      <c r="J22" s="3" t="n"/>
      <c r="K22" s="3" t="n"/>
      <c r="L22" s="41" t="n">
        <v>11</v>
      </c>
      <c r="M22" s="41" t="n">
        <v>10</v>
      </c>
      <c r="N22" s="3" t="n"/>
      <c r="O22" s="3" t="n"/>
      <c r="P22" s="3" t="n"/>
      <c r="Q22" s="3" t="n"/>
      <c r="R22" s="3" t="n"/>
      <c r="S22" s="3" t="n"/>
      <c r="T22" s="3" t="n"/>
      <c r="U22" s="3" t="n"/>
      <c r="V22" s="3" t="n"/>
      <c r="W22" s="3" t="n"/>
      <c r="X22" s="3" t="n"/>
      <c r="Y22" s="4" t="inlineStr">
        <is>
          <t>SPGI_10K_FY2025 p61</t>
        </is>
      </c>
    </row>
    <row r="23">
      <c r="A23" s="38" t="inlineStr">
        <is>
          <t>% Change Non-subscription revenue (vs prior year)</t>
        </is>
      </c>
      <c r="B23" s="3" t="n"/>
      <c r="C23" s="3" t="n"/>
      <c r="D23" s="3" t="n"/>
      <c r="E23" s="3" t="n"/>
      <c r="F23" s="3" t="n"/>
      <c r="G23" s="3" t="n"/>
      <c r="H23" s="3" t="n"/>
      <c r="I23" s="3" t="n"/>
      <c r="J23" s="3" t="n"/>
      <c r="K23" s="3" t="n"/>
      <c r="L23" s="41" t="n">
        <v>-2</v>
      </c>
      <c r="M23" s="41" t="n">
        <v>5</v>
      </c>
      <c r="N23" s="3" t="n"/>
      <c r="O23" s="3" t="n"/>
      <c r="P23" s="3" t="n"/>
      <c r="Q23" s="3" t="n"/>
      <c r="R23" s="3" t="n"/>
      <c r="S23" s="3" t="n"/>
      <c r="T23" s="3" t="n"/>
      <c r="U23" s="3" t="n"/>
      <c r="V23" s="3" t="n"/>
      <c r="W23" s="3" t="n"/>
      <c r="X23" s="3" t="n"/>
      <c r="Y23" s="4" t="inlineStr">
        <is>
          <t>SPGI_10K_FY2025 p61</t>
        </is>
      </c>
    </row>
    <row r="24">
      <c r="A24" s="38" t="inlineStr">
        <is>
          <t>% Change Operating profit (vs prior year)</t>
        </is>
      </c>
      <c r="B24" s="3" t="n"/>
      <c r="C24" s="3" t="n"/>
      <c r="D24" s="3" t="n"/>
      <c r="E24" s="3" t="n"/>
      <c r="F24" s="3" t="n"/>
      <c r="G24" s="3" t="n"/>
      <c r="H24" s="3" t="n"/>
      <c r="I24" s="3" t="n"/>
      <c r="J24" s="3" t="n"/>
      <c r="K24" s="3" t="n"/>
      <c r="L24" s="41" t="n">
        <v>20</v>
      </c>
      <c r="M24" s="41" t="n">
        <v>21</v>
      </c>
      <c r="N24" s="3" t="n"/>
      <c r="O24" s="3" t="n"/>
      <c r="P24" s="3" t="n"/>
      <c r="Q24" s="3" t="n"/>
      <c r="R24" s="3" t="n"/>
      <c r="S24" s="3" t="n"/>
      <c r="T24" s="3" t="n"/>
      <c r="U24" s="3" t="n"/>
      <c r="V24" s="3" t="n"/>
      <c r="W24" s="3" t="n"/>
      <c r="X24" s="3" t="n"/>
      <c r="Y24" s="4" t="inlineStr">
        <is>
          <t>SPGI_10K_FY2025 p61</t>
        </is>
      </c>
    </row>
    <row r="25">
      <c r="A25" s="14" t="inlineStr">
        <is>
          <t>SPGI_10K_FY2025 · MD&amp;A Mobility segment table footnote 1</t>
        </is>
      </c>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row>
    <row r="26">
      <c r="A26" s="38" t="inlineStr">
        <is>
          <t>Operating profit includes: employee severance charges</t>
        </is>
      </c>
      <c r="B26" s="3" t="n"/>
      <c r="C26" s="3" t="n"/>
      <c r="D26" s="3" t="n"/>
      <c r="E26" s="3" t="n"/>
      <c r="F26" s="3" t="n"/>
      <c r="G26" s="3" t="n"/>
      <c r="H26" s="3" t="n"/>
      <c r="I26" s="3" t="n"/>
      <c r="J26" s="3" t="n"/>
      <c r="K26" s="30" t="n">
        <v>9</v>
      </c>
      <c r="L26" s="30" t="n">
        <v>7</v>
      </c>
      <c r="M26" s="30" t="n">
        <v>15</v>
      </c>
      <c r="N26" s="3" t="n"/>
      <c r="O26" s="3" t="n"/>
      <c r="P26" s="3" t="n"/>
      <c r="Q26" s="3" t="n"/>
      <c r="R26" s="3" t="n"/>
      <c r="S26" s="3" t="n"/>
      <c r="T26" s="3" t="n"/>
      <c r="U26" s="3" t="n"/>
      <c r="V26" s="3" t="n"/>
      <c r="W26" s="3" t="n"/>
      <c r="X26" s="3" t="n"/>
      <c r="Y26" s="4" t="inlineStr">
        <is>
          <t>SPGI_10K_FY2025 p61</t>
        </is>
      </c>
    </row>
    <row r="27">
      <c r="A27" s="38" t="inlineStr">
        <is>
          <t>Operating profit includes: disposition-related costs</t>
        </is>
      </c>
      <c r="B27" s="3" t="n"/>
      <c r="C27" s="3" t="n"/>
      <c r="D27" s="3" t="n"/>
      <c r="E27" s="3" t="n"/>
      <c r="F27" s="3" t="n"/>
      <c r="G27" s="3" t="n"/>
      <c r="H27" s="3" t="n"/>
      <c r="I27" s="3" t="n"/>
      <c r="J27" s="3" t="n"/>
      <c r="K27" s="3" t="n"/>
      <c r="L27" s="3" t="n"/>
      <c r="M27" s="30" t="n">
        <v>7</v>
      </c>
      <c r="N27" s="3" t="n"/>
      <c r="O27" s="3" t="n"/>
      <c r="P27" s="3" t="n"/>
      <c r="Q27" s="3" t="n"/>
      <c r="R27" s="3" t="n"/>
      <c r="S27" s="3" t="n"/>
      <c r="T27" s="3" t="n"/>
      <c r="U27" s="3" t="n"/>
      <c r="V27" s="3" t="n"/>
      <c r="W27" s="3" t="n"/>
      <c r="X27" s="3" t="n"/>
      <c r="Y27" s="4" t="inlineStr">
        <is>
          <t>SPGI_10K_FY2025 p61</t>
        </is>
      </c>
    </row>
    <row r="28">
      <c r="A28" s="38" t="inlineStr">
        <is>
          <t>Operating profit includes: Executive Leadership Team transition benefit</t>
        </is>
      </c>
      <c r="B28" s="3" t="n"/>
      <c r="C28" s="3" t="n"/>
      <c r="D28" s="3" t="n"/>
      <c r="E28" s="3" t="n"/>
      <c r="F28" s="3" t="n"/>
      <c r="G28" s="3" t="n"/>
      <c r="H28" s="3" t="n"/>
      <c r="I28" s="3" t="n"/>
      <c r="J28" s="3" t="n"/>
      <c r="K28" s="3" t="n"/>
      <c r="L28" s="3" t="n"/>
      <c r="M28" s="30" t="n">
        <v>4</v>
      </c>
      <c r="N28" s="3" t="n"/>
      <c r="O28" s="3" t="n"/>
      <c r="P28" s="3" t="n"/>
      <c r="Q28" s="3" t="n"/>
      <c r="R28" s="3" t="n"/>
      <c r="S28" s="3" t="n"/>
      <c r="T28" s="3" t="n"/>
      <c r="U28" s="3" t="n"/>
      <c r="V28" s="3" t="n"/>
      <c r="W28" s="3" t="n"/>
      <c r="X28" s="3" t="n"/>
      <c r="Y28" s="4" t="inlineStr">
        <is>
          <t>SPGI_10K_FY2025 p61</t>
        </is>
      </c>
    </row>
    <row r="29">
      <c r="A29" s="38" t="inlineStr">
        <is>
          <t>Operating profit includes: legal settlement recovery</t>
        </is>
      </c>
      <c r="B29" s="3" t="n"/>
      <c r="C29" s="3" t="n"/>
      <c r="D29" s="3" t="n"/>
      <c r="E29" s="3" t="n"/>
      <c r="F29" s="3" t="n"/>
      <c r="G29" s="3" t="n"/>
      <c r="H29" s="3" t="n"/>
      <c r="I29" s="3" t="n"/>
      <c r="J29" s="3" t="n"/>
      <c r="K29" s="3" t="n"/>
      <c r="L29" s="3" t="n"/>
      <c r="M29" s="30" t="n">
        <v>3</v>
      </c>
      <c r="N29" s="3" t="n"/>
      <c r="O29" s="3" t="n"/>
      <c r="P29" s="3" t="n"/>
      <c r="Q29" s="3" t="n"/>
      <c r="R29" s="3" t="n"/>
      <c r="S29" s="3" t="n"/>
      <c r="T29" s="3" t="n"/>
      <c r="U29" s="3" t="n"/>
      <c r="V29" s="3" t="n"/>
      <c r="W29" s="3" t="n"/>
      <c r="X29" s="3" t="n"/>
      <c r="Y29" s="4" t="inlineStr">
        <is>
          <t>SPGI_10K_FY2025 p61</t>
        </is>
      </c>
    </row>
    <row r="30">
      <c r="A30" s="38" t="inlineStr">
        <is>
          <t>Operating profit includes: IHS Markit merger costs</t>
        </is>
      </c>
      <c r="B30" s="3" t="n"/>
      <c r="C30" s="3" t="n"/>
      <c r="D30" s="3" t="n"/>
      <c r="E30" s="3" t="n"/>
      <c r="F30" s="3" t="n"/>
      <c r="G30" s="3" t="n"/>
      <c r="H30" s="3" t="n"/>
      <c r="I30" s="3" t="n"/>
      <c r="J30" s="3" t="n"/>
      <c r="K30" s="30" t="n">
        <v>3</v>
      </c>
      <c r="L30" s="30" t="n">
        <v>4</v>
      </c>
      <c r="M30" s="3" t="n"/>
      <c r="N30" s="3" t="n"/>
      <c r="O30" s="3" t="n"/>
      <c r="P30" s="3" t="n"/>
      <c r="Q30" s="3" t="n"/>
      <c r="R30" s="3" t="n"/>
      <c r="S30" s="3" t="n"/>
      <c r="T30" s="3" t="n"/>
      <c r="U30" s="3" t="n"/>
      <c r="V30" s="3" t="n"/>
      <c r="W30" s="3" t="n"/>
      <c r="X30" s="3" t="n"/>
      <c r="Y30" s="4" t="inlineStr">
        <is>
          <t>SPGI_10K_FY2025 p61</t>
        </is>
      </c>
    </row>
    <row r="31">
      <c r="A31" s="38" t="inlineStr">
        <is>
          <t>Operating profit includes: acquisition-related costs</t>
        </is>
      </c>
      <c r="B31" s="3" t="n"/>
      <c r="C31" s="3" t="n"/>
      <c r="D31" s="3" t="n"/>
      <c r="E31" s="3" t="n"/>
      <c r="F31" s="3" t="n"/>
      <c r="G31" s="3" t="n"/>
      <c r="H31" s="3" t="n"/>
      <c r="I31" s="3" t="n"/>
      <c r="J31" s="3" t="n"/>
      <c r="K31" s="30" t="n">
        <v>2</v>
      </c>
      <c r="L31" s="30" t="n">
        <v>2</v>
      </c>
      <c r="M31" s="3" t="n"/>
      <c r="N31" s="3" t="n"/>
      <c r="O31" s="3" t="n"/>
      <c r="P31" s="3" t="n"/>
      <c r="Q31" s="3" t="n"/>
      <c r="R31" s="3" t="n"/>
      <c r="S31" s="3" t="n"/>
      <c r="T31" s="3" t="n"/>
      <c r="U31" s="3" t="n"/>
      <c r="V31" s="3" t="n"/>
      <c r="W31" s="3" t="n"/>
      <c r="X31" s="3" t="n"/>
      <c r="Y31" s="4" t="inlineStr">
        <is>
          <t>SPGI_10K_FY2025 p61</t>
        </is>
      </c>
    </row>
    <row r="32">
      <c r="A32" s="38" t="inlineStr">
        <is>
          <t>Operating profit includes: liability write-off</t>
        </is>
      </c>
      <c r="B32" s="3" t="n"/>
      <c r="C32" s="3" t="n"/>
      <c r="D32" s="3" t="n"/>
      <c r="E32" s="3" t="n"/>
      <c r="F32" s="3" t="n"/>
      <c r="G32" s="3" t="n"/>
      <c r="H32" s="3" t="n"/>
      <c r="I32" s="3" t="n"/>
      <c r="J32" s="3" t="n"/>
      <c r="K32" s="3" t="n"/>
      <c r="L32" s="30" t="n">
        <v>1</v>
      </c>
      <c r="M32" s="3" t="n"/>
      <c r="N32" s="3" t="n"/>
      <c r="O32" s="3" t="n"/>
      <c r="P32" s="3" t="n"/>
      <c r="Q32" s="3" t="n"/>
      <c r="R32" s="3" t="n"/>
      <c r="S32" s="3" t="n"/>
      <c r="T32" s="3" t="n"/>
      <c r="U32" s="3" t="n"/>
      <c r="V32" s="3" t="n"/>
      <c r="W32" s="3" t="n"/>
      <c r="X32" s="3" t="n"/>
      <c r="Y32" s="4" t="inlineStr">
        <is>
          <t>SPGI_10K_FY2025 p61</t>
        </is>
      </c>
    </row>
    <row r="33">
      <c r="A33" s="38" t="inlineStr">
        <is>
          <t>Operating profit includes: amortization of intangibles from acquisitions</t>
        </is>
      </c>
      <c r="B33" s="3" t="n"/>
      <c r="C33" s="3" t="n"/>
      <c r="D33" s="3" t="n"/>
      <c r="E33" s="3" t="n"/>
      <c r="F33" s="3" t="n"/>
      <c r="G33" s="3" t="n"/>
      <c r="H33" s="3" t="n"/>
      <c r="I33" s="3" t="n"/>
      <c r="J33" s="3" t="n"/>
      <c r="K33" s="30" t="n">
        <v>301</v>
      </c>
      <c r="L33" s="30" t="n">
        <v>303</v>
      </c>
      <c r="M33" s="30" t="n">
        <v>303</v>
      </c>
      <c r="N33" s="3" t="n"/>
      <c r="O33" s="3" t="n"/>
      <c r="P33" s="3" t="n"/>
      <c r="Q33" s="3" t="n"/>
      <c r="R33" s="3" t="n"/>
      <c r="S33" s="3" t="n"/>
      <c r="T33" s="3" t="n"/>
      <c r="U33" s="3" t="n"/>
      <c r="V33" s="3" t="n"/>
      <c r="W33" s="3" t="n"/>
      <c r="X33" s="3" t="n"/>
      <c r="Y33" s="4" t="inlineStr">
        <is>
          <t>SPGI_10K_FY2025 p61</t>
        </is>
      </c>
    </row>
    <row r="34">
      <c r="A34" s="14" t="inlineStr">
        <is>
          <t>SPGI_10K_FY2025 · MD&amp;A Mobility narrative</t>
        </is>
      </c>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row>
    <row r="35">
      <c r="A35" s="38" t="inlineStr">
        <is>
          <t>Operating profit % change excluding listed items (2025 vs 2024)</t>
        </is>
      </c>
      <c r="B35" s="3" t="n"/>
      <c r="C35" s="3" t="n"/>
      <c r="D35" s="3" t="n"/>
      <c r="E35" s="3" t="n"/>
      <c r="F35" s="3" t="n"/>
      <c r="G35" s="3" t="n"/>
      <c r="H35" s="3" t="n"/>
      <c r="I35" s="3" t="n"/>
      <c r="J35" s="3" t="n"/>
      <c r="K35" s="3" t="n"/>
      <c r="L35" s="3" t="n"/>
      <c r="M35" s="41" t="n">
        <v>11</v>
      </c>
      <c r="N35" s="3" t="n"/>
      <c r="O35" s="3" t="n"/>
      <c r="P35" s="3" t="n"/>
      <c r="Q35" s="3" t="n"/>
      <c r="R35" s="3" t="n"/>
      <c r="S35" s="3" t="n"/>
      <c r="T35" s="3" t="n"/>
      <c r="U35" s="3" t="n"/>
      <c r="V35" s="3" t="n"/>
      <c r="W35" s="3" t="n"/>
      <c r="X35" s="3" t="n"/>
      <c r="Y35" s="4" t="inlineStr">
        <is>
          <t>SPGI_10K_FY2025 p61</t>
        </is>
      </c>
    </row>
    <row r="36">
      <c r="A36" s="38" t="inlineStr">
        <is>
          <t>Operating profit % change excluding listed items (2024 vs 2023)</t>
        </is>
      </c>
      <c r="B36" s="3" t="n"/>
      <c r="C36" s="3" t="n"/>
      <c r="D36" s="3" t="n"/>
      <c r="E36" s="3" t="n"/>
      <c r="F36" s="3" t="n"/>
      <c r="G36" s="3" t="n"/>
      <c r="H36" s="3" t="n"/>
      <c r="I36" s="3" t="n"/>
      <c r="J36" s="3" t="n"/>
      <c r="K36" s="3" t="n"/>
      <c r="L36" s="41" t="n">
        <v>9</v>
      </c>
      <c r="M36" s="3" t="n"/>
      <c r="N36" s="3" t="n"/>
      <c r="O36" s="3" t="n"/>
      <c r="P36" s="3" t="n"/>
      <c r="Q36" s="3" t="n"/>
      <c r="R36" s="3" t="n"/>
      <c r="S36" s="3" t="n"/>
      <c r="T36" s="3" t="n"/>
      <c r="U36" s="3" t="n"/>
      <c r="V36" s="3" t="n"/>
      <c r="W36" s="3" t="n"/>
      <c r="X36" s="3" t="n"/>
      <c r="Y36" s="4" t="inlineStr">
        <is>
          <t>SPGI_10K_FY2025 p62</t>
        </is>
      </c>
    </row>
    <row r="37">
      <c r="A37" s="14" t="inlineStr">
        <is>
          <t>SPGI_10K_FY2025 · MD&amp;A Total Expenses by segment</t>
        </is>
      </c>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row>
    <row r="38">
      <c r="A38" s="38" t="inlineStr">
        <is>
          <t>Mobility Operating-related expenses</t>
        </is>
      </c>
      <c r="B38" s="3" t="n"/>
      <c r="C38" s="3" t="n"/>
      <c r="D38" s="3" t="n"/>
      <c r="E38" s="3" t="n"/>
      <c r="F38" s="3" t="n"/>
      <c r="G38" s="3" t="n"/>
      <c r="H38" s="3" t="n"/>
      <c r="I38" s="3" t="n"/>
      <c r="J38" s="3" t="n"/>
      <c r="K38" s="30" t="n">
        <v>408</v>
      </c>
      <c r="L38" s="30" t="n">
        <v>487</v>
      </c>
      <c r="M38" s="30" t="n">
        <v>530</v>
      </c>
      <c r="N38" s="3" t="n"/>
      <c r="O38" s="3" t="n"/>
      <c r="P38" s="3" t="n"/>
      <c r="Q38" s="3" t="n"/>
      <c r="R38" s="3" t="n"/>
      <c r="S38" s="3" t="n"/>
      <c r="T38" s="3" t="n"/>
      <c r="U38" s="3" t="n"/>
      <c r="V38" s="3" t="n"/>
      <c r="W38" s="3" t="n"/>
      <c r="X38" s="3" t="n"/>
      <c r="Y38" s="4" t="inlineStr">
        <is>
          <t>SPGI_10K_FY2025 p43</t>
        </is>
      </c>
    </row>
    <row r="39">
      <c r="A39" s="38" t="inlineStr">
        <is>
          <t>Mobility Selling and general expenses</t>
        </is>
      </c>
      <c r="B39" s="3" t="n"/>
      <c r="C39" s="3" t="n"/>
      <c r="D39" s="3" t="n"/>
      <c r="E39" s="3" t="n"/>
      <c r="F39" s="3" t="n"/>
      <c r="G39" s="3" t="n"/>
      <c r="H39" s="3" t="n"/>
      <c r="I39" s="3" t="n"/>
      <c r="J39" s="3" t="n"/>
      <c r="K39" s="30" t="n">
        <v>502</v>
      </c>
      <c r="L39" s="30" t="n">
        <v>493</v>
      </c>
      <c r="M39" s="30" t="n">
        <v>519</v>
      </c>
      <c r="N39" s="3" t="n"/>
      <c r="O39" s="3" t="n"/>
      <c r="P39" s="3" t="n"/>
      <c r="Q39" s="3" t="n"/>
      <c r="R39" s="3" t="n"/>
      <c r="S39" s="3" t="n"/>
      <c r="T39" s="3" t="n"/>
      <c r="U39" s="3" t="n"/>
      <c r="V39" s="3" t="n"/>
      <c r="W39" s="3" t="n"/>
      <c r="X39" s="3" t="n"/>
      <c r="Y39" s="4" t="inlineStr">
        <is>
          <t>SPGI_10K_FY2025 p43</t>
        </is>
      </c>
    </row>
    <row r="40">
      <c r="A40" s="14" t="inlineStr">
        <is>
          <t>SPGI_10K_FY2025 · Note 12 Segment operating results (ASU 2023-07)</t>
        </is>
      </c>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row>
    <row r="41">
      <c r="A41" s="38" t="inlineStr">
        <is>
          <t>Revenue from external customers</t>
        </is>
      </c>
      <c r="B41" s="3" t="n"/>
      <c r="C41" s="3" t="n"/>
      <c r="D41" s="3" t="n"/>
      <c r="E41" s="3" t="n"/>
      <c r="F41" s="3" t="n"/>
      <c r="G41" s="3" t="n"/>
      <c r="H41" s="3" t="n"/>
      <c r="I41" s="3" t="n"/>
      <c r="J41" s="3" t="n"/>
      <c r="K41" s="30" t="n">
        <v>1484</v>
      </c>
      <c r="L41" s="30" t="n">
        <v>1609</v>
      </c>
      <c r="M41" s="30" t="n">
        <v>1747</v>
      </c>
      <c r="N41" s="3" t="n"/>
      <c r="O41" s="3" t="n"/>
      <c r="P41" s="3" t="n"/>
      <c r="Q41" s="3" t="n"/>
      <c r="R41" s="3" t="n"/>
      <c r="S41" s="3" t="n"/>
      <c r="T41" s="3" t="n"/>
      <c r="U41" s="3" t="n"/>
      <c r="V41" s="3" t="n"/>
      <c r="W41" s="3" t="n"/>
      <c r="X41" s="3" t="n"/>
      <c r="Y41" s="4" t="inlineStr">
        <is>
          <t>SPGI_10K_FY2025 p119</t>
        </is>
      </c>
    </row>
    <row r="42">
      <c r="A42" s="38" t="inlineStr">
        <is>
          <t>Intersegment revenue</t>
        </is>
      </c>
      <c r="B42" s="3" t="n"/>
      <c r="C42" s="3" t="n"/>
      <c r="D42" s="3" t="n"/>
      <c r="E42" s="3" t="n"/>
      <c r="F42" s="3" t="n"/>
      <c r="G42" s="3" t="n"/>
      <c r="H42" s="3" t="n"/>
      <c r="I42" s="3" t="n"/>
      <c r="J42" s="3" t="n"/>
      <c r="K42" s="30" t="n">
        <v>0</v>
      </c>
      <c r="L42" s="30" t="n">
        <v>0</v>
      </c>
      <c r="M42" s="30" t="n">
        <v>0</v>
      </c>
      <c r="N42" s="3" t="n"/>
      <c r="O42" s="3" t="n"/>
      <c r="P42" s="3" t="n"/>
      <c r="Q42" s="3" t="n"/>
      <c r="R42" s="3" t="n"/>
      <c r="S42" s="3" t="n"/>
      <c r="T42" s="3" t="n"/>
      <c r="U42" s="3" t="n"/>
      <c r="V42" s="3" t="n"/>
      <c r="W42" s="3" t="n"/>
      <c r="X42" s="3" t="n"/>
      <c r="Y42" s="4" t="inlineStr">
        <is>
          <t>SPGI_10K_FY2025 p119</t>
        </is>
      </c>
    </row>
    <row r="43">
      <c r="A43" s="39" t="inlineStr">
        <is>
          <t>Revenue</t>
        </is>
      </c>
      <c r="B43" s="3" t="n"/>
      <c r="C43" s="3" t="n"/>
      <c r="D43" s="3" t="n"/>
      <c r="E43" s="3" t="n"/>
      <c r="F43" s="3" t="n"/>
      <c r="G43" s="3" t="n"/>
      <c r="H43" s="3" t="n"/>
      <c r="I43" s="3" t="n"/>
      <c r="J43" s="3" t="n"/>
      <c r="K43" s="18" t="n">
        <v>1484</v>
      </c>
      <c r="L43" s="18" t="n">
        <v>1609</v>
      </c>
      <c r="M43" s="18" t="n">
        <v>1747</v>
      </c>
      <c r="N43" s="3" t="n"/>
      <c r="O43" s="3" t="n"/>
      <c r="P43" s="3" t="n"/>
      <c r="Q43" s="3" t="n"/>
      <c r="R43" s="3" t="n"/>
      <c r="S43" s="3" t="n"/>
      <c r="T43" s="3" t="n"/>
      <c r="U43" s="3" t="n"/>
      <c r="V43" s="3" t="n"/>
      <c r="W43" s="3" t="n"/>
      <c r="X43" s="3" t="n"/>
      <c r="Y43" s="4" t="inlineStr">
        <is>
          <t>SPGI_10K_FY2025 p119</t>
        </is>
      </c>
    </row>
    <row r="44">
      <c r="A44" s="38" t="inlineStr">
        <is>
          <t>Less: segment expenses</t>
        </is>
      </c>
      <c r="B44" s="3" t="n"/>
      <c r="C44" s="3" t="n"/>
      <c r="D44" s="3" t="n"/>
      <c r="E44" s="3" t="n"/>
      <c r="F44" s="3" t="n"/>
      <c r="G44" s="3" t="n"/>
      <c r="H44" s="3" t="n"/>
      <c r="I44" s="3" t="n"/>
      <c r="J44" s="3" t="n"/>
      <c r="K44" s="30" t="n">
        <v>908</v>
      </c>
      <c r="L44" s="30" t="n">
        <v>982</v>
      </c>
      <c r="M44" s="30" t="n">
        <v>1051</v>
      </c>
      <c r="N44" s="3" t="n"/>
      <c r="O44" s="3" t="n"/>
      <c r="P44" s="3" t="n"/>
      <c r="Q44" s="3" t="n"/>
      <c r="R44" s="3" t="n"/>
      <c r="S44" s="3" t="n"/>
      <c r="T44" s="3" t="n"/>
      <c r="U44" s="3" t="n"/>
      <c r="V44" s="3" t="n"/>
      <c r="W44" s="3" t="n"/>
      <c r="X44" s="3" t="n"/>
      <c r="Y44" s="4" t="inlineStr">
        <is>
          <t>SPGI_10K_FY2025 p119</t>
        </is>
      </c>
    </row>
    <row r="45">
      <c r="A45" s="38" t="inlineStr">
        <is>
          <t>Less: other segment items</t>
        </is>
      </c>
      <c r="B45" s="3" t="n"/>
      <c r="C45" s="3" t="n"/>
      <c r="D45" s="3" t="n"/>
      <c r="E45" s="3" t="n"/>
      <c r="F45" s="3" t="n"/>
      <c r="G45" s="3" t="n"/>
      <c r="H45" s="3" t="n"/>
      <c r="I45" s="3" t="n"/>
      <c r="J45" s="3" t="n"/>
      <c r="K45" s="30" t="n">
        <v>316</v>
      </c>
      <c r="L45" s="30" t="n">
        <v>315</v>
      </c>
      <c r="M45" s="30" t="n">
        <v>318</v>
      </c>
      <c r="N45" s="3" t="n"/>
      <c r="O45" s="3" t="n"/>
      <c r="P45" s="3" t="n"/>
      <c r="Q45" s="3" t="n"/>
      <c r="R45" s="3" t="n"/>
      <c r="S45" s="3" t="n"/>
      <c r="T45" s="3" t="n"/>
      <c r="U45" s="3" t="n"/>
      <c r="V45" s="3" t="n"/>
      <c r="W45" s="3" t="n"/>
      <c r="X45" s="3" t="n"/>
      <c r="Y45" s="4" t="inlineStr">
        <is>
          <t>SPGI_10K_FY2025 p119</t>
        </is>
      </c>
    </row>
    <row r="46">
      <c r="A46" s="39" t="inlineStr">
        <is>
          <t>Segment operating profit</t>
        </is>
      </c>
      <c r="B46" s="3" t="n"/>
      <c r="C46" s="3" t="n"/>
      <c r="D46" s="3" t="n"/>
      <c r="E46" s="3" t="n"/>
      <c r="F46" s="3" t="n"/>
      <c r="G46" s="3" t="n"/>
      <c r="H46" s="3" t="n"/>
      <c r="I46" s="3" t="n"/>
      <c r="J46" s="3" t="n"/>
      <c r="K46" s="18" t="n">
        <v>260</v>
      </c>
      <c r="L46" s="18" t="n">
        <v>312</v>
      </c>
      <c r="M46" s="18" t="n">
        <v>378</v>
      </c>
      <c r="N46" s="3" t="n"/>
      <c r="O46" s="3" t="n"/>
      <c r="P46" s="3" t="n"/>
      <c r="Q46" s="3" t="n"/>
      <c r="R46" s="3" t="n"/>
      <c r="S46" s="3" t="n"/>
      <c r="T46" s="3" t="n"/>
      <c r="U46" s="3" t="n"/>
      <c r="V46" s="3" t="n"/>
      <c r="W46" s="3" t="n"/>
      <c r="X46" s="3" t="n"/>
      <c r="Y46" s="4" t="inlineStr">
        <is>
          <t>SPGI_10K_FY2025 p119</t>
        </is>
      </c>
    </row>
    <row r="47">
      <c r="A47" s="14" t="inlineStr">
        <is>
          <t>SPGI_10K_FY2025 · Note 12 Revenue disaggregated by type</t>
        </is>
      </c>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row>
    <row r="48">
      <c r="A48" s="38" t="inlineStr">
        <is>
          <t>Subscription</t>
        </is>
      </c>
      <c r="B48" s="3" t="n"/>
      <c r="C48" s="3" t="n"/>
      <c r="D48" s="3" t="n"/>
      <c r="E48" s="3" t="n"/>
      <c r="F48" s="3" t="n"/>
      <c r="G48" s="3" t="n"/>
      <c r="H48" s="3" t="n"/>
      <c r="I48" s="3" t="n"/>
      <c r="J48" s="3" t="n"/>
      <c r="K48" s="30" t="n">
        <v>1169</v>
      </c>
      <c r="L48" s="30" t="n">
        <v>1299</v>
      </c>
      <c r="M48" s="30" t="n">
        <v>1422</v>
      </c>
      <c r="N48" s="3" t="n"/>
      <c r="O48" s="3" t="n"/>
      <c r="P48" s="3" t="n"/>
      <c r="Q48" s="3" t="n"/>
      <c r="R48" s="3" t="n"/>
      <c r="S48" s="3" t="n"/>
      <c r="T48" s="3" t="n"/>
      <c r="U48" s="3" t="n"/>
      <c r="V48" s="3" t="n"/>
      <c r="W48" s="3" t="n"/>
      <c r="X48" s="3" t="n"/>
      <c r="Y48" s="4" t="inlineStr">
        <is>
          <t>SPGI_10K_FY2025 p121</t>
        </is>
      </c>
    </row>
    <row r="49">
      <c r="A49" s="38" t="inlineStr">
        <is>
          <t>Non-subscription / Transaction</t>
        </is>
      </c>
      <c r="B49" s="3" t="n"/>
      <c r="C49" s="3" t="n"/>
      <c r="D49" s="3" t="n"/>
      <c r="E49" s="3" t="n"/>
      <c r="F49" s="3" t="n"/>
      <c r="G49" s="3" t="n"/>
      <c r="H49" s="3" t="n"/>
      <c r="I49" s="3" t="n"/>
      <c r="J49" s="3" t="n"/>
      <c r="K49" s="30" t="n">
        <v>315</v>
      </c>
      <c r="L49" s="30" t="n">
        <v>310</v>
      </c>
      <c r="M49" s="30" t="n">
        <v>325</v>
      </c>
      <c r="N49" s="3" t="n"/>
      <c r="O49" s="3" t="n"/>
      <c r="P49" s="3" t="n"/>
      <c r="Q49" s="3" t="n"/>
      <c r="R49" s="3" t="n"/>
      <c r="S49" s="3" t="n"/>
      <c r="T49" s="3" t="n"/>
      <c r="U49" s="3" t="n"/>
      <c r="V49" s="3" t="n"/>
      <c r="W49" s="3" t="n"/>
      <c r="X49" s="3" t="n"/>
      <c r="Y49" s="4" t="inlineStr">
        <is>
          <t>SPGI_10K_FY2025 p121</t>
        </is>
      </c>
    </row>
    <row r="50">
      <c r="A50" s="39" t="inlineStr">
        <is>
          <t>Total revenue</t>
        </is>
      </c>
      <c r="B50" s="3" t="n"/>
      <c r="C50" s="3" t="n"/>
      <c r="D50" s="3" t="n"/>
      <c r="E50" s="3" t="n"/>
      <c r="F50" s="3" t="n"/>
      <c r="G50" s="3" t="n"/>
      <c r="H50" s="3" t="n"/>
      <c r="I50" s="3" t="n"/>
      <c r="J50" s="3" t="n"/>
      <c r="K50" s="18" t="n">
        <v>1484</v>
      </c>
      <c r="L50" s="18" t="n">
        <v>1609</v>
      </c>
      <c r="M50" s="18" t="n">
        <v>1747</v>
      </c>
      <c r="N50" s="3" t="n"/>
      <c r="O50" s="3" t="n"/>
      <c r="P50" s="3" t="n"/>
      <c r="Q50" s="3" t="n"/>
      <c r="R50" s="3" t="n"/>
      <c r="S50" s="3" t="n"/>
      <c r="T50" s="3" t="n"/>
      <c r="U50" s="3" t="n"/>
      <c r="V50" s="3" t="n"/>
      <c r="W50" s="3" t="n"/>
      <c r="X50" s="3" t="n"/>
      <c r="Y50" s="4" t="inlineStr">
        <is>
          <t>SPGI_10K_FY2025 p121</t>
        </is>
      </c>
    </row>
    <row r="51">
      <c r="A51" s="38" t="inlineStr">
        <is>
          <t>Services transferred at a point in time</t>
        </is>
      </c>
      <c r="B51" s="3" t="n"/>
      <c r="C51" s="3" t="n"/>
      <c r="D51" s="3" t="n"/>
      <c r="E51" s="3" t="n"/>
      <c r="F51" s="3" t="n"/>
      <c r="G51" s="3" t="n"/>
      <c r="H51" s="3" t="n"/>
      <c r="I51" s="3" t="n"/>
      <c r="J51" s="3" t="n"/>
      <c r="K51" s="30" t="n">
        <v>315</v>
      </c>
      <c r="L51" s="30" t="n">
        <v>310</v>
      </c>
      <c r="M51" s="30" t="n">
        <v>325</v>
      </c>
      <c r="N51" s="3" t="n"/>
      <c r="O51" s="3" t="n"/>
      <c r="P51" s="3" t="n"/>
      <c r="Q51" s="3" t="n"/>
      <c r="R51" s="3" t="n"/>
      <c r="S51" s="3" t="n"/>
      <c r="T51" s="3" t="n"/>
      <c r="U51" s="3" t="n"/>
      <c r="V51" s="3" t="n"/>
      <c r="W51" s="3" t="n"/>
      <c r="X51" s="3" t="n"/>
      <c r="Y51" s="4" t="inlineStr">
        <is>
          <t>SPGI_10K_FY2025 p121</t>
        </is>
      </c>
    </row>
    <row r="52">
      <c r="A52" s="38" t="inlineStr">
        <is>
          <t>Services transferred over time</t>
        </is>
      </c>
      <c r="B52" s="3" t="n"/>
      <c r="C52" s="3" t="n"/>
      <c r="D52" s="3" t="n"/>
      <c r="E52" s="3" t="n"/>
      <c r="F52" s="3" t="n"/>
      <c r="G52" s="3" t="n"/>
      <c r="H52" s="3" t="n"/>
      <c r="I52" s="3" t="n"/>
      <c r="J52" s="3" t="n"/>
      <c r="K52" s="30" t="n">
        <v>1169</v>
      </c>
      <c r="L52" s="30" t="n">
        <v>1299</v>
      </c>
      <c r="M52" s="30" t="n">
        <v>1422</v>
      </c>
      <c r="N52" s="3" t="n"/>
      <c r="O52" s="3" t="n"/>
      <c r="P52" s="3" t="n"/>
      <c r="Q52" s="3" t="n"/>
      <c r="R52" s="3" t="n"/>
      <c r="S52" s="3" t="n"/>
      <c r="T52" s="3" t="n"/>
      <c r="U52" s="3" t="n"/>
      <c r="V52" s="3" t="n"/>
      <c r="W52" s="3" t="n"/>
      <c r="X52" s="3" t="n"/>
      <c r="Y52" s="4" t="inlineStr">
        <is>
          <t>SPGI_10K_FY2025 p121</t>
        </is>
      </c>
    </row>
    <row r="53">
      <c r="A53" s="14" t="inlineStr">
        <is>
          <t>SPGI_10K_FY2025 · Note 12 Segment information</t>
        </is>
      </c>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row>
    <row r="54">
      <c r="A54" s="38" t="inlineStr">
        <is>
          <t>Depreciation &amp; Amortization</t>
        </is>
      </c>
      <c r="B54" s="3" t="n"/>
      <c r="C54" s="3" t="n"/>
      <c r="D54" s="3" t="n"/>
      <c r="E54" s="3" t="n"/>
      <c r="F54" s="3" t="n"/>
      <c r="G54" s="3" t="n"/>
      <c r="H54" s="3" t="n"/>
      <c r="I54" s="3" t="n"/>
      <c r="J54" s="3" t="n"/>
      <c r="K54" s="30" t="n">
        <v>314</v>
      </c>
      <c r="L54" s="30" t="n">
        <v>317</v>
      </c>
      <c r="M54" s="30" t="n">
        <v>320</v>
      </c>
      <c r="N54" s="3" t="n"/>
      <c r="O54" s="3" t="n"/>
      <c r="P54" s="3" t="n"/>
      <c r="Q54" s="3" t="n"/>
      <c r="R54" s="3" t="n"/>
      <c r="S54" s="3" t="n"/>
      <c r="T54" s="3" t="n"/>
      <c r="U54" s="3" t="n"/>
      <c r="V54" s="3" t="n"/>
      <c r="W54" s="3" t="n"/>
      <c r="X54" s="3" t="n"/>
      <c r="Y54" s="4" t="inlineStr">
        <is>
          <t>SPGI_10K_FY2025 p122</t>
        </is>
      </c>
    </row>
    <row r="55">
      <c r="A55" s="38" t="inlineStr">
        <is>
          <t>Capital Expenditures</t>
        </is>
      </c>
      <c r="B55" s="3" t="n"/>
      <c r="C55" s="3" t="n"/>
      <c r="D55" s="3" t="n"/>
      <c r="E55" s="3" t="n"/>
      <c r="F55" s="3" t="n"/>
      <c r="G55" s="3" t="n"/>
      <c r="H55" s="3" t="n"/>
      <c r="I55" s="3" t="n"/>
      <c r="J55" s="3" t="n"/>
      <c r="K55" s="30" t="n">
        <v>22</v>
      </c>
      <c r="L55" s="30" t="n">
        <v>18</v>
      </c>
      <c r="M55" s="30" t="n">
        <v>28</v>
      </c>
      <c r="N55" s="3" t="n"/>
      <c r="O55" s="3" t="n"/>
      <c r="P55" s="3" t="n"/>
      <c r="Q55" s="3" t="n"/>
      <c r="R55" s="3" t="n"/>
      <c r="S55" s="3" t="n"/>
      <c r="T55" s="3" t="n"/>
      <c r="U55" s="3" t="n"/>
      <c r="V55" s="3" t="n"/>
      <c r="W55" s="3" t="n"/>
      <c r="X55" s="3" t="n"/>
      <c r="Y55" s="4" t="inlineStr">
        <is>
          <t>SPGI_10K_FY2025 p122</t>
        </is>
      </c>
    </row>
    <row r="56">
      <c r="A56" s="14" t="inlineStr">
        <is>
          <t>SPGI_10K_FY2025 · Note 11 Restructuring by segment</t>
        </is>
      </c>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row>
    <row r="57">
      <c r="A57" s="38" t="inlineStr">
        <is>
          <t>2025 Restructuring Plan - Initial Charge Recorded (Mobility)</t>
        </is>
      </c>
      <c r="B57" s="3" t="n"/>
      <c r="C57" s="3" t="n"/>
      <c r="D57" s="3" t="n"/>
      <c r="E57" s="3" t="n"/>
      <c r="F57" s="3" t="n"/>
      <c r="G57" s="3" t="n"/>
      <c r="H57" s="3" t="n"/>
      <c r="I57" s="3" t="n"/>
      <c r="J57" s="3" t="n"/>
      <c r="K57" s="3" t="n"/>
      <c r="L57" s="3" t="n"/>
      <c r="M57" s="30" t="n">
        <v>15</v>
      </c>
      <c r="N57" s="3" t="n"/>
      <c r="O57" s="3" t="n"/>
      <c r="P57" s="3" t="n"/>
      <c r="Q57" s="3" t="n"/>
      <c r="R57" s="3" t="n"/>
      <c r="S57" s="3" t="n"/>
      <c r="T57" s="3" t="n"/>
      <c r="U57" s="3" t="n"/>
      <c r="V57" s="3" t="n"/>
      <c r="W57" s="3" t="n"/>
      <c r="X57" s="3" t="n"/>
      <c r="Y57" s="4" t="inlineStr">
        <is>
          <t>SPGI_10K_FY2025 p118</t>
        </is>
      </c>
    </row>
    <row r="58">
      <c r="A58" s="38" t="inlineStr">
        <is>
          <t>2025 Restructuring Plan - Ending Reserve Balance (Mobility)</t>
        </is>
      </c>
      <c r="B58" s="3" t="n"/>
      <c r="C58" s="3" t="n"/>
      <c r="D58" s="3" t="n"/>
      <c r="E58" s="3" t="n"/>
      <c r="F58" s="3" t="n"/>
      <c r="G58" s="3" t="n"/>
      <c r="H58" s="3" t="n"/>
      <c r="I58" s="3" t="n"/>
      <c r="J58" s="3" t="n"/>
      <c r="K58" s="3" t="n"/>
      <c r="L58" s="3" t="n"/>
      <c r="M58" s="30" t="n">
        <v>11</v>
      </c>
      <c r="N58" s="3" t="n"/>
      <c r="O58" s="3" t="n"/>
      <c r="P58" s="3" t="n"/>
      <c r="Q58" s="3" t="n"/>
      <c r="R58" s="3" t="n"/>
      <c r="S58" s="3" t="n"/>
      <c r="T58" s="3" t="n"/>
      <c r="U58" s="3" t="n"/>
      <c r="V58" s="3" t="n"/>
      <c r="W58" s="3" t="n"/>
      <c r="X58" s="3" t="n"/>
      <c r="Y58" s="4" t="inlineStr">
        <is>
          <t>SPGI_10K_FY2025 p118</t>
        </is>
      </c>
    </row>
    <row r="59">
      <c r="A59" s="38" t="inlineStr">
        <is>
          <t>2024 Restructuring Plan - Initial Charge Recorded (Mobility)</t>
        </is>
      </c>
      <c r="B59" s="3" t="n"/>
      <c r="C59" s="3" t="n"/>
      <c r="D59" s="3" t="n"/>
      <c r="E59" s="3" t="n"/>
      <c r="F59" s="3" t="n"/>
      <c r="G59" s="3" t="n"/>
      <c r="H59" s="3" t="n"/>
      <c r="I59" s="3" t="n"/>
      <c r="J59" s="3" t="n"/>
      <c r="K59" s="3" t="n"/>
      <c r="L59" s="3" t="n"/>
      <c r="M59" s="30" t="n">
        <v>6</v>
      </c>
      <c r="N59" s="3" t="n"/>
      <c r="O59" s="3" t="n"/>
      <c r="P59" s="3" t="n"/>
      <c r="Q59" s="3" t="n"/>
      <c r="R59" s="3" t="n"/>
      <c r="S59" s="3" t="n"/>
      <c r="T59" s="3" t="n"/>
      <c r="U59" s="3" t="n"/>
      <c r="V59" s="3" t="n"/>
      <c r="W59" s="3" t="n"/>
      <c r="X59" s="3" t="n"/>
      <c r="Y59" s="4" t="inlineStr">
        <is>
          <t>SPGI_10K_FY2025 p118</t>
        </is>
      </c>
    </row>
    <row r="60">
      <c r="A60" s="38" t="inlineStr">
        <is>
          <t>2024 Restructuring Plan - Ending Reserve Balance (Mobility)</t>
        </is>
      </c>
      <c r="B60" s="3" t="n"/>
      <c r="C60" s="3" t="n"/>
      <c r="D60" s="3" t="n"/>
      <c r="E60" s="3" t="n"/>
      <c r="F60" s="3" t="n"/>
      <c r="G60" s="3" t="n"/>
      <c r="H60" s="3" t="n"/>
      <c r="I60" s="3" t="n"/>
      <c r="J60" s="3" t="n"/>
      <c r="K60" s="3" t="n"/>
      <c r="L60" s="3" t="n"/>
      <c r="M60" s="30" t="n">
        <v>1</v>
      </c>
      <c r="N60" s="3" t="n"/>
      <c r="O60" s="3" t="n"/>
      <c r="P60" s="3" t="n"/>
      <c r="Q60" s="3" t="n"/>
      <c r="R60" s="3" t="n"/>
      <c r="S60" s="3" t="n"/>
      <c r="T60" s="3" t="n"/>
      <c r="U60" s="3" t="n"/>
      <c r="V60" s="3" t="n"/>
      <c r="W60" s="3" t="n"/>
      <c r="X60" s="3" t="n"/>
      <c r="Y60" s="4" t="inlineStr">
        <is>
          <t>SPGI_10K_FY2025 p118</t>
        </is>
      </c>
    </row>
    <row r="61">
      <c r="A61" s="14" t="inlineStr">
        <is>
          <t>SPGI_10K_FY2024 · Item 7 Mobility segment description</t>
        </is>
      </c>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row>
    <row r="62">
      <c r="A62" s="38" t="inlineStr">
        <is>
          <t>Segment description (summary)</t>
        </is>
      </c>
      <c r="B62" s="3" t="n"/>
      <c r="C62" s="3" t="n"/>
      <c r="D62" s="3" t="n"/>
      <c r="E62" s="3" t="n"/>
      <c r="F62" s="3" t="n"/>
      <c r="G62" s="3" t="n"/>
      <c r="H62" s="3" t="n"/>
      <c r="I62" s="3" t="n"/>
      <c r="J62" s="3" t="n"/>
      <c r="K62" s="3" t="n"/>
      <c r="L62" s="42" t="inlineStr">
        <is>
          <t>Leading provider of solutions serving the full automotive value chain (OEMs, suppliers, mobility service providers, retailers, consumers, finance and insurance companies). Business lines: Dealer, Manufacturing, Financial.</t>
        </is>
      </c>
      <c r="M62" s="3" t="n"/>
      <c r="N62" s="3" t="n"/>
      <c r="O62" s="3" t="n"/>
      <c r="P62" s="3" t="n"/>
      <c r="Q62" s="3" t="n"/>
      <c r="R62" s="3" t="n"/>
      <c r="S62" s="3" t="n"/>
      <c r="T62" s="3" t="n"/>
      <c r="U62" s="3" t="n"/>
      <c r="V62" s="3" t="n"/>
      <c r="W62" s="3" t="n"/>
      <c r="X62" s="3" t="n"/>
      <c r="Y62" s="4" t="inlineStr">
        <is>
          <t>SPGI_10K_FY2024 p56</t>
        </is>
      </c>
    </row>
    <row r="63">
      <c r="A63" s="38" t="inlineStr">
        <is>
          <t>Basis of inclusion</t>
        </is>
      </c>
      <c r="B63" s="3" t="n"/>
      <c r="C63" s="3" t="n"/>
      <c r="D63" s="3" t="n"/>
      <c r="E63" s="3" t="n"/>
      <c r="F63" s="3" t="n"/>
      <c r="G63" s="3" t="n"/>
      <c r="H63" s="3" t="n"/>
      <c r="I63" s="3" t="n"/>
      <c r="J63" s="3" t="n"/>
      <c r="K63" s="3" t="n"/>
      <c r="L63" s="42" t="inlineStr">
        <is>
          <t>The Mobility business was acquired in connection with the merger with IHS Markit on February 28, 2022 and financial results are included since the date of acquisition.</t>
        </is>
      </c>
      <c r="M63" s="3" t="n"/>
      <c r="N63" s="3" t="n"/>
      <c r="O63" s="3" t="n"/>
      <c r="P63" s="3" t="n"/>
      <c r="Q63" s="3" t="n"/>
      <c r="R63" s="3" t="n"/>
      <c r="S63" s="3" t="n"/>
      <c r="T63" s="3" t="n"/>
      <c r="U63" s="3" t="n"/>
      <c r="V63" s="3" t="n"/>
      <c r="W63" s="3" t="n"/>
      <c r="X63" s="3" t="n"/>
      <c r="Y63" s="4" t="inlineStr">
        <is>
          <t>SPGI_10K_FY2024 p56</t>
        </is>
      </c>
    </row>
    <row r="64">
      <c r="A64" s="38" t="inlineStr">
        <is>
          <t>Acquisition: Market Scan Information Systems Inc. (completed February 2023; not material)</t>
        </is>
      </c>
      <c r="B64" s="3" t="n"/>
      <c r="C64" s="3" t="n"/>
      <c r="D64" s="3" t="n"/>
      <c r="E64" s="3" t="n"/>
      <c r="F64" s="3" t="n"/>
      <c r="G64" s="3" t="n"/>
      <c r="H64" s="3" t="n"/>
      <c r="I64" s="3" t="n"/>
      <c r="J64" s="3" t="n"/>
      <c r="K64" s="3" t="n"/>
      <c r="L64" s="42" t="inlineStr">
        <is>
          <t>Completed Feb-2023; automotive pricing and incentive intelligence; not material to consolidated financial statements.</t>
        </is>
      </c>
      <c r="M64" s="3" t="n"/>
      <c r="N64" s="3" t="n"/>
      <c r="O64" s="3" t="n"/>
      <c r="P64" s="3" t="n"/>
      <c r="Q64" s="3" t="n"/>
      <c r="R64" s="3" t="n"/>
      <c r="S64" s="3" t="n"/>
      <c r="T64" s="3" t="n"/>
      <c r="U64" s="3" t="n"/>
      <c r="V64" s="3" t="n"/>
      <c r="W64" s="3" t="n"/>
      <c r="X64" s="3" t="n"/>
      <c r="Y64" s="4" t="inlineStr">
        <is>
          <t>SPGI_10K_FY2024 p56</t>
        </is>
      </c>
    </row>
    <row r="65">
      <c r="A65" s="14" t="inlineStr">
        <is>
          <t>SPGI_10K_FY2024 · MD&amp;A Mobility segment table</t>
        </is>
      </c>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row>
    <row r="66">
      <c r="A66" s="39" t="inlineStr">
        <is>
          <t>Revenue</t>
        </is>
      </c>
      <c r="B66" s="3" t="n"/>
      <c r="C66" s="3" t="n"/>
      <c r="D66" s="3" t="n"/>
      <c r="E66" s="3" t="n"/>
      <c r="F66" s="3" t="n"/>
      <c r="G66" s="3" t="n"/>
      <c r="H66" s="3" t="n"/>
      <c r="I66" s="3" t="n"/>
      <c r="J66" s="18" t="n">
        <v>1142</v>
      </c>
      <c r="K66" s="18" t="n">
        <v>1484</v>
      </c>
      <c r="L66" s="18" t="n">
        <v>1609</v>
      </c>
      <c r="M66" s="3" t="n"/>
      <c r="N66" s="3" t="n"/>
      <c r="O66" s="3" t="n"/>
      <c r="P66" s="3" t="n"/>
      <c r="Q66" s="3" t="n"/>
      <c r="R66" s="3" t="n"/>
      <c r="S66" s="3" t="n"/>
      <c r="T66" s="3" t="n"/>
      <c r="U66" s="3" t="n"/>
      <c r="V66" s="3" t="n"/>
      <c r="W66" s="3" t="n"/>
      <c r="X66" s="3" t="n"/>
      <c r="Y66" s="4" t="inlineStr">
        <is>
          <t>SPGI_10K_FY2024 p57</t>
        </is>
      </c>
    </row>
    <row r="67">
      <c r="A67" s="38" t="inlineStr">
        <is>
          <t>Subscription revenue</t>
        </is>
      </c>
      <c r="B67" s="3" t="n"/>
      <c r="C67" s="3" t="n"/>
      <c r="D67" s="3" t="n"/>
      <c r="E67" s="3" t="n"/>
      <c r="F67" s="3" t="n"/>
      <c r="G67" s="3" t="n"/>
      <c r="H67" s="3" t="n"/>
      <c r="I67" s="3" t="n"/>
      <c r="J67" s="30" t="n">
        <v>888</v>
      </c>
      <c r="K67" s="30" t="n">
        <v>1169</v>
      </c>
      <c r="L67" s="30" t="n">
        <v>1299</v>
      </c>
      <c r="M67" s="3" t="n"/>
      <c r="N67" s="3" t="n"/>
      <c r="O67" s="3" t="n"/>
      <c r="P67" s="3" t="n"/>
      <c r="Q67" s="3" t="n"/>
      <c r="R67" s="3" t="n"/>
      <c r="S67" s="3" t="n"/>
      <c r="T67" s="3" t="n"/>
      <c r="U67" s="3" t="n"/>
      <c r="V67" s="3" t="n"/>
      <c r="W67" s="3" t="n"/>
      <c r="X67" s="3" t="n"/>
      <c r="Y67" s="4" t="inlineStr">
        <is>
          <t>SPGI_10K_FY2024 p57</t>
        </is>
      </c>
    </row>
    <row r="68">
      <c r="A68" s="38" t="inlineStr">
        <is>
          <t>Non-subscription revenue</t>
        </is>
      </c>
      <c r="B68" s="3" t="n"/>
      <c r="C68" s="3" t="n"/>
      <c r="D68" s="3" t="n"/>
      <c r="E68" s="3" t="n"/>
      <c r="F68" s="3" t="n"/>
      <c r="G68" s="3" t="n"/>
      <c r="H68" s="3" t="n"/>
      <c r="I68" s="3" t="n"/>
      <c r="J68" s="30" t="n">
        <v>254</v>
      </c>
      <c r="K68" s="30" t="n">
        <v>315</v>
      </c>
      <c r="L68" s="30" t="n">
        <v>310</v>
      </c>
      <c r="M68" s="3" t="n"/>
      <c r="N68" s="3" t="n"/>
      <c r="O68" s="3" t="n"/>
      <c r="P68" s="3" t="n"/>
      <c r="Q68" s="3" t="n"/>
      <c r="R68" s="3" t="n"/>
      <c r="S68" s="3" t="n"/>
      <c r="T68" s="3" t="n"/>
      <c r="U68" s="3" t="n"/>
      <c r="V68" s="3" t="n"/>
      <c r="W68" s="3" t="n"/>
      <c r="X68" s="3" t="n"/>
      <c r="Y68" s="4" t="inlineStr">
        <is>
          <t>SPGI_10K_FY2024 p57</t>
        </is>
      </c>
    </row>
    <row r="69">
      <c r="A69" s="38" t="inlineStr">
        <is>
          <t>% of total revenue: Subscription revenue</t>
        </is>
      </c>
      <c r="B69" s="3" t="n"/>
      <c r="C69" s="3" t="n"/>
      <c r="D69" s="3" t="n"/>
      <c r="E69" s="3" t="n"/>
      <c r="F69" s="3" t="n"/>
      <c r="G69" s="3" t="n"/>
      <c r="H69" s="3" t="n"/>
      <c r="I69" s="3" t="n"/>
      <c r="J69" s="41" t="n">
        <v>78</v>
      </c>
      <c r="K69" s="41" t="n">
        <v>79</v>
      </c>
      <c r="L69" s="41" t="n">
        <v>81</v>
      </c>
      <c r="M69" s="3" t="n"/>
      <c r="N69" s="3" t="n"/>
      <c r="O69" s="3" t="n"/>
      <c r="P69" s="3" t="n"/>
      <c r="Q69" s="3" t="n"/>
      <c r="R69" s="3" t="n"/>
      <c r="S69" s="3" t="n"/>
      <c r="T69" s="3" t="n"/>
      <c r="U69" s="3" t="n"/>
      <c r="V69" s="3" t="n"/>
      <c r="W69" s="3" t="n"/>
      <c r="X69" s="3" t="n"/>
      <c r="Y69" s="4" t="inlineStr">
        <is>
          <t>SPGI_10K_FY2024 p57</t>
        </is>
      </c>
    </row>
    <row r="70">
      <c r="A70" s="38" t="inlineStr">
        <is>
          <t>% of total revenue: Non-subscription revenue</t>
        </is>
      </c>
      <c r="B70" s="3" t="n"/>
      <c r="C70" s="3" t="n"/>
      <c r="D70" s="3" t="n"/>
      <c r="E70" s="3" t="n"/>
      <c r="F70" s="3" t="n"/>
      <c r="G70" s="3" t="n"/>
      <c r="H70" s="3" t="n"/>
      <c r="I70" s="3" t="n"/>
      <c r="J70" s="41" t="n">
        <v>22</v>
      </c>
      <c r="K70" s="41" t="n">
        <v>21</v>
      </c>
      <c r="L70" s="41" t="n">
        <v>19</v>
      </c>
      <c r="M70" s="3" t="n"/>
      <c r="N70" s="3" t="n"/>
      <c r="O70" s="3" t="n"/>
      <c r="P70" s="3" t="n"/>
      <c r="Q70" s="3" t="n"/>
      <c r="R70" s="3" t="n"/>
      <c r="S70" s="3" t="n"/>
      <c r="T70" s="3" t="n"/>
      <c r="U70" s="3" t="n"/>
      <c r="V70" s="3" t="n"/>
      <c r="W70" s="3" t="n"/>
      <c r="X70" s="3" t="n"/>
      <c r="Y70" s="4" t="inlineStr">
        <is>
          <t>SPGI_10K_FY2024 p57</t>
        </is>
      </c>
    </row>
    <row r="71">
      <c r="A71" s="38" t="inlineStr">
        <is>
          <t>U.S. revenue</t>
        </is>
      </c>
      <c r="B71" s="3" t="n"/>
      <c r="C71" s="3" t="n"/>
      <c r="D71" s="3" t="n"/>
      <c r="E71" s="3" t="n"/>
      <c r="F71" s="3" t="n"/>
      <c r="G71" s="3" t="n"/>
      <c r="H71" s="3" t="n"/>
      <c r="I71" s="3" t="n"/>
      <c r="J71" s="30" t="n">
        <v>932</v>
      </c>
      <c r="K71" s="30" t="n">
        <v>1223</v>
      </c>
      <c r="L71" s="30" t="n">
        <v>1325</v>
      </c>
      <c r="M71" s="3" t="n"/>
      <c r="N71" s="3" t="n"/>
      <c r="O71" s="3" t="n"/>
      <c r="P71" s="3" t="n"/>
      <c r="Q71" s="3" t="n"/>
      <c r="R71" s="3" t="n"/>
      <c r="S71" s="3" t="n"/>
      <c r="T71" s="3" t="n"/>
      <c r="U71" s="3" t="n"/>
      <c r="V71" s="3" t="n"/>
      <c r="W71" s="3" t="n"/>
      <c r="X71" s="3" t="n"/>
      <c r="Y71" s="4" t="inlineStr">
        <is>
          <t>SPGI_10K_FY2024 p57</t>
        </is>
      </c>
    </row>
    <row r="72">
      <c r="A72" s="38" t="inlineStr">
        <is>
          <t>International revenue</t>
        </is>
      </c>
      <c r="B72" s="3" t="n"/>
      <c r="C72" s="3" t="n"/>
      <c r="D72" s="3" t="n"/>
      <c r="E72" s="3" t="n"/>
      <c r="F72" s="3" t="n"/>
      <c r="G72" s="3" t="n"/>
      <c r="H72" s="3" t="n"/>
      <c r="I72" s="3" t="n"/>
      <c r="J72" s="30" t="n">
        <v>210</v>
      </c>
      <c r="K72" s="30" t="n">
        <v>261</v>
      </c>
      <c r="L72" s="30" t="n">
        <v>284</v>
      </c>
      <c r="M72" s="3" t="n"/>
      <c r="N72" s="3" t="n"/>
      <c r="O72" s="3" t="n"/>
      <c r="P72" s="3" t="n"/>
      <c r="Q72" s="3" t="n"/>
      <c r="R72" s="3" t="n"/>
      <c r="S72" s="3" t="n"/>
      <c r="T72" s="3" t="n"/>
      <c r="U72" s="3" t="n"/>
      <c r="V72" s="3" t="n"/>
      <c r="W72" s="3" t="n"/>
      <c r="X72" s="3" t="n"/>
      <c r="Y72" s="4" t="inlineStr">
        <is>
          <t>SPGI_10K_FY2024 p57</t>
        </is>
      </c>
    </row>
    <row r="73">
      <c r="A73" s="38" t="inlineStr">
        <is>
          <t>% of total revenue: U.S. revenue</t>
        </is>
      </c>
      <c r="B73" s="3" t="n"/>
      <c r="C73" s="3" t="n"/>
      <c r="D73" s="3" t="n"/>
      <c r="E73" s="3" t="n"/>
      <c r="F73" s="3" t="n"/>
      <c r="G73" s="3" t="n"/>
      <c r="H73" s="3" t="n"/>
      <c r="I73" s="3" t="n"/>
      <c r="J73" s="41" t="n">
        <v>82</v>
      </c>
      <c r="K73" s="41" t="n">
        <v>82</v>
      </c>
      <c r="L73" s="41" t="n">
        <v>82</v>
      </c>
      <c r="M73" s="3" t="n"/>
      <c r="N73" s="3" t="n"/>
      <c r="O73" s="3" t="n"/>
      <c r="P73" s="3" t="n"/>
      <c r="Q73" s="3" t="n"/>
      <c r="R73" s="3" t="n"/>
      <c r="S73" s="3" t="n"/>
      <c r="T73" s="3" t="n"/>
      <c r="U73" s="3" t="n"/>
      <c r="V73" s="3" t="n"/>
      <c r="W73" s="3" t="n"/>
      <c r="X73" s="3" t="n"/>
      <c r="Y73" s="4" t="inlineStr">
        <is>
          <t>SPGI_10K_FY2024 p57</t>
        </is>
      </c>
    </row>
    <row r="74">
      <c r="A74" s="38" t="inlineStr">
        <is>
          <t>% of total revenue: International revenue</t>
        </is>
      </c>
      <c r="B74" s="3" t="n"/>
      <c r="C74" s="3" t="n"/>
      <c r="D74" s="3" t="n"/>
      <c r="E74" s="3" t="n"/>
      <c r="F74" s="3" t="n"/>
      <c r="G74" s="3" t="n"/>
      <c r="H74" s="3" t="n"/>
      <c r="I74" s="3" t="n"/>
      <c r="J74" s="41" t="n">
        <v>18</v>
      </c>
      <c r="K74" s="41" t="n">
        <v>18</v>
      </c>
      <c r="L74" s="41" t="n">
        <v>18</v>
      </c>
      <c r="M74" s="3" t="n"/>
      <c r="N74" s="3" t="n"/>
      <c r="O74" s="3" t="n"/>
      <c r="P74" s="3" t="n"/>
      <c r="Q74" s="3" t="n"/>
      <c r="R74" s="3" t="n"/>
      <c r="S74" s="3" t="n"/>
      <c r="T74" s="3" t="n"/>
      <c r="U74" s="3" t="n"/>
      <c r="V74" s="3" t="n"/>
      <c r="W74" s="3" t="n"/>
      <c r="X74" s="3" t="n"/>
      <c r="Y74" s="4" t="inlineStr">
        <is>
          <t>SPGI_10K_FY2024 p57</t>
        </is>
      </c>
    </row>
    <row r="75">
      <c r="A75" s="39" t="inlineStr">
        <is>
          <t>Operating profit</t>
        </is>
      </c>
      <c r="B75" s="3" t="n"/>
      <c r="C75" s="3" t="n"/>
      <c r="D75" s="3" t="n"/>
      <c r="E75" s="3" t="n"/>
      <c r="F75" s="3" t="n"/>
      <c r="G75" s="3" t="n"/>
      <c r="H75" s="3" t="n"/>
      <c r="I75" s="3" t="n"/>
      <c r="J75" s="18" t="n">
        <v>213</v>
      </c>
      <c r="K75" s="18" t="n">
        <v>260</v>
      </c>
      <c r="L75" s="18" t="n">
        <v>312</v>
      </c>
      <c r="M75" s="3" t="n"/>
      <c r="N75" s="3" t="n"/>
      <c r="O75" s="3" t="n"/>
      <c r="P75" s="3" t="n"/>
      <c r="Q75" s="3" t="n"/>
      <c r="R75" s="3" t="n"/>
      <c r="S75" s="3" t="n"/>
      <c r="T75" s="3" t="n"/>
      <c r="U75" s="3" t="n"/>
      <c r="V75" s="3" t="n"/>
      <c r="W75" s="3" t="n"/>
      <c r="X75" s="3" t="n"/>
      <c r="Y75" s="4" t="inlineStr">
        <is>
          <t>SPGI_10K_FY2024 p57</t>
        </is>
      </c>
    </row>
    <row r="76">
      <c r="A76" s="38" t="inlineStr">
        <is>
          <t>% Operating margin</t>
        </is>
      </c>
      <c r="B76" s="3" t="n"/>
      <c r="C76" s="3" t="n"/>
      <c r="D76" s="3" t="n"/>
      <c r="E76" s="3" t="n"/>
      <c r="F76" s="3" t="n"/>
      <c r="G76" s="3" t="n"/>
      <c r="H76" s="3" t="n"/>
      <c r="I76" s="3" t="n"/>
      <c r="J76" s="41" t="n">
        <v>19</v>
      </c>
      <c r="K76" s="41" t="n">
        <v>18</v>
      </c>
      <c r="L76" s="41" t="n">
        <v>19</v>
      </c>
      <c r="M76" s="3" t="n"/>
      <c r="N76" s="3" t="n"/>
      <c r="O76" s="3" t="n"/>
      <c r="P76" s="3" t="n"/>
      <c r="Q76" s="3" t="n"/>
      <c r="R76" s="3" t="n"/>
      <c r="S76" s="3" t="n"/>
      <c r="T76" s="3" t="n"/>
      <c r="U76" s="3" t="n"/>
      <c r="V76" s="3" t="n"/>
      <c r="W76" s="3" t="n"/>
      <c r="X76" s="3" t="n"/>
      <c r="Y76" s="4" t="inlineStr">
        <is>
          <t>SPGI_10K_FY2024 p57</t>
        </is>
      </c>
    </row>
    <row r="77">
      <c r="A77" s="38" t="inlineStr">
        <is>
          <t>% Change Revenue (vs prior year)</t>
        </is>
      </c>
      <c r="B77" s="3" t="n"/>
      <c r="C77" s="3" t="n"/>
      <c r="D77" s="3" t="n"/>
      <c r="E77" s="3" t="n"/>
      <c r="F77" s="3" t="n"/>
      <c r="G77" s="3" t="n"/>
      <c r="H77" s="3" t="n"/>
      <c r="I77" s="3" t="n"/>
      <c r="J77" s="3" t="n"/>
      <c r="K77" s="41" t="n">
        <v>30</v>
      </c>
      <c r="L77" s="41" t="n">
        <v>8</v>
      </c>
      <c r="M77" s="3" t="n"/>
      <c r="N77" s="3" t="n"/>
      <c r="O77" s="3" t="n"/>
      <c r="P77" s="3" t="n"/>
      <c r="Q77" s="3" t="n"/>
      <c r="R77" s="3" t="n"/>
      <c r="S77" s="3" t="n"/>
      <c r="T77" s="3" t="n"/>
      <c r="U77" s="3" t="n"/>
      <c r="V77" s="3" t="n"/>
      <c r="W77" s="3" t="n"/>
      <c r="X77" s="3" t="n"/>
      <c r="Y77" s="4" t="inlineStr">
        <is>
          <t>SPGI_10K_FY2024 p57</t>
        </is>
      </c>
    </row>
    <row r="78">
      <c r="A78" s="38" t="inlineStr">
        <is>
          <t>% Change Subscription revenue (vs prior year)</t>
        </is>
      </c>
      <c r="B78" s="3" t="n"/>
      <c r="C78" s="3" t="n"/>
      <c r="D78" s="3" t="n"/>
      <c r="E78" s="3" t="n"/>
      <c r="F78" s="3" t="n"/>
      <c r="G78" s="3" t="n"/>
      <c r="H78" s="3" t="n"/>
      <c r="I78" s="3" t="n"/>
      <c r="J78" s="3" t="n"/>
      <c r="K78" s="41" t="n">
        <v>32</v>
      </c>
      <c r="L78" s="41" t="n">
        <v>11</v>
      </c>
      <c r="M78" s="3" t="n"/>
      <c r="N78" s="3" t="n"/>
      <c r="O78" s="3" t="n"/>
      <c r="P78" s="3" t="n"/>
      <c r="Q78" s="3" t="n"/>
      <c r="R78" s="3" t="n"/>
      <c r="S78" s="3" t="n"/>
      <c r="T78" s="3" t="n"/>
      <c r="U78" s="3" t="n"/>
      <c r="V78" s="3" t="n"/>
      <c r="W78" s="3" t="n"/>
      <c r="X78" s="3" t="n"/>
      <c r="Y78" s="4" t="inlineStr">
        <is>
          <t>SPGI_10K_FY2024 p57</t>
        </is>
      </c>
    </row>
    <row r="79">
      <c r="A79" s="38" t="inlineStr">
        <is>
          <t>% Change Non-subscription revenue (vs prior year)</t>
        </is>
      </c>
      <c r="B79" s="3" t="n"/>
      <c r="C79" s="3" t="n"/>
      <c r="D79" s="3" t="n"/>
      <c r="E79" s="3" t="n"/>
      <c r="F79" s="3" t="n"/>
      <c r="G79" s="3" t="n"/>
      <c r="H79" s="3" t="n"/>
      <c r="I79" s="3" t="n"/>
      <c r="J79" s="3" t="n"/>
      <c r="K79" s="41" t="n">
        <v>24</v>
      </c>
      <c r="L79" s="41" t="n">
        <v>-2</v>
      </c>
      <c r="M79" s="3" t="n"/>
      <c r="N79" s="3" t="n"/>
      <c r="O79" s="3" t="n"/>
      <c r="P79" s="3" t="n"/>
      <c r="Q79" s="3" t="n"/>
      <c r="R79" s="3" t="n"/>
      <c r="S79" s="3" t="n"/>
      <c r="T79" s="3" t="n"/>
      <c r="U79" s="3" t="n"/>
      <c r="V79" s="3" t="n"/>
      <c r="W79" s="3" t="n"/>
      <c r="X79" s="3" t="n"/>
      <c r="Y79" s="4" t="inlineStr">
        <is>
          <t>SPGI_10K_FY2024 p57</t>
        </is>
      </c>
    </row>
    <row r="80">
      <c r="A80" s="38" t="inlineStr">
        <is>
          <t>% Change U.S. revenue (vs prior year)</t>
        </is>
      </c>
      <c r="B80" s="3" t="n"/>
      <c r="C80" s="3" t="n"/>
      <c r="D80" s="3" t="n"/>
      <c r="E80" s="3" t="n"/>
      <c r="F80" s="3" t="n"/>
      <c r="G80" s="3" t="n"/>
      <c r="H80" s="3" t="n"/>
      <c r="I80" s="3" t="n"/>
      <c r="J80" s="3" t="n"/>
      <c r="K80" s="41" t="n">
        <v>31</v>
      </c>
      <c r="L80" s="41" t="n">
        <v>8</v>
      </c>
      <c r="M80" s="3" t="n"/>
      <c r="N80" s="3" t="n"/>
      <c r="O80" s="3" t="n"/>
      <c r="P80" s="3" t="n"/>
      <c r="Q80" s="3" t="n"/>
      <c r="R80" s="3" t="n"/>
      <c r="S80" s="3" t="n"/>
      <c r="T80" s="3" t="n"/>
      <c r="U80" s="3" t="n"/>
      <c r="V80" s="3" t="n"/>
      <c r="W80" s="3" t="n"/>
      <c r="X80" s="3" t="n"/>
      <c r="Y80" s="4" t="inlineStr">
        <is>
          <t>SPGI_10K_FY2024 p57</t>
        </is>
      </c>
    </row>
    <row r="81">
      <c r="A81" s="38" t="inlineStr">
        <is>
          <t>% Change International revenue (vs prior year)</t>
        </is>
      </c>
      <c r="B81" s="3" t="n"/>
      <c r="C81" s="3" t="n"/>
      <c r="D81" s="3" t="n"/>
      <c r="E81" s="3" t="n"/>
      <c r="F81" s="3" t="n"/>
      <c r="G81" s="3" t="n"/>
      <c r="H81" s="3" t="n"/>
      <c r="I81" s="3" t="n"/>
      <c r="J81" s="3" t="n"/>
      <c r="K81" s="41" t="n">
        <v>24</v>
      </c>
      <c r="L81" s="41" t="n">
        <v>9</v>
      </c>
      <c r="M81" s="3" t="n"/>
      <c r="N81" s="3" t="n"/>
      <c r="O81" s="3" t="n"/>
      <c r="P81" s="3" t="n"/>
      <c r="Q81" s="3" t="n"/>
      <c r="R81" s="3" t="n"/>
      <c r="S81" s="3" t="n"/>
      <c r="T81" s="3" t="n"/>
      <c r="U81" s="3" t="n"/>
      <c r="V81" s="3" t="n"/>
      <c r="W81" s="3" t="n"/>
      <c r="X81" s="3" t="n"/>
      <c r="Y81" s="4" t="inlineStr">
        <is>
          <t>SPGI_10K_FY2024 p57</t>
        </is>
      </c>
    </row>
    <row r="82">
      <c r="A82" s="38" t="inlineStr">
        <is>
          <t>% Change Operating profit (vs prior year)</t>
        </is>
      </c>
      <c r="B82" s="3" t="n"/>
      <c r="C82" s="3" t="n"/>
      <c r="D82" s="3" t="n"/>
      <c r="E82" s="3" t="n"/>
      <c r="F82" s="3" t="n"/>
      <c r="G82" s="3" t="n"/>
      <c r="H82" s="3" t="n"/>
      <c r="I82" s="3" t="n"/>
      <c r="J82" s="3" t="n"/>
      <c r="K82" s="41" t="n">
        <v>22</v>
      </c>
      <c r="L82" s="41" t="n">
        <v>20</v>
      </c>
      <c r="M82" s="3" t="n"/>
      <c r="N82" s="3" t="n"/>
      <c r="O82" s="3" t="n"/>
      <c r="P82" s="3" t="n"/>
      <c r="Q82" s="3" t="n"/>
      <c r="R82" s="3" t="n"/>
      <c r="S82" s="3" t="n"/>
      <c r="T82" s="3" t="n"/>
      <c r="U82" s="3" t="n"/>
      <c r="V82" s="3" t="n"/>
      <c r="W82" s="3" t="n"/>
      <c r="X82" s="3" t="n"/>
      <c r="Y82" s="4" t="inlineStr">
        <is>
          <t>SPGI_10K_FY2024 p57</t>
        </is>
      </c>
    </row>
    <row r="83">
      <c r="A83" s="14" t="inlineStr">
        <is>
          <t>SPGI_10K_FY2024 · MD&amp;A Mobility segment table footnote 1</t>
        </is>
      </c>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row>
    <row r="84">
      <c r="A84" s="38" t="inlineStr">
        <is>
          <t>Operating profit includes: employee severance charges</t>
        </is>
      </c>
      <c r="B84" s="3" t="n"/>
      <c r="C84" s="3" t="n"/>
      <c r="D84" s="3" t="n"/>
      <c r="E84" s="3" t="n"/>
      <c r="F84" s="3" t="n"/>
      <c r="G84" s="3" t="n"/>
      <c r="H84" s="3" t="n"/>
      <c r="I84" s="3" t="n"/>
      <c r="J84" s="30" t="n">
        <v>4</v>
      </c>
      <c r="K84" s="30" t="n">
        <v>9</v>
      </c>
      <c r="L84" s="30" t="n">
        <v>7</v>
      </c>
      <c r="M84" s="3" t="n"/>
      <c r="N84" s="3" t="n"/>
      <c r="O84" s="3" t="n"/>
      <c r="P84" s="3" t="n"/>
      <c r="Q84" s="3" t="n"/>
      <c r="R84" s="3" t="n"/>
      <c r="S84" s="3" t="n"/>
      <c r="T84" s="3" t="n"/>
      <c r="U84" s="3" t="n"/>
      <c r="V84" s="3" t="n"/>
      <c r="W84" s="3" t="n"/>
      <c r="X84" s="3" t="n"/>
      <c r="Y84" s="4" t="inlineStr">
        <is>
          <t>SPGI_10K_FY2024 p57</t>
        </is>
      </c>
    </row>
    <row r="85">
      <c r="A85" s="38" t="inlineStr">
        <is>
          <t>Operating profit includes: IHS Markit merger costs</t>
        </is>
      </c>
      <c r="B85" s="3" t="n"/>
      <c r="C85" s="3" t="n"/>
      <c r="D85" s="3" t="n"/>
      <c r="E85" s="3" t="n"/>
      <c r="F85" s="3" t="n"/>
      <c r="G85" s="3" t="n"/>
      <c r="H85" s="3" t="n"/>
      <c r="I85" s="3" t="n"/>
      <c r="J85" s="30" t="n">
        <v>3</v>
      </c>
      <c r="K85" s="30" t="n">
        <v>3</v>
      </c>
      <c r="L85" s="30" t="n">
        <v>4</v>
      </c>
      <c r="M85" s="3" t="n"/>
      <c r="N85" s="3" t="n"/>
      <c r="O85" s="3" t="n"/>
      <c r="P85" s="3" t="n"/>
      <c r="Q85" s="3" t="n"/>
      <c r="R85" s="3" t="n"/>
      <c r="S85" s="3" t="n"/>
      <c r="T85" s="3" t="n"/>
      <c r="U85" s="3" t="n"/>
      <c r="V85" s="3" t="n"/>
      <c r="W85" s="3" t="n"/>
      <c r="X85" s="3" t="n"/>
      <c r="Y85" s="4" t="inlineStr">
        <is>
          <t>SPGI_10K_FY2024 p57</t>
        </is>
      </c>
    </row>
    <row r="86">
      <c r="A86" s="38" t="inlineStr">
        <is>
          <t>Operating profit includes: acquisition-related costs</t>
        </is>
      </c>
      <c r="B86" s="3" t="n"/>
      <c r="C86" s="3" t="n"/>
      <c r="D86" s="3" t="n"/>
      <c r="E86" s="3" t="n"/>
      <c r="F86" s="3" t="n"/>
      <c r="G86" s="3" t="n"/>
      <c r="H86" s="3" t="n"/>
      <c r="I86" s="3" t="n"/>
      <c r="J86" s="3" t="n"/>
      <c r="K86" s="30" t="n">
        <v>2</v>
      </c>
      <c r="L86" s="30" t="n">
        <v>2</v>
      </c>
      <c r="M86" s="3" t="n"/>
      <c r="N86" s="3" t="n"/>
      <c r="O86" s="3" t="n"/>
      <c r="P86" s="3" t="n"/>
      <c r="Q86" s="3" t="n"/>
      <c r="R86" s="3" t="n"/>
      <c r="S86" s="3" t="n"/>
      <c r="T86" s="3" t="n"/>
      <c r="U86" s="3" t="n"/>
      <c r="V86" s="3" t="n"/>
      <c r="W86" s="3" t="n"/>
      <c r="X86" s="3" t="n"/>
      <c r="Y86" s="4" t="inlineStr">
        <is>
          <t>SPGI_10K_FY2024 p57</t>
        </is>
      </c>
    </row>
    <row r="87">
      <c r="A87" s="38" t="inlineStr">
        <is>
          <t>Operating profit includes: acquisition-related benefit</t>
        </is>
      </c>
      <c r="B87" s="3" t="n"/>
      <c r="C87" s="3" t="n"/>
      <c r="D87" s="3" t="n"/>
      <c r="E87" s="3" t="n"/>
      <c r="F87" s="3" t="n"/>
      <c r="G87" s="3" t="n"/>
      <c r="H87" s="3" t="n"/>
      <c r="I87" s="3" t="n"/>
      <c r="J87" s="30" t="n">
        <v>14</v>
      </c>
      <c r="K87" s="3" t="n"/>
      <c r="L87" s="3" t="n"/>
      <c r="M87" s="3" t="n"/>
      <c r="N87" s="3" t="n"/>
      <c r="O87" s="3" t="n"/>
      <c r="P87" s="3" t="n"/>
      <c r="Q87" s="3" t="n"/>
      <c r="R87" s="3" t="n"/>
      <c r="S87" s="3" t="n"/>
      <c r="T87" s="3" t="n"/>
      <c r="U87" s="3" t="n"/>
      <c r="V87" s="3" t="n"/>
      <c r="W87" s="3" t="n"/>
      <c r="X87" s="3" t="n"/>
      <c r="Y87" s="4" t="inlineStr">
        <is>
          <t>SPGI_10K_FY2024 p57</t>
        </is>
      </c>
    </row>
    <row r="88">
      <c r="A88" s="38" t="inlineStr">
        <is>
          <t>Operating profit includes: liability write-off</t>
        </is>
      </c>
      <c r="B88" s="3" t="n"/>
      <c r="C88" s="3" t="n"/>
      <c r="D88" s="3" t="n"/>
      <c r="E88" s="3" t="n"/>
      <c r="F88" s="3" t="n"/>
      <c r="G88" s="3" t="n"/>
      <c r="H88" s="3" t="n"/>
      <c r="I88" s="3" t="n"/>
      <c r="J88" s="3" t="n"/>
      <c r="K88" s="3" t="n"/>
      <c r="L88" s="30" t="n">
        <v>1</v>
      </c>
      <c r="M88" s="3" t="n"/>
      <c r="N88" s="3" t="n"/>
      <c r="O88" s="3" t="n"/>
      <c r="P88" s="3" t="n"/>
      <c r="Q88" s="3" t="n"/>
      <c r="R88" s="3" t="n"/>
      <c r="S88" s="3" t="n"/>
      <c r="T88" s="3" t="n"/>
      <c r="U88" s="3" t="n"/>
      <c r="V88" s="3" t="n"/>
      <c r="W88" s="3" t="n"/>
      <c r="X88" s="3" t="n"/>
      <c r="Y88" s="4" t="inlineStr">
        <is>
          <t>SPGI_10K_FY2024 p57</t>
        </is>
      </c>
    </row>
    <row r="89">
      <c r="A89" s="38" t="inlineStr">
        <is>
          <t>Operating profit includes: amortization of intangibles from acquisitions</t>
        </is>
      </c>
      <c r="B89" s="3" t="n"/>
      <c r="C89" s="3" t="n"/>
      <c r="D89" s="3" t="n"/>
      <c r="E89" s="3" t="n"/>
      <c r="F89" s="3" t="n"/>
      <c r="G89" s="3" t="n"/>
      <c r="H89" s="3" t="n"/>
      <c r="I89" s="3" t="n"/>
      <c r="J89" s="30" t="n">
        <v>241</v>
      </c>
      <c r="K89" s="30" t="n">
        <v>301</v>
      </c>
      <c r="L89" s="30" t="n">
        <v>303</v>
      </c>
      <c r="M89" s="3" t="n"/>
      <c r="N89" s="3" t="n"/>
      <c r="O89" s="3" t="n"/>
      <c r="P89" s="3" t="n"/>
      <c r="Q89" s="3" t="n"/>
      <c r="R89" s="3" t="n"/>
      <c r="S89" s="3" t="n"/>
      <c r="T89" s="3" t="n"/>
      <c r="U89" s="3" t="n"/>
      <c r="V89" s="3" t="n"/>
      <c r="W89" s="3" t="n"/>
      <c r="X89" s="3" t="n"/>
      <c r="Y89" s="4" t="inlineStr">
        <is>
          <t>SPGI_10K_FY2024 p57</t>
        </is>
      </c>
    </row>
    <row r="90">
      <c r="A90" s="14" t="inlineStr">
        <is>
          <t>SPGI_10K_FY2024 · MD&amp;A Mobility narrative</t>
        </is>
      </c>
      <c r="B90" s="15" t="n"/>
      <c r="C90" s="15" t="n"/>
      <c r="D90" s="15" t="n"/>
      <c r="E90" s="15" t="n"/>
      <c r="F90" s="15" t="n"/>
      <c r="G90" s="15" t="n"/>
      <c r="H90" s="15" t="n"/>
      <c r="I90" s="15" t="n"/>
      <c r="J90" s="15" t="n"/>
      <c r="K90" s="15" t="n"/>
      <c r="L90" s="15" t="n"/>
      <c r="M90" s="15" t="n"/>
      <c r="N90" s="15" t="n"/>
      <c r="O90" s="15" t="n"/>
      <c r="P90" s="15" t="n"/>
      <c r="Q90" s="15" t="n"/>
      <c r="R90" s="15" t="n"/>
      <c r="S90" s="15" t="n"/>
      <c r="T90" s="15" t="n"/>
      <c r="U90" s="15" t="n"/>
      <c r="V90" s="15" t="n"/>
      <c r="W90" s="15" t="n"/>
      <c r="X90" s="15" t="n"/>
      <c r="Y90" s="15" t="n"/>
    </row>
    <row r="91">
      <c r="A91" s="38" t="inlineStr">
        <is>
          <t>Operating profit % change excluding listed items (2024 vs 2023)</t>
        </is>
      </c>
      <c r="B91" s="3" t="n"/>
      <c r="C91" s="3" t="n"/>
      <c r="D91" s="3" t="n"/>
      <c r="E91" s="3" t="n"/>
      <c r="F91" s="3" t="n"/>
      <c r="G91" s="3" t="n"/>
      <c r="H91" s="3" t="n"/>
      <c r="I91" s="3" t="n"/>
      <c r="J91" s="3" t="n"/>
      <c r="K91" s="3" t="n"/>
      <c r="L91" s="41" t="n">
        <v>9</v>
      </c>
      <c r="M91" s="3" t="n"/>
      <c r="N91" s="3" t="n"/>
      <c r="O91" s="3" t="n"/>
      <c r="P91" s="3" t="n"/>
      <c r="Q91" s="3" t="n"/>
      <c r="R91" s="3" t="n"/>
      <c r="S91" s="3" t="n"/>
      <c r="T91" s="3" t="n"/>
      <c r="U91" s="3" t="n"/>
      <c r="V91" s="3" t="n"/>
      <c r="W91" s="3" t="n"/>
      <c r="X91" s="3" t="n"/>
      <c r="Y91" s="4" t="inlineStr">
        <is>
          <t>SPGI_10K_FY2024 p57</t>
        </is>
      </c>
    </row>
    <row r="92">
      <c r="A92" s="38" t="inlineStr">
        <is>
          <t>Operating profit % change excluding listed items (2023 vs 2022)</t>
        </is>
      </c>
      <c r="B92" s="3" t="n"/>
      <c r="C92" s="3" t="n"/>
      <c r="D92" s="3" t="n"/>
      <c r="E92" s="3" t="n"/>
      <c r="F92" s="3" t="n"/>
      <c r="G92" s="3" t="n"/>
      <c r="H92" s="3" t="n"/>
      <c r="I92" s="3" t="n"/>
      <c r="J92" s="3" t="n"/>
      <c r="K92" s="41" t="n">
        <v>29</v>
      </c>
      <c r="L92" s="3" t="n"/>
      <c r="M92" s="3" t="n"/>
      <c r="N92" s="3" t="n"/>
      <c r="O92" s="3" t="n"/>
      <c r="P92" s="3" t="n"/>
      <c r="Q92" s="3" t="n"/>
      <c r="R92" s="3" t="n"/>
      <c r="S92" s="3" t="n"/>
      <c r="T92" s="3" t="n"/>
      <c r="U92" s="3" t="n"/>
      <c r="V92" s="3" t="n"/>
      <c r="W92" s="3" t="n"/>
      <c r="X92" s="3" t="n"/>
      <c r="Y92" s="4" t="inlineStr">
        <is>
          <t>SPGI_10K_FY2024 p57</t>
        </is>
      </c>
    </row>
    <row r="93">
      <c r="A93" s="14" t="inlineStr">
        <is>
          <t>SPGI_10K_FY2024 · MD&amp;A Total Expenses by segment</t>
        </is>
      </c>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row>
    <row r="94">
      <c r="A94" s="38" t="inlineStr">
        <is>
          <t>Mobility Operating-related expenses</t>
        </is>
      </c>
      <c r="B94" s="3" t="n"/>
      <c r="C94" s="3" t="n"/>
      <c r="D94" s="3" t="n"/>
      <c r="E94" s="3" t="n"/>
      <c r="F94" s="3" t="n"/>
      <c r="G94" s="3" t="n"/>
      <c r="H94" s="3" t="n"/>
      <c r="I94" s="3" t="n"/>
      <c r="J94" s="3" t="n"/>
      <c r="K94" s="30" t="n">
        <v>408</v>
      </c>
      <c r="L94" s="30" t="n">
        <v>469</v>
      </c>
      <c r="M94" s="3" t="n"/>
      <c r="N94" s="3" t="n"/>
      <c r="O94" s="3" t="n"/>
      <c r="P94" s="3" t="n"/>
      <c r="Q94" s="3" t="n"/>
      <c r="R94" s="3" t="n"/>
      <c r="S94" s="3" t="n"/>
      <c r="T94" s="3" t="n"/>
      <c r="U94" s="3" t="n"/>
      <c r="V94" s="3" t="n"/>
      <c r="W94" s="3" t="n"/>
      <c r="X94" s="3" t="n"/>
      <c r="Y94" s="4" t="inlineStr">
        <is>
          <t>SPGI_10K_FY2024 p40</t>
        </is>
      </c>
    </row>
    <row r="95">
      <c r="A95" s="38" t="inlineStr">
        <is>
          <t>Mobility Selling and general expenses</t>
        </is>
      </c>
      <c r="B95" s="3" t="n"/>
      <c r="C95" s="3" t="n"/>
      <c r="D95" s="3" t="n"/>
      <c r="E95" s="3" t="n"/>
      <c r="F95" s="3" t="n"/>
      <c r="G95" s="3" t="n"/>
      <c r="H95" s="3" t="n"/>
      <c r="I95" s="3" t="n"/>
      <c r="J95" s="3" t="n"/>
      <c r="K95" s="30" t="n">
        <v>502</v>
      </c>
      <c r="L95" s="30" t="n">
        <v>511</v>
      </c>
      <c r="M95" s="3" t="n"/>
      <c r="N95" s="3" t="n"/>
      <c r="O95" s="3" t="n"/>
      <c r="P95" s="3" t="n"/>
      <c r="Q95" s="3" t="n"/>
      <c r="R95" s="3" t="n"/>
      <c r="S95" s="3" t="n"/>
      <c r="T95" s="3" t="n"/>
      <c r="U95" s="3" t="n"/>
      <c r="V95" s="3" t="n"/>
      <c r="W95" s="3" t="n"/>
      <c r="X95" s="3" t="n"/>
      <c r="Y95" s="4" t="inlineStr">
        <is>
          <t>SPGI_10K_FY2024 p40</t>
        </is>
      </c>
    </row>
    <row r="96">
      <c r="A96" s="14" t="inlineStr">
        <is>
          <t>SPGI_10K_FY2024 · MD&amp;A Total Expenses by segment (2023 vs 2022)</t>
        </is>
      </c>
      <c r="B96" s="15"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c r="Y96" s="15" t="n"/>
    </row>
    <row r="97">
      <c r="A97" s="38" t="inlineStr">
        <is>
          <t>Mobility Operating-related expenses</t>
        </is>
      </c>
      <c r="B97" s="3" t="n"/>
      <c r="C97" s="3" t="n"/>
      <c r="D97" s="3" t="n"/>
      <c r="E97" s="3" t="n"/>
      <c r="F97" s="3" t="n"/>
      <c r="G97" s="3" t="n"/>
      <c r="H97" s="3" t="n"/>
      <c r="I97" s="3" t="n"/>
      <c r="J97" s="30" t="n">
        <v>296</v>
      </c>
      <c r="K97" s="30" t="n">
        <v>408</v>
      </c>
      <c r="L97" s="3" t="n"/>
      <c r="M97" s="3" t="n"/>
      <c r="N97" s="3" t="n"/>
      <c r="O97" s="3" t="n"/>
      <c r="P97" s="3" t="n"/>
      <c r="Q97" s="3" t="n"/>
      <c r="R97" s="3" t="n"/>
      <c r="S97" s="3" t="n"/>
      <c r="T97" s="3" t="n"/>
      <c r="U97" s="3" t="n"/>
      <c r="V97" s="3" t="n"/>
      <c r="W97" s="3" t="n"/>
      <c r="X97" s="3" t="n"/>
      <c r="Y97" s="4" t="inlineStr">
        <is>
          <t>SPGI_10K_FY2024 p41</t>
        </is>
      </c>
    </row>
    <row r="98">
      <c r="A98" s="38" t="inlineStr">
        <is>
          <t>Mobility Selling and general expenses</t>
        </is>
      </c>
      <c r="B98" s="3" t="n"/>
      <c r="C98" s="3" t="n"/>
      <c r="D98" s="3" t="n"/>
      <c r="E98" s="3" t="n"/>
      <c r="F98" s="3" t="n"/>
      <c r="G98" s="3" t="n"/>
      <c r="H98" s="3" t="n"/>
      <c r="I98" s="3" t="n"/>
      <c r="J98" s="30" t="n">
        <v>385</v>
      </c>
      <c r="K98" s="30" t="n">
        <v>502</v>
      </c>
      <c r="L98" s="3" t="n"/>
      <c r="M98" s="3" t="n"/>
      <c r="N98" s="3" t="n"/>
      <c r="O98" s="3" t="n"/>
      <c r="P98" s="3" t="n"/>
      <c r="Q98" s="3" t="n"/>
      <c r="R98" s="3" t="n"/>
      <c r="S98" s="3" t="n"/>
      <c r="T98" s="3" t="n"/>
      <c r="U98" s="3" t="n"/>
      <c r="V98" s="3" t="n"/>
      <c r="W98" s="3" t="n"/>
      <c r="X98" s="3" t="n"/>
      <c r="Y98" s="4" t="inlineStr">
        <is>
          <t>SPGI_10K_FY2024 p41</t>
        </is>
      </c>
    </row>
    <row r="99">
      <c r="A99" s="14" t="inlineStr">
        <is>
          <t>SPGI_10K_FY2024 · Note 12 Segment operating results (ASU 2023-07)</t>
        </is>
      </c>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row>
    <row r="100">
      <c r="A100" s="38" t="inlineStr">
        <is>
          <t>Revenue from external customers</t>
        </is>
      </c>
      <c r="B100" s="3" t="n"/>
      <c r="C100" s="3" t="n"/>
      <c r="D100" s="3" t="n"/>
      <c r="E100" s="3" t="n"/>
      <c r="F100" s="3" t="n"/>
      <c r="G100" s="3" t="n"/>
      <c r="H100" s="3" t="n"/>
      <c r="I100" s="3" t="n"/>
      <c r="J100" s="30" t="n">
        <v>1142</v>
      </c>
      <c r="K100" s="30" t="n">
        <v>1484</v>
      </c>
      <c r="L100" s="30" t="n">
        <v>1609</v>
      </c>
      <c r="M100" s="3" t="n"/>
      <c r="N100" s="3" t="n"/>
      <c r="O100" s="3" t="n"/>
      <c r="P100" s="3" t="n"/>
      <c r="Q100" s="3" t="n"/>
      <c r="R100" s="3" t="n"/>
      <c r="S100" s="3" t="n"/>
      <c r="T100" s="3" t="n"/>
      <c r="U100" s="3" t="n"/>
      <c r="V100" s="3" t="n"/>
      <c r="W100" s="3" t="n"/>
      <c r="X100" s="3" t="n"/>
      <c r="Y100" s="4" t="inlineStr">
        <is>
          <t>SPGI_10K_FY2024 p114</t>
        </is>
      </c>
    </row>
    <row r="101">
      <c r="A101" s="39" t="inlineStr">
        <is>
          <t>Revenue</t>
        </is>
      </c>
      <c r="B101" s="3" t="n"/>
      <c r="C101" s="3" t="n"/>
      <c r="D101" s="3" t="n"/>
      <c r="E101" s="3" t="n"/>
      <c r="F101" s="3" t="n"/>
      <c r="G101" s="3" t="n"/>
      <c r="H101" s="3" t="n"/>
      <c r="I101" s="3" t="n"/>
      <c r="J101" s="18" t="n">
        <v>1142</v>
      </c>
      <c r="K101" s="18" t="n">
        <v>1484</v>
      </c>
      <c r="L101" s="18" t="n">
        <v>1609</v>
      </c>
      <c r="M101" s="3" t="n"/>
      <c r="N101" s="3" t="n"/>
      <c r="O101" s="3" t="n"/>
      <c r="P101" s="3" t="n"/>
      <c r="Q101" s="3" t="n"/>
      <c r="R101" s="3" t="n"/>
      <c r="S101" s="3" t="n"/>
      <c r="T101" s="3" t="n"/>
      <c r="U101" s="3" t="n"/>
      <c r="V101" s="3" t="n"/>
      <c r="W101" s="3" t="n"/>
      <c r="X101" s="3" t="n"/>
      <c r="Y101" s="4" t="inlineStr">
        <is>
          <t>SPGI_10K_FY2024 p114</t>
        </is>
      </c>
    </row>
    <row r="102">
      <c r="A102" s="38" t="inlineStr">
        <is>
          <t>Less: segment expenses</t>
        </is>
      </c>
      <c r="B102" s="3" t="n"/>
      <c r="C102" s="3" t="n"/>
      <c r="D102" s="3" t="n"/>
      <c r="E102" s="3" t="n"/>
      <c r="F102" s="3" t="n"/>
      <c r="G102" s="3" t="n"/>
      <c r="H102" s="3" t="n"/>
      <c r="I102" s="3" t="n"/>
      <c r="J102" s="30" t="n">
        <v>694</v>
      </c>
      <c r="K102" s="30" t="n">
        <v>908</v>
      </c>
      <c r="L102" s="30" t="n">
        <v>982</v>
      </c>
      <c r="M102" s="3" t="n"/>
      <c r="N102" s="3" t="n"/>
      <c r="O102" s="3" t="n"/>
      <c r="P102" s="3" t="n"/>
      <c r="Q102" s="3" t="n"/>
      <c r="R102" s="3" t="n"/>
      <c r="S102" s="3" t="n"/>
      <c r="T102" s="3" t="n"/>
      <c r="U102" s="3" t="n"/>
      <c r="V102" s="3" t="n"/>
      <c r="W102" s="3" t="n"/>
      <c r="X102" s="3" t="n"/>
      <c r="Y102" s="4" t="inlineStr">
        <is>
          <t>SPGI_10K_FY2024 p114</t>
        </is>
      </c>
    </row>
    <row r="103">
      <c r="A103" s="38" t="inlineStr">
        <is>
          <t>Less: other segment items</t>
        </is>
      </c>
      <c r="B103" s="3" t="n"/>
      <c r="C103" s="3" t="n"/>
      <c r="D103" s="3" t="n"/>
      <c r="E103" s="3" t="n"/>
      <c r="F103" s="3" t="n"/>
      <c r="G103" s="3" t="n"/>
      <c r="H103" s="3" t="n"/>
      <c r="I103" s="3" t="n"/>
      <c r="J103" s="30" t="n">
        <v>235</v>
      </c>
      <c r="K103" s="30" t="n">
        <v>316</v>
      </c>
      <c r="L103" s="30" t="n">
        <v>315</v>
      </c>
      <c r="M103" s="3" t="n"/>
      <c r="N103" s="3" t="n"/>
      <c r="O103" s="3" t="n"/>
      <c r="P103" s="3" t="n"/>
      <c r="Q103" s="3" t="n"/>
      <c r="R103" s="3" t="n"/>
      <c r="S103" s="3" t="n"/>
      <c r="T103" s="3" t="n"/>
      <c r="U103" s="3" t="n"/>
      <c r="V103" s="3" t="n"/>
      <c r="W103" s="3" t="n"/>
      <c r="X103" s="3" t="n"/>
      <c r="Y103" s="4" t="inlineStr">
        <is>
          <t>SPGI_10K_FY2024 p114</t>
        </is>
      </c>
    </row>
    <row r="104">
      <c r="A104" s="39" t="inlineStr">
        <is>
          <t>Segment operating profit</t>
        </is>
      </c>
      <c r="B104" s="3" t="n"/>
      <c r="C104" s="3" t="n"/>
      <c r="D104" s="3" t="n"/>
      <c r="E104" s="3" t="n"/>
      <c r="F104" s="3" t="n"/>
      <c r="G104" s="3" t="n"/>
      <c r="H104" s="3" t="n"/>
      <c r="I104" s="3" t="n"/>
      <c r="J104" s="18" t="n">
        <v>213</v>
      </c>
      <c r="K104" s="18" t="n">
        <v>260</v>
      </c>
      <c r="L104" s="18" t="n">
        <v>312</v>
      </c>
      <c r="M104" s="3" t="n"/>
      <c r="N104" s="3" t="n"/>
      <c r="O104" s="3" t="n"/>
      <c r="P104" s="3" t="n"/>
      <c r="Q104" s="3" t="n"/>
      <c r="R104" s="3" t="n"/>
      <c r="S104" s="3" t="n"/>
      <c r="T104" s="3" t="n"/>
      <c r="U104" s="3" t="n"/>
      <c r="V104" s="3" t="n"/>
      <c r="W104" s="3" t="n"/>
      <c r="X104" s="3" t="n"/>
      <c r="Y104" s="4" t="inlineStr">
        <is>
          <t>SPGI_10K_FY2024 p114</t>
        </is>
      </c>
    </row>
    <row r="105">
      <c r="A105" s="14" t="inlineStr">
        <is>
          <t>SPGI_10K_FY2024 · Note 12 Revenue disaggregated by type</t>
        </is>
      </c>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row>
    <row r="106">
      <c r="A106" s="38" t="inlineStr">
        <is>
          <t>Subscription</t>
        </is>
      </c>
      <c r="B106" s="3" t="n"/>
      <c r="C106" s="3" t="n"/>
      <c r="D106" s="3" t="n"/>
      <c r="E106" s="3" t="n"/>
      <c r="F106" s="3" t="n"/>
      <c r="G106" s="3" t="n"/>
      <c r="H106" s="3" t="n"/>
      <c r="I106" s="3" t="n"/>
      <c r="J106" s="30" t="n">
        <v>888</v>
      </c>
      <c r="K106" s="30" t="n">
        <v>1169</v>
      </c>
      <c r="L106" s="30" t="n">
        <v>1299</v>
      </c>
      <c r="M106" s="3" t="n"/>
      <c r="N106" s="3" t="n"/>
      <c r="O106" s="3" t="n"/>
      <c r="P106" s="3" t="n"/>
      <c r="Q106" s="3" t="n"/>
      <c r="R106" s="3" t="n"/>
      <c r="S106" s="3" t="n"/>
      <c r="T106" s="3" t="n"/>
      <c r="U106" s="3" t="n"/>
      <c r="V106" s="3" t="n"/>
      <c r="W106" s="3" t="n"/>
      <c r="X106" s="3" t="n"/>
      <c r="Y106" s="4" t="inlineStr">
        <is>
          <t>SPGI_10K_FY2024 p116</t>
        </is>
      </c>
    </row>
    <row r="107">
      <c r="A107" s="38" t="inlineStr">
        <is>
          <t>Non-subscription / Transaction</t>
        </is>
      </c>
      <c r="B107" s="3" t="n"/>
      <c r="C107" s="3" t="n"/>
      <c r="D107" s="3" t="n"/>
      <c r="E107" s="3" t="n"/>
      <c r="F107" s="3" t="n"/>
      <c r="G107" s="3" t="n"/>
      <c r="H107" s="3" t="n"/>
      <c r="I107" s="3" t="n"/>
      <c r="J107" s="30" t="n">
        <v>254</v>
      </c>
      <c r="K107" s="30" t="n">
        <v>315</v>
      </c>
      <c r="L107" s="30" t="n">
        <v>310</v>
      </c>
      <c r="M107" s="3" t="n"/>
      <c r="N107" s="3" t="n"/>
      <c r="O107" s="3" t="n"/>
      <c r="P107" s="3" t="n"/>
      <c r="Q107" s="3" t="n"/>
      <c r="R107" s="3" t="n"/>
      <c r="S107" s="3" t="n"/>
      <c r="T107" s="3" t="n"/>
      <c r="U107" s="3" t="n"/>
      <c r="V107" s="3" t="n"/>
      <c r="W107" s="3" t="n"/>
      <c r="X107" s="3" t="n"/>
      <c r="Y107" s="4" t="inlineStr">
        <is>
          <t>SPGI_10K_FY2024 p116</t>
        </is>
      </c>
    </row>
    <row r="108">
      <c r="A108" s="39" t="inlineStr">
        <is>
          <t>Total revenue</t>
        </is>
      </c>
      <c r="B108" s="3" t="n"/>
      <c r="C108" s="3" t="n"/>
      <c r="D108" s="3" t="n"/>
      <c r="E108" s="3" t="n"/>
      <c r="F108" s="3" t="n"/>
      <c r="G108" s="3" t="n"/>
      <c r="H108" s="3" t="n"/>
      <c r="I108" s="3" t="n"/>
      <c r="J108" s="18" t="n">
        <v>1142</v>
      </c>
      <c r="K108" s="18" t="n">
        <v>1484</v>
      </c>
      <c r="L108" s="18" t="n">
        <v>1609</v>
      </c>
      <c r="M108" s="3" t="n"/>
      <c r="N108" s="3" t="n"/>
      <c r="O108" s="3" t="n"/>
      <c r="P108" s="3" t="n"/>
      <c r="Q108" s="3" t="n"/>
      <c r="R108" s="3" t="n"/>
      <c r="S108" s="3" t="n"/>
      <c r="T108" s="3" t="n"/>
      <c r="U108" s="3" t="n"/>
      <c r="V108" s="3" t="n"/>
      <c r="W108" s="3" t="n"/>
      <c r="X108" s="3" t="n"/>
      <c r="Y108" s="4" t="inlineStr">
        <is>
          <t>SPGI_10K_FY2024 p116</t>
        </is>
      </c>
    </row>
    <row r="109">
      <c r="A109" s="38" t="inlineStr">
        <is>
          <t>Services transferred at a point in time</t>
        </is>
      </c>
      <c r="B109" s="3" t="n"/>
      <c r="C109" s="3" t="n"/>
      <c r="D109" s="3" t="n"/>
      <c r="E109" s="3" t="n"/>
      <c r="F109" s="3" t="n"/>
      <c r="G109" s="3" t="n"/>
      <c r="H109" s="3" t="n"/>
      <c r="I109" s="3" t="n"/>
      <c r="J109" s="30" t="n">
        <v>254</v>
      </c>
      <c r="K109" s="30" t="n">
        <v>315</v>
      </c>
      <c r="L109" s="30" t="n">
        <v>310</v>
      </c>
      <c r="M109" s="3" t="n"/>
      <c r="N109" s="3" t="n"/>
      <c r="O109" s="3" t="n"/>
      <c r="P109" s="3" t="n"/>
      <c r="Q109" s="3" t="n"/>
      <c r="R109" s="3" t="n"/>
      <c r="S109" s="3" t="n"/>
      <c r="T109" s="3" t="n"/>
      <c r="U109" s="3" t="n"/>
      <c r="V109" s="3" t="n"/>
      <c r="W109" s="3" t="n"/>
      <c r="X109" s="3" t="n"/>
      <c r="Y109" s="4" t="inlineStr">
        <is>
          <t>SPGI_10K_FY2024 p116</t>
        </is>
      </c>
    </row>
    <row r="110">
      <c r="A110" s="38" t="inlineStr">
        <is>
          <t>Services transferred over time</t>
        </is>
      </c>
      <c r="B110" s="3" t="n"/>
      <c r="C110" s="3" t="n"/>
      <c r="D110" s="3" t="n"/>
      <c r="E110" s="3" t="n"/>
      <c r="F110" s="3" t="n"/>
      <c r="G110" s="3" t="n"/>
      <c r="H110" s="3" t="n"/>
      <c r="I110" s="3" t="n"/>
      <c r="J110" s="30" t="n">
        <v>888</v>
      </c>
      <c r="K110" s="30" t="n">
        <v>1169</v>
      </c>
      <c r="L110" s="30" t="n">
        <v>1299</v>
      </c>
      <c r="M110" s="3" t="n"/>
      <c r="N110" s="3" t="n"/>
      <c r="O110" s="3" t="n"/>
      <c r="P110" s="3" t="n"/>
      <c r="Q110" s="3" t="n"/>
      <c r="R110" s="3" t="n"/>
      <c r="S110" s="3" t="n"/>
      <c r="T110" s="3" t="n"/>
      <c r="U110" s="3" t="n"/>
      <c r="V110" s="3" t="n"/>
      <c r="W110" s="3" t="n"/>
      <c r="X110" s="3" t="n"/>
      <c r="Y110" s="4" t="inlineStr">
        <is>
          <t>SPGI_10K_FY2024 p116</t>
        </is>
      </c>
    </row>
    <row r="111">
      <c r="A111" s="14" t="inlineStr">
        <is>
          <t>SPGI_10K_FY2024 · Note 12 Segment information</t>
        </is>
      </c>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row>
    <row r="112">
      <c r="A112" s="38" t="inlineStr">
        <is>
          <t>Depreciation &amp; Amortization</t>
        </is>
      </c>
      <c r="B112" s="3" t="n"/>
      <c r="C112" s="3" t="n"/>
      <c r="D112" s="3" t="n"/>
      <c r="E112" s="3" t="n"/>
      <c r="F112" s="3" t="n"/>
      <c r="G112" s="3" t="n"/>
      <c r="H112" s="3" t="n"/>
      <c r="I112" s="3" t="n"/>
      <c r="J112" s="30" t="n">
        <v>248</v>
      </c>
      <c r="K112" s="30" t="n">
        <v>314</v>
      </c>
      <c r="L112" s="30" t="n">
        <v>317</v>
      </c>
      <c r="M112" s="3" t="n"/>
      <c r="N112" s="3" t="n"/>
      <c r="O112" s="3" t="n"/>
      <c r="P112" s="3" t="n"/>
      <c r="Q112" s="3" t="n"/>
      <c r="R112" s="3" t="n"/>
      <c r="S112" s="3" t="n"/>
      <c r="T112" s="3" t="n"/>
      <c r="U112" s="3" t="n"/>
      <c r="V112" s="3" t="n"/>
      <c r="W112" s="3" t="n"/>
      <c r="X112" s="3" t="n"/>
      <c r="Y112" s="4" t="inlineStr">
        <is>
          <t>SPGI_10K_FY2024 p117</t>
        </is>
      </c>
    </row>
    <row r="113">
      <c r="A113" s="38" t="inlineStr">
        <is>
          <t>Capital Expenditures</t>
        </is>
      </c>
      <c r="B113" s="3" t="n"/>
      <c r="C113" s="3" t="n"/>
      <c r="D113" s="3" t="n"/>
      <c r="E113" s="3" t="n"/>
      <c r="F113" s="3" t="n"/>
      <c r="G113" s="3" t="n"/>
      <c r="H113" s="3" t="n"/>
      <c r="I113" s="3" t="n"/>
      <c r="J113" s="30" t="n">
        <v>6</v>
      </c>
      <c r="K113" s="30" t="n">
        <v>22</v>
      </c>
      <c r="L113" s="30" t="n">
        <v>18</v>
      </c>
      <c r="M113" s="3" t="n"/>
      <c r="N113" s="3" t="n"/>
      <c r="O113" s="3" t="n"/>
      <c r="P113" s="3" t="n"/>
      <c r="Q113" s="3" t="n"/>
      <c r="R113" s="3" t="n"/>
      <c r="S113" s="3" t="n"/>
      <c r="T113" s="3" t="n"/>
      <c r="U113" s="3" t="n"/>
      <c r="V113" s="3" t="n"/>
      <c r="W113" s="3" t="n"/>
      <c r="X113" s="3" t="n"/>
      <c r="Y113" s="4" t="inlineStr">
        <is>
          <t>SPGI_10K_FY2024 p117</t>
        </is>
      </c>
    </row>
    <row r="114">
      <c r="A114" s="14" t="inlineStr">
        <is>
          <t>SPGI_10K_FY2024 · Note 12 Segment information (as of December 31)</t>
        </is>
      </c>
      <c r="B114" s="15"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row>
    <row r="115">
      <c r="A115" s="38" t="inlineStr">
        <is>
          <t>Total Assets</t>
        </is>
      </c>
      <c r="B115" s="3" t="n"/>
      <c r="C115" s="3" t="n"/>
      <c r="D115" s="3" t="n"/>
      <c r="E115" s="3" t="n"/>
      <c r="F115" s="3" t="n"/>
      <c r="G115" s="3" t="n"/>
      <c r="H115" s="3" t="n"/>
      <c r="I115" s="3" t="n"/>
      <c r="J115" s="3" t="n"/>
      <c r="K115" s="30" t="n">
        <v>13495</v>
      </c>
      <c r="L115" s="30" t="n">
        <v>13222</v>
      </c>
      <c r="M115" s="3" t="n"/>
      <c r="N115" s="3" t="n"/>
      <c r="O115" s="3" t="n"/>
      <c r="P115" s="3" t="n"/>
      <c r="Q115" s="3" t="n"/>
      <c r="R115" s="3" t="n"/>
      <c r="S115" s="3" t="n"/>
      <c r="T115" s="3" t="n"/>
      <c r="U115" s="3" t="n"/>
      <c r="V115" s="3" t="n"/>
      <c r="W115" s="3" t="n"/>
      <c r="X115" s="3" t="n"/>
      <c r="Y115" s="4" t="inlineStr">
        <is>
          <t>SPGI_10K_FY2024 p117</t>
        </is>
      </c>
    </row>
    <row r="116">
      <c r="A116" s="14" t="inlineStr">
        <is>
          <t>SPGI_10K_FY2024 · Note 11 Restructuring by segment</t>
        </is>
      </c>
      <c r="B116" s="15"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row>
    <row r="117">
      <c r="A117" s="38" t="inlineStr">
        <is>
          <t>2024 Restructuring Plan - Initial Charge Recorded (Mobility)</t>
        </is>
      </c>
      <c r="B117" s="3" t="n"/>
      <c r="C117" s="3" t="n"/>
      <c r="D117" s="3" t="n"/>
      <c r="E117" s="3" t="n"/>
      <c r="F117" s="3" t="n"/>
      <c r="G117" s="3" t="n"/>
      <c r="H117" s="3" t="n"/>
      <c r="I117" s="3" t="n"/>
      <c r="J117" s="3" t="n"/>
      <c r="K117" s="3" t="n"/>
      <c r="L117" s="30" t="n">
        <v>6</v>
      </c>
      <c r="M117" s="3" t="n"/>
      <c r="N117" s="3" t="n"/>
      <c r="O117" s="3" t="n"/>
      <c r="P117" s="3" t="n"/>
      <c r="Q117" s="3" t="n"/>
      <c r="R117" s="3" t="n"/>
      <c r="S117" s="3" t="n"/>
      <c r="T117" s="3" t="n"/>
      <c r="U117" s="3" t="n"/>
      <c r="V117" s="3" t="n"/>
      <c r="W117" s="3" t="n"/>
      <c r="X117" s="3" t="n"/>
      <c r="Y117" s="4" t="inlineStr">
        <is>
          <t>SPGI_10K_FY2024 p113</t>
        </is>
      </c>
    </row>
    <row r="118">
      <c r="A118" s="38" t="inlineStr">
        <is>
          <t>2024 Restructuring Plan - Ending Reserve Balance (Mobility)</t>
        </is>
      </c>
      <c r="B118" s="3" t="n"/>
      <c r="C118" s="3" t="n"/>
      <c r="D118" s="3" t="n"/>
      <c r="E118" s="3" t="n"/>
      <c r="F118" s="3" t="n"/>
      <c r="G118" s="3" t="n"/>
      <c r="H118" s="3" t="n"/>
      <c r="I118" s="3" t="n"/>
      <c r="J118" s="3" t="n"/>
      <c r="K118" s="3" t="n"/>
      <c r="L118" s="30" t="n">
        <v>3</v>
      </c>
      <c r="M118" s="3" t="n"/>
      <c r="N118" s="3" t="n"/>
      <c r="O118" s="3" t="n"/>
      <c r="P118" s="3" t="n"/>
      <c r="Q118" s="3" t="n"/>
      <c r="R118" s="3" t="n"/>
      <c r="S118" s="3" t="n"/>
      <c r="T118" s="3" t="n"/>
      <c r="U118" s="3" t="n"/>
      <c r="V118" s="3" t="n"/>
      <c r="W118" s="3" t="n"/>
      <c r="X118" s="3" t="n"/>
      <c r="Y118" s="4" t="inlineStr">
        <is>
          <t>SPGI_10K_FY2024 p113</t>
        </is>
      </c>
    </row>
    <row r="119">
      <c r="A119" s="38" t="inlineStr">
        <is>
          <t>2023 Restructuring Plan - Initial Charge Recorded (Mobility)</t>
        </is>
      </c>
      <c r="B119" s="3" t="n"/>
      <c r="C119" s="3" t="n"/>
      <c r="D119" s="3" t="n"/>
      <c r="E119" s="3" t="n"/>
      <c r="F119" s="3" t="n"/>
      <c r="G119" s="3" t="n"/>
      <c r="H119" s="3" t="n"/>
      <c r="I119" s="3" t="n"/>
      <c r="J119" s="3" t="n"/>
      <c r="K119" s="3" t="n"/>
      <c r="L119" s="30" t="n">
        <v>9</v>
      </c>
      <c r="M119" s="3" t="n"/>
      <c r="N119" s="3" t="n"/>
      <c r="O119" s="3" t="n"/>
      <c r="P119" s="3" t="n"/>
      <c r="Q119" s="3" t="n"/>
      <c r="R119" s="3" t="n"/>
      <c r="S119" s="3" t="n"/>
      <c r="T119" s="3" t="n"/>
      <c r="U119" s="3" t="n"/>
      <c r="V119" s="3" t="n"/>
      <c r="W119" s="3" t="n"/>
      <c r="X119" s="3" t="n"/>
      <c r="Y119" s="4" t="inlineStr">
        <is>
          <t>SPGI_10K_FY2024 p113</t>
        </is>
      </c>
    </row>
    <row r="120">
      <c r="A120" s="38" t="inlineStr">
        <is>
          <t>2023 Restructuring Plan - Ending Reserve Balance (Mobility)</t>
        </is>
      </c>
      <c r="B120" s="3" t="n"/>
      <c r="C120" s="3" t="n"/>
      <c r="D120" s="3" t="n"/>
      <c r="E120" s="3" t="n"/>
      <c r="F120" s="3" t="n"/>
      <c r="G120" s="3" t="n"/>
      <c r="H120" s="3" t="n"/>
      <c r="I120" s="3" t="n"/>
      <c r="J120" s="3" t="n"/>
      <c r="K120" s="3" t="n"/>
      <c r="L120" s="30" t="n">
        <v>1</v>
      </c>
      <c r="M120" s="3" t="n"/>
      <c r="N120" s="3" t="n"/>
      <c r="O120" s="3" t="n"/>
      <c r="P120" s="3" t="n"/>
      <c r="Q120" s="3" t="n"/>
      <c r="R120" s="3" t="n"/>
      <c r="S120" s="3" t="n"/>
      <c r="T120" s="3" t="n"/>
      <c r="U120" s="3" t="n"/>
      <c r="V120" s="3" t="n"/>
      <c r="W120" s="3" t="n"/>
      <c r="X120" s="3" t="n"/>
      <c r="Y120" s="4" t="inlineStr">
        <is>
          <t>SPGI_10K_FY2024 p113</t>
        </is>
      </c>
    </row>
    <row r="121">
      <c r="A121" s="14" t="inlineStr">
        <is>
          <t>SPGI_10K_FY2025 · Note 12 Segment information (as of December 31)</t>
        </is>
      </c>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row>
    <row r="122">
      <c r="A122" s="38" t="inlineStr">
        <is>
          <t>Total Assets</t>
        </is>
      </c>
      <c r="B122" s="3" t="n"/>
      <c r="C122" s="3" t="n"/>
      <c r="D122" s="3" t="n"/>
      <c r="E122" s="3" t="n"/>
      <c r="F122" s="3" t="n"/>
      <c r="G122" s="3" t="n"/>
      <c r="H122" s="3" t="n"/>
      <c r="I122" s="3" t="n"/>
      <c r="J122" s="3" t="n"/>
      <c r="K122" s="3" t="n"/>
      <c r="L122" s="30" t="n">
        <v>13222</v>
      </c>
      <c r="M122" s="30" t="n">
        <v>12974</v>
      </c>
      <c r="N122" s="3" t="n"/>
      <c r="O122" s="3" t="n"/>
      <c r="P122" s="3" t="n"/>
      <c r="Q122" s="3" t="n"/>
      <c r="R122" s="3" t="n"/>
      <c r="S122" s="3" t="n"/>
      <c r="T122" s="3" t="n"/>
      <c r="U122" s="3" t="n"/>
      <c r="V122" s="3" t="n"/>
      <c r="W122" s="3" t="n"/>
      <c r="X122" s="3" t="n"/>
      <c r="Y122" s="4" t="inlineStr">
        <is>
          <t>SPGI_10K_FY2025 p123</t>
        </is>
      </c>
    </row>
    <row r="123">
      <c r="A123" s="14" t="inlineStr">
        <is>
          <t>SPGI_10K_FY2023 · Item 7 Mobility segment description</t>
        </is>
      </c>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row>
    <row r="124">
      <c r="A124" s="38" t="inlineStr">
        <is>
          <t>Segment description (summary)</t>
        </is>
      </c>
      <c r="B124" s="3" t="n"/>
      <c r="C124" s="3" t="n"/>
      <c r="D124" s="3" t="n"/>
      <c r="E124" s="3" t="n"/>
      <c r="F124" s="3" t="n"/>
      <c r="G124" s="3" t="n"/>
      <c r="H124" s="3" t="n"/>
      <c r="I124" s="3" t="n"/>
      <c r="J124" s="3" t="n"/>
      <c r="K124" s="42" t="inlineStr">
        <is>
          <t>Leading provider of solutions serving the full automotive value chain (OEMs, suppliers, mobility service providers, retailers, consumers, finance and insurance companies). Business lines: Dealer, Manufacturing, Financial.</t>
        </is>
      </c>
      <c r="L124" s="3" t="n"/>
      <c r="M124" s="3" t="n"/>
      <c r="N124" s="3" t="n"/>
      <c r="O124" s="3" t="n"/>
      <c r="P124" s="3" t="n"/>
      <c r="Q124" s="3" t="n"/>
      <c r="R124" s="3" t="n"/>
      <c r="S124" s="3" t="n"/>
      <c r="T124" s="3" t="n"/>
      <c r="U124" s="3" t="n"/>
      <c r="V124" s="3" t="n"/>
      <c r="W124" s="3" t="n"/>
      <c r="X124" s="3" t="n"/>
      <c r="Y124" s="4" t="inlineStr">
        <is>
          <t>SPGI_10K_FY2023 p58</t>
        </is>
      </c>
    </row>
    <row r="125">
      <c r="A125" s="38" t="inlineStr">
        <is>
          <t>Basis of inclusion</t>
        </is>
      </c>
      <c r="B125" s="3" t="n"/>
      <c r="C125" s="3" t="n"/>
      <c r="D125" s="3" t="n"/>
      <c r="E125" s="3" t="n"/>
      <c r="F125" s="3" t="n"/>
      <c r="G125" s="3" t="n"/>
      <c r="H125" s="3" t="n"/>
      <c r="I125" s="3" t="n"/>
      <c r="J125" s="3" t="n"/>
      <c r="K125" s="42" t="inlineStr">
        <is>
          <t>The Mobility business was acquired in connection with the merger with IHS Markit on February 28, 2022 and financial results are included since the date of acquisition.</t>
        </is>
      </c>
      <c r="L125" s="3" t="n"/>
      <c r="M125" s="3" t="n"/>
      <c r="N125" s="3" t="n"/>
      <c r="O125" s="3" t="n"/>
      <c r="P125" s="3" t="n"/>
      <c r="Q125" s="3" t="n"/>
      <c r="R125" s="3" t="n"/>
      <c r="S125" s="3" t="n"/>
      <c r="T125" s="3" t="n"/>
      <c r="U125" s="3" t="n"/>
      <c r="V125" s="3" t="n"/>
      <c r="W125" s="3" t="n"/>
      <c r="X125" s="3" t="n"/>
      <c r="Y125" s="4" t="inlineStr">
        <is>
          <t>SPGI_10K_FY2023 p58</t>
        </is>
      </c>
    </row>
    <row r="126">
      <c r="A126" s="38" t="inlineStr">
        <is>
          <t>Acquisition: Market Scan Information Systems Inc. (completed February 2023; not material)</t>
        </is>
      </c>
      <c r="B126" s="3" t="n"/>
      <c r="C126" s="3" t="n"/>
      <c r="D126" s="3" t="n"/>
      <c r="E126" s="3" t="n"/>
      <c r="F126" s="3" t="n"/>
      <c r="G126" s="3" t="n"/>
      <c r="H126" s="3" t="n"/>
      <c r="I126" s="3" t="n"/>
      <c r="J126" s="3" t="n"/>
      <c r="K126" s="42" t="inlineStr">
        <is>
          <t>Completed Feb-2023; automotive pricing and incentive intelligence; not material to consolidated financial statements.</t>
        </is>
      </c>
      <c r="L126" s="3" t="n"/>
      <c r="M126" s="3" t="n"/>
      <c r="N126" s="3" t="n"/>
      <c r="O126" s="3" t="n"/>
      <c r="P126" s="3" t="n"/>
      <c r="Q126" s="3" t="n"/>
      <c r="R126" s="3" t="n"/>
      <c r="S126" s="3" t="n"/>
      <c r="T126" s="3" t="n"/>
      <c r="U126" s="3" t="n"/>
      <c r="V126" s="3" t="n"/>
      <c r="W126" s="3" t="n"/>
      <c r="X126" s="3" t="n"/>
      <c r="Y126" s="4" t="inlineStr">
        <is>
          <t>SPGI_10K_FY2023 p58</t>
        </is>
      </c>
    </row>
    <row r="127">
      <c r="A127" s="14" t="inlineStr">
        <is>
          <t>SPGI_10K_FY2023 · MD&amp;A Mobility segment table</t>
        </is>
      </c>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row>
    <row r="128">
      <c r="A128" s="39" t="inlineStr">
        <is>
          <t>Revenue</t>
        </is>
      </c>
      <c r="B128" s="3" t="n"/>
      <c r="C128" s="3" t="n"/>
      <c r="D128" s="3" t="n"/>
      <c r="E128" s="3" t="n"/>
      <c r="F128" s="3" t="n"/>
      <c r="G128" s="3" t="n"/>
      <c r="H128" s="3" t="n"/>
      <c r="I128" s="3" t="n"/>
      <c r="J128" s="18" t="n">
        <v>1142</v>
      </c>
      <c r="K128" s="18" t="n">
        <v>1484</v>
      </c>
      <c r="L128" s="3" t="n"/>
      <c r="M128" s="3" t="n"/>
      <c r="N128" s="3" t="n"/>
      <c r="O128" s="3" t="n"/>
      <c r="P128" s="3" t="n"/>
      <c r="Q128" s="3" t="n"/>
      <c r="R128" s="3" t="n"/>
      <c r="S128" s="3" t="n"/>
      <c r="T128" s="3" t="n"/>
      <c r="U128" s="3" t="n"/>
      <c r="V128" s="3" t="n"/>
      <c r="W128" s="3" t="n"/>
      <c r="X128" s="3" t="n"/>
      <c r="Y128" s="4" t="inlineStr">
        <is>
          <t>SPGI_10K_FY2023 p59</t>
        </is>
      </c>
    </row>
    <row r="129">
      <c r="A129" s="38" t="inlineStr">
        <is>
          <t>Subscription revenue</t>
        </is>
      </c>
      <c r="B129" s="3" t="n"/>
      <c r="C129" s="3" t="n"/>
      <c r="D129" s="3" t="n"/>
      <c r="E129" s="3" t="n"/>
      <c r="F129" s="3" t="n"/>
      <c r="G129" s="3" t="n"/>
      <c r="H129" s="3" t="n"/>
      <c r="I129" s="3" t="n"/>
      <c r="J129" s="30" t="n">
        <v>888</v>
      </c>
      <c r="K129" s="30" t="n">
        <v>1169</v>
      </c>
      <c r="L129" s="3" t="n"/>
      <c r="M129" s="3" t="n"/>
      <c r="N129" s="3" t="n"/>
      <c r="O129" s="3" t="n"/>
      <c r="P129" s="3" t="n"/>
      <c r="Q129" s="3" t="n"/>
      <c r="R129" s="3" t="n"/>
      <c r="S129" s="3" t="n"/>
      <c r="T129" s="3" t="n"/>
      <c r="U129" s="3" t="n"/>
      <c r="V129" s="3" t="n"/>
      <c r="W129" s="3" t="n"/>
      <c r="X129" s="3" t="n"/>
      <c r="Y129" s="4" t="inlineStr">
        <is>
          <t>SPGI_10K_FY2023 p59</t>
        </is>
      </c>
    </row>
    <row r="130">
      <c r="A130" s="38" t="inlineStr">
        <is>
          <t>Non-subscription revenue</t>
        </is>
      </c>
      <c r="B130" s="3" t="n"/>
      <c r="C130" s="3" t="n"/>
      <c r="D130" s="3" t="n"/>
      <c r="E130" s="3" t="n"/>
      <c r="F130" s="3" t="n"/>
      <c r="G130" s="3" t="n"/>
      <c r="H130" s="3" t="n"/>
      <c r="I130" s="3" t="n"/>
      <c r="J130" s="30" t="n">
        <v>254</v>
      </c>
      <c r="K130" s="30" t="n">
        <v>315</v>
      </c>
      <c r="L130" s="3" t="n"/>
      <c r="M130" s="3" t="n"/>
      <c r="N130" s="3" t="n"/>
      <c r="O130" s="3" t="n"/>
      <c r="P130" s="3" t="n"/>
      <c r="Q130" s="3" t="n"/>
      <c r="R130" s="3" t="n"/>
      <c r="S130" s="3" t="n"/>
      <c r="T130" s="3" t="n"/>
      <c r="U130" s="3" t="n"/>
      <c r="V130" s="3" t="n"/>
      <c r="W130" s="3" t="n"/>
      <c r="X130" s="3" t="n"/>
      <c r="Y130" s="4" t="inlineStr">
        <is>
          <t>SPGI_10K_FY2023 p59</t>
        </is>
      </c>
    </row>
    <row r="131">
      <c r="A131" s="38" t="inlineStr">
        <is>
          <t>% of total revenue: Subscription revenue</t>
        </is>
      </c>
      <c r="B131" s="3" t="n"/>
      <c r="C131" s="3" t="n"/>
      <c r="D131" s="3" t="n"/>
      <c r="E131" s="3" t="n"/>
      <c r="F131" s="3" t="n"/>
      <c r="G131" s="3" t="n"/>
      <c r="H131" s="3" t="n"/>
      <c r="I131" s="3" t="n"/>
      <c r="J131" s="41" t="n">
        <v>78</v>
      </c>
      <c r="K131" s="41" t="n">
        <v>79</v>
      </c>
      <c r="L131" s="3" t="n"/>
      <c r="M131" s="3" t="n"/>
      <c r="N131" s="3" t="n"/>
      <c r="O131" s="3" t="n"/>
      <c r="P131" s="3" t="n"/>
      <c r="Q131" s="3" t="n"/>
      <c r="R131" s="3" t="n"/>
      <c r="S131" s="3" t="n"/>
      <c r="T131" s="3" t="n"/>
      <c r="U131" s="3" t="n"/>
      <c r="V131" s="3" t="n"/>
      <c r="W131" s="3" t="n"/>
      <c r="X131" s="3" t="n"/>
      <c r="Y131" s="4" t="inlineStr">
        <is>
          <t>SPGI_10K_FY2023 p59</t>
        </is>
      </c>
    </row>
    <row r="132">
      <c r="A132" s="38" t="inlineStr">
        <is>
          <t>% of total revenue: Non-subscription revenue</t>
        </is>
      </c>
      <c r="B132" s="3" t="n"/>
      <c r="C132" s="3" t="n"/>
      <c r="D132" s="3" t="n"/>
      <c r="E132" s="3" t="n"/>
      <c r="F132" s="3" t="n"/>
      <c r="G132" s="3" t="n"/>
      <c r="H132" s="3" t="n"/>
      <c r="I132" s="3" t="n"/>
      <c r="J132" s="41" t="n">
        <v>22</v>
      </c>
      <c r="K132" s="41" t="n">
        <v>21</v>
      </c>
      <c r="L132" s="3" t="n"/>
      <c r="M132" s="3" t="n"/>
      <c r="N132" s="3" t="n"/>
      <c r="O132" s="3" t="n"/>
      <c r="P132" s="3" t="n"/>
      <c r="Q132" s="3" t="n"/>
      <c r="R132" s="3" t="n"/>
      <c r="S132" s="3" t="n"/>
      <c r="T132" s="3" t="n"/>
      <c r="U132" s="3" t="n"/>
      <c r="V132" s="3" t="n"/>
      <c r="W132" s="3" t="n"/>
      <c r="X132" s="3" t="n"/>
      <c r="Y132" s="4" t="inlineStr">
        <is>
          <t>SPGI_10K_FY2023 p59</t>
        </is>
      </c>
    </row>
    <row r="133">
      <c r="A133" s="38" t="inlineStr">
        <is>
          <t>U.S. revenue</t>
        </is>
      </c>
      <c r="B133" s="3" t="n"/>
      <c r="C133" s="3" t="n"/>
      <c r="D133" s="3" t="n"/>
      <c r="E133" s="3" t="n"/>
      <c r="F133" s="3" t="n"/>
      <c r="G133" s="3" t="n"/>
      <c r="H133" s="3" t="n"/>
      <c r="I133" s="3" t="n"/>
      <c r="J133" s="30" t="n">
        <v>932</v>
      </c>
      <c r="K133" s="30" t="n">
        <v>1223</v>
      </c>
      <c r="L133" s="3" t="n"/>
      <c r="M133" s="3" t="n"/>
      <c r="N133" s="3" t="n"/>
      <c r="O133" s="3" t="n"/>
      <c r="P133" s="3" t="n"/>
      <c r="Q133" s="3" t="n"/>
      <c r="R133" s="3" t="n"/>
      <c r="S133" s="3" t="n"/>
      <c r="T133" s="3" t="n"/>
      <c r="U133" s="3" t="n"/>
      <c r="V133" s="3" t="n"/>
      <c r="W133" s="3" t="n"/>
      <c r="X133" s="3" t="n"/>
      <c r="Y133" s="4" t="inlineStr">
        <is>
          <t>SPGI_10K_FY2023 p59</t>
        </is>
      </c>
    </row>
    <row r="134">
      <c r="A134" s="38" t="inlineStr">
        <is>
          <t>International revenue</t>
        </is>
      </c>
      <c r="B134" s="3" t="n"/>
      <c r="C134" s="3" t="n"/>
      <c r="D134" s="3" t="n"/>
      <c r="E134" s="3" t="n"/>
      <c r="F134" s="3" t="n"/>
      <c r="G134" s="3" t="n"/>
      <c r="H134" s="3" t="n"/>
      <c r="I134" s="3" t="n"/>
      <c r="J134" s="30" t="n">
        <v>210</v>
      </c>
      <c r="K134" s="30" t="n">
        <v>261</v>
      </c>
      <c r="L134" s="3" t="n"/>
      <c r="M134" s="3" t="n"/>
      <c r="N134" s="3" t="n"/>
      <c r="O134" s="3" t="n"/>
      <c r="P134" s="3" t="n"/>
      <c r="Q134" s="3" t="n"/>
      <c r="R134" s="3" t="n"/>
      <c r="S134" s="3" t="n"/>
      <c r="T134" s="3" t="n"/>
      <c r="U134" s="3" t="n"/>
      <c r="V134" s="3" t="n"/>
      <c r="W134" s="3" t="n"/>
      <c r="X134" s="3" t="n"/>
      <c r="Y134" s="4" t="inlineStr">
        <is>
          <t>SPGI_10K_FY2023 p59</t>
        </is>
      </c>
    </row>
    <row r="135">
      <c r="A135" s="38" t="inlineStr">
        <is>
          <t>% of total revenue: U.S. revenue</t>
        </is>
      </c>
      <c r="B135" s="3" t="n"/>
      <c r="C135" s="3" t="n"/>
      <c r="D135" s="3" t="n"/>
      <c r="E135" s="3" t="n"/>
      <c r="F135" s="3" t="n"/>
      <c r="G135" s="3" t="n"/>
      <c r="H135" s="3" t="n"/>
      <c r="I135" s="3" t="n"/>
      <c r="J135" s="41" t="n">
        <v>82</v>
      </c>
      <c r="K135" s="41" t="n">
        <v>82</v>
      </c>
      <c r="L135" s="3" t="n"/>
      <c r="M135" s="3" t="n"/>
      <c r="N135" s="3" t="n"/>
      <c r="O135" s="3" t="n"/>
      <c r="P135" s="3" t="n"/>
      <c r="Q135" s="3" t="n"/>
      <c r="R135" s="3" t="n"/>
      <c r="S135" s="3" t="n"/>
      <c r="T135" s="3" t="n"/>
      <c r="U135" s="3" t="n"/>
      <c r="V135" s="3" t="n"/>
      <c r="W135" s="3" t="n"/>
      <c r="X135" s="3" t="n"/>
      <c r="Y135" s="4" t="inlineStr">
        <is>
          <t>SPGI_10K_FY2023 p59</t>
        </is>
      </c>
    </row>
    <row r="136">
      <c r="A136" s="38" t="inlineStr">
        <is>
          <t>% of total revenue: International revenue</t>
        </is>
      </c>
      <c r="B136" s="3" t="n"/>
      <c r="C136" s="3" t="n"/>
      <c r="D136" s="3" t="n"/>
      <c r="E136" s="3" t="n"/>
      <c r="F136" s="3" t="n"/>
      <c r="G136" s="3" t="n"/>
      <c r="H136" s="3" t="n"/>
      <c r="I136" s="3" t="n"/>
      <c r="J136" s="41" t="n">
        <v>18</v>
      </c>
      <c r="K136" s="41" t="n">
        <v>18</v>
      </c>
      <c r="L136" s="3" t="n"/>
      <c r="M136" s="3" t="n"/>
      <c r="N136" s="3" t="n"/>
      <c r="O136" s="3" t="n"/>
      <c r="P136" s="3" t="n"/>
      <c r="Q136" s="3" t="n"/>
      <c r="R136" s="3" t="n"/>
      <c r="S136" s="3" t="n"/>
      <c r="T136" s="3" t="n"/>
      <c r="U136" s="3" t="n"/>
      <c r="V136" s="3" t="n"/>
      <c r="W136" s="3" t="n"/>
      <c r="X136" s="3" t="n"/>
      <c r="Y136" s="4" t="inlineStr">
        <is>
          <t>SPGI_10K_FY2023 p59</t>
        </is>
      </c>
    </row>
    <row r="137">
      <c r="A137" s="39" t="inlineStr">
        <is>
          <t>Operating profit</t>
        </is>
      </c>
      <c r="B137" s="3" t="n"/>
      <c r="C137" s="3" t="n"/>
      <c r="D137" s="3" t="n"/>
      <c r="E137" s="3" t="n"/>
      <c r="F137" s="3" t="n"/>
      <c r="G137" s="3" t="n"/>
      <c r="H137" s="3" t="n"/>
      <c r="I137" s="3" t="n"/>
      <c r="J137" s="18" t="n">
        <v>213</v>
      </c>
      <c r="K137" s="18" t="n">
        <v>260</v>
      </c>
      <c r="L137" s="3" t="n"/>
      <c r="M137" s="3" t="n"/>
      <c r="N137" s="3" t="n"/>
      <c r="O137" s="3" t="n"/>
      <c r="P137" s="3" t="n"/>
      <c r="Q137" s="3" t="n"/>
      <c r="R137" s="3" t="n"/>
      <c r="S137" s="3" t="n"/>
      <c r="T137" s="3" t="n"/>
      <c r="U137" s="3" t="n"/>
      <c r="V137" s="3" t="n"/>
      <c r="W137" s="3" t="n"/>
      <c r="X137" s="3" t="n"/>
      <c r="Y137" s="4" t="inlineStr">
        <is>
          <t>SPGI_10K_FY2023 p59</t>
        </is>
      </c>
    </row>
    <row r="138">
      <c r="A138" s="38" t="inlineStr">
        <is>
          <t>% Operating margin</t>
        </is>
      </c>
      <c r="B138" s="3" t="n"/>
      <c r="C138" s="3" t="n"/>
      <c r="D138" s="3" t="n"/>
      <c r="E138" s="3" t="n"/>
      <c r="F138" s="3" t="n"/>
      <c r="G138" s="3" t="n"/>
      <c r="H138" s="3" t="n"/>
      <c r="I138" s="3" t="n"/>
      <c r="J138" s="41" t="n">
        <v>19</v>
      </c>
      <c r="K138" s="41" t="n">
        <v>18</v>
      </c>
      <c r="L138" s="3" t="n"/>
      <c r="M138" s="3" t="n"/>
      <c r="N138" s="3" t="n"/>
      <c r="O138" s="3" t="n"/>
      <c r="P138" s="3" t="n"/>
      <c r="Q138" s="3" t="n"/>
      <c r="R138" s="3" t="n"/>
      <c r="S138" s="3" t="n"/>
      <c r="T138" s="3" t="n"/>
      <c r="U138" s="3" t="n"/>
      <c r="V138" s="3" t="n"/>
      <c r="W138" s="3" t="n"/>
      <c r="X138" s="3" t="n"/>
      <c r="Y138" s="4" t="inlineStr">
        <is>
          <t>SPGI_10K_FY2023 p59</t>
        </is>
      </c>
    </row>
    <row r="139">
      <c r="A139" s="38" t="inlineStr">
        <is>
          <t>% Change Revenue (vs prior year)</t>
        </is>
      </c>
      <c r="B139" s="3" t="n"/>
      <c r="C139" s="3" t="n"/>
      <c r="D139" s="3" t="n"/>
      <c r="E139" s="3" t="n"/>
      <c r="F139" s="3" t="n"/>
      <c r="G139" s="3" t="n"/>
      <c r="H139" s="3" t="n"/>
      <c r="I139" s="3" t="n"/>
      <c r="J139" s="3" t="n"/>
      <c r="K139" s="41" t="n">
        <v>30</v>
      </c>
      <c r="L139" s="3" t="n"/>
      <c r="M139" s="3" t="n"/>
      <c r="N139" s="3" t="n"/>
      <c r="O139" s="3" t="n"/>
      <c r="P139" s="3" t="n"/>
      <c r="Q139" s="3" t="n"/>
      <c r="R139" s="3" t="n"/>
      <c r="S139" s="3" t="n"/>
      <c r="T139" s="3" t="n"/>
      <c r="U139" s="3" t="n"/>
      <c r="V139" s="3" t="n"/>
      <c r="W139" s="3" t="n"/>
      <c r="X139" s="3" t="n"/>
      <c r="Y139" s="4" t="inlineStr">
        <is>
          <t>SPGI_10K_FY2023 p59</t>
        </is>
      </c>
    </row>
    <row r="140">
      <c r="A140" s="38" t="inlineStr">
        <is>
          <t>% Change Subscription revenue (vs prior year)</t>
        </is>
      </c>
      <c r="B140" s="3" t="n"/>
      <c r="C140" s="3" t="n"/>
      <c r="D140" s="3" t="n"/>
      <c r="E140" s="3" t="n"/>
      <c r="F140" s="3" t="n"/>
      <c r="G140" s="3" t="n"/>
      <c r="H140" s="3" t="n"/>
      <c r="I140" s="3" t="n"/>
      <c r="J140" s="3" t="n"/>
      <c r="K140" s="41" t="n">
        <v>32</v>
      </c>
      <c r="L140" s="3" t="n"/>
      <c r="M140" s="3" t="n"/>
      <c r="N140" s="3" t="n"/>
      <c r="O140" s="3" t="n"/>
      <c r="P140" s="3" t="n"/>
      <c r="Q140" s="3" t="n"/>
      <c r="R140" s="3" t="n"/>
      <c r="S140" s="3" t="n"/>
      <c r="T140" s="3" t="n"/>
      <c r="U140" s="3" t="n"/>
      <c r="V140" s="3" t="n"/>
      <c r="W140" s="3" t="n"/>
      <c r="X140" s="3" t="n"/>
      <c r="Y140" s="4" t="inlineStr">
        <is>
          <t>SPGI_10K_FY2023 p59</t>
        </is>
      </c>
    </row>
    <row r="141">
      <c r="A141" s="38" t="inlineStr">
        <is>
          <t>% Change Non-subscription revenue (vs prior year)</t>
        </is>
      </c>
      <c r="B141" s="3" t="n"/>
      <c r="C141" s="3" t="n"/>
      <c r="D141" s="3" t="n"/>
      <c r="E141" s="3" t="n"/>
      <c r="F141" s="3" t="n"/>
      <c r="G141" s="3" t="n"/>
      <c r="H141" s="3" t="n"/>
      <c r="I141" s="3" t="n"/>
      <c r="J141" s="3" t="n"/>
      <c r="K141" s="41" t="n">
        <v>24</v>
      </c>
      <c r="L141" s="3" t="n"/>
      <c r="M141" s="3" t="n"/>
      <c r="N141" s="3" t="n"/>
      <c r="O141" s="3" t="n"/>
      <c r="P141" s="3" t="n"/>
      <c r="Q141" s="3" t="n"/>
      <c r="R141" s="3" t="n"/>
      <c r="S141" s="3" t="n"/>
      <c r="T141" s="3" t="n"/>
      <c r="U141" s="3" t="n"/>
      <c r="V141" s="3" t="n"/>
      <c r="W141" s="3" t="n"/>
      <c r="X141" s="3" t="n"/>
      <c r="Y141" s="4" t="inlineStr">
        <is>
          <t>SPGI_10K_FY2023 p59</t>
        </is>
      </c>
    </row>
    <row r="142">
      <c r="A142" s="38" t="inlineStr">
        <is>
          <t>% Change U.S. revenue (vs prior year)</t>
        </is>
      </c>
      <c r="B142" s="3" t="n"/>
      <c r="C142" s="3" t="n"/>
      <c r="D142" s="3" t="n"/>
      <c r="E142" s="3" t="n"/>
      <c r="F142" s="3" t="n"/>
      <c r="G142" s="3" t="n"/>
      <c r="H142" s="3" t="n"/>
      <c r="I142" s="3" t="n"/>
      <c r="J142" s="3" t="n"/>
      <c r="K142" s="41" t="n">
        <v>31</v>
      </c>
      <c r="L142" s="3" t="n"/>
      <c r="M142" s="3" t="n"/>
      <c r="N142" s="3" t="n"/>
      <c r="O142" s="3" t="n"/>
      <c r="P142" s="3" t="n"/>
      <c r="Q142" s="3" t="n"/>
      <c r="R142" s="3" t="n"/>
      <c r="S142" s="3" t="n"/>
      <c r="T142" s="3" t="n"/>
      <c r="U142" s="3" t="n"/>
      <c r="V142" s="3" t="n"/>
      <c r="W142" s="3" t="n"/>
      <c r="X142" s="3" t="n"/>
      <c r="Y142" s="4" t="inlineStr">
        <is>
          <t>SPGI_10K_FY2023 p59</t>
        </is>
      </c>
    </row>
    <row r="143">
      <c r="A143" s="38" t="inlineStr">
        <is>
          <t>% Change International revenue (vs prior year)</t>
        </is>
      </c>
      <c r="B143" s="3" t="n"/>
      <c r="C143" s="3" t="n"/>
      <c r="D143" s="3" t="n"/>
      <c r="E143" s="3" t="n"/>
      <c r="F143" s="3" t="n"/>
      <c r="G143" s="3" t="n"/>
      <c r="H143" s="3" t="n"/>
      <c r="I143" s="3" t="n"/>
      <c r="J143" s="3" t="n"/>
      <c r="K143" s="41" t="n">
        <v>24</v>
      </c>
      <c r="L143" s="3" t="n"/>
      <c r="M143" s="3" t="n"/>
      <c r="N143" s="3" t="n"/>
      <c r="O143" s="3" t="n"/>
      <c r="P143" s="3" t="n"/>
      <c r="Q143" s="3" t="n"/>
      <c r="R143" s="3" t="n"/>
      <c r="S143" s="3" t="n"/>
      <c r="T143" s="3" t="n"/>
      <c r="U143" s="3" t="n"/>
      <c r="V143" s="3" t="n"/>
      <c r="W143" s="3" t="n"/>
      <c r="X143" s="3" t="n"/>
      <c r="Y143" s="4" t="inlineStr">
        <is>
          <t>SPGI_10K_FY2023 p59</t>
        </is>
      </c>
    </row>
    <row r="144">
      <c r="A144" s="38" t="inlineStr">
        <is>
          <t>% Change Operating profit (vs prior year)</t>
        </is>
      </c>
      <c r="B144" s="3" t="n"/>
      <c r="C144" s="3" t="n"/>
      <c r="D144" s="3" t="n"/>
      <c r="E144" s="3" t="n"/>
      <c r="F144" s="3" t="n"/>
      <c r="G144" s="3" t="n"/>
      <c r="H144" s="3" t="n"/>
      <c r="I144" s="3" t="n"/>
      <c r="J144" s="3" t="n"/>
      <c r="K144" s="41" t="n">
        <v>22</v>
      </c>
      <c r="L144" s="3" t="n"/>
      <c r="M144" s="3" t="n"/>
      <c r="N144" s="3" t="n"/>
      <c r="O144" s="3" t="n"/>
      <c r="P144" s="3" t="n"/>
      <c r="Q144" s="3" t="n"/>
      <c r="R144" s="3" t="n"/>
      <c r="S144" s="3" t="n"/>
      <c r="T144" s="3" t="n"/>
      <c r="U144" s="3" t="n"/>
      <c r="V144" s="3" t="n"/>
      <c r="W144" s="3" t="n"/>
      <c r="X144" s="3" t="n"/>
      <c r="Y144" s="4" t="inlineStr">
        <is>
          <t>SPGI_10K_FY2023 p59</t>
        </is>
      </c>
    </row>
    <row r="145">
      <c r="A145" s="14" t="inlineStr">
        <is>
          <t>SPGI_10K_FY2023 · MD&amp;A Mobility segment table footnote 1</t>
        </is>
      </c>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row>
    <row r="146">
      <c r="A146" s="38" t="inlineStr">
        <is>
          <t>Operating profit includes: employee severance charges</t>
        </is>
      </c>
      <c r="B146" s="3" t="n"/>
      <c r="C146" s="3" t="n"/>
      <c r="D146" s="3" t="n"/>
      <c r="E146" s="3" t="n"/>
      <c r="F146" s="3" t="n"/>
      <c r="G146" s="3" t="n"/>
      <c r="H146" s="3" t="n"/>
      <c r="I146" s="3" t="n"/>
      <c r="J146" s="30" t="n">
        <v>4</v>
      </c>
      <c r="K146" s="30" t="n">
        <v>9</v>
      </c>
      <c r="L146" s="3" t="n"/>
      <c r="M146" s="3" t="n"/>
      <c r="N146" s="3" t="n"/>
      <c r="O146" s="3" t="n"/>
      <c r="P146" s="3" t="n"/>
      <c r="Q146" s="3" t="n"/>
      <c r="R146" s="3" t="n"/>
      <c r="S146" s="3" t="n"/>
      <c r="T146" s="3" t="n"/>
      <c r="U146" s="3" t="n"/>
      <c r="V146" s="3" t="n"/>
      <c r="W146" s="3" t="n"/>
      <c r="X146" s="3" t="n"/>
      <c r="Y146" s="4" t="inlineStr">
        <is>
          <t>SPGI_10K_FY2023 p59</t>
        </is>
      </c>
    </row>
    <row r="147">
      <c r="A147" s="38" t="inlineStr">
        <is>
          <t>Operating profit includes: IHS Markit merger costs</t>
        </is>
      </c>
      <c r="B147" s="3" t="n"/>
      <c r="C147" s="3" t="n"/>
      <c r="D147" s="3" t="n"/>
      <c r="E147" s="3" t="n"/>
      <c r="F147" s="3" t="n"/>
      <c r="G147" s="3" t="n"/>
      <c r="H147" s="3" t="n"/>
      <c r="I147" s="3" t="n"/>
      <c r="J147" s="30" t="n">
        <v>3</v>
      </c>
      <c r="K147" s="30" t="n">
        <v>3</v>
      </c>
      <c r="L147" s="3" t="n"/>
      <c r="M147" s="3" t="n"/>
      <c r="N147" s="3" t="n"/>
      <c r="O147" s="3" t="n"/>
      <c r="P147" s="3" t="n"/>
      <c r="Q147" s="3" t="n"/>
      <c r="R147" s="3" t="n"/>
      <c r="S147" s="3" t="n"/>
      <c r="T147" s="3" t="n"/>
      <c r="U147" s="3" t="n"/>
      <c r="V147" s="3" t="n"/>
      <c r="W147" s="3" t="n"/>
      <c r="X147" s="3" t="n"/>
      <c r="Y147" s="4" t="inlineStr">
        <is>
          <t>SPGI_10K_FY2023 p59</t>
        </is>
      </c>
    </row>
    <row r="148">
      <c r="A148" s="38" t="inlineStr">
        <is>
          <t>Operating profit includes: acquisition-related costs</t>
        </is>
      </c>
      <c r="B148" s="3" t="n"/>
      <c r="C148" s="3" t="n"/>
      <c r="D148" s="3" t="n"/>
      <c r="E148" s="3" t="n"/>
      <c r="F148" s="3" t="n"/>
      <c r="G148" s="3" t="n"/>
      <c r="H148" s="3" t="n"/>
      <c r="I148" s="3" t="n"/>
      <c r="J148" s="3" t="n"/>
      <c r="K148" s="30" t="n">
        <v>2</v>
      </c>
      <c r="L148" s="3" t="n"/>
      <c r="M148" s="3" t="n"/>
      <c r="N148" s="3" t="n"/>
      <c r="O148" s="3" t="n"/>
      <c r="P148" s="3" t="n"/>
      <c r="Q148" s="3" t="n"/>
      <c r="R148" s="3" t="n"/>
      <c r="S148" s="3" t="n"/>
      <c r="T148" s="3" t="n"/>
      <c r="U148" s="3" t="n"/>
      <c r="V148" s="3" t="n"/>
      <c r="W148" s="3" t="n"/>
      <c r="X148" s="3" t="n"/>
      <c r="Y148" s="4" t="inlineStr">
        <is>
          <t>SPGI_10K_FY2023 p59</t>
        </is>
      </c>
    </row>
    <row r="149">
      <c r="A149" s="38" t="inlineStr">
        <is>
          <t>Operating profit includes: acquisition-related benefit</t>
        </is>
      </c>
      <c r="B149" s="3" t="n"/>
      <c r="C149" s="3" t="n"/>
      <c r="D149" s="3" t="n"/>
      <c r="E149" s="3" t="n"/>
      <c r="F149" s="3" t="n"/>
      <c r="G149" s="3" t="n"/>
      <c r="H149" s="3" t="n"/>
      <c r="I149" s="3" t="n"/>
      <c r="J149" s="30" t="n">
        <v>14</v>
      </c>
      <c r="K149" s="3" t="n"/>
      <c r="L149" s="3" t="n"/>
      <c r="M149" s="3" t="n"/>
      <c r="N149" s="3" t="n"/>
      <c r="O149" s="3" t="n"/>
      <c r="P149" s="3" t="n"/>
      <c r="Q149" s="3" t="n"/>
      <c r="R149" s="3" t="n"/>
      <c r="S149" s="3" t="n"/>
      <c r="T149" s="3" t="n"/>
      <c r="U149" s="3" t="n"/>
      <c r="V149" s="3" t="n"/>
      <c r="W149" s="3" t="n"/>
      <c r="X149" s="3" t="n"/>
      <c r="Y149" s="4" t="inlineStr">
        <is>
          <t>SPGI_10K_FY2023 p59</t>
        </is>
      </c>
    </row>
    <row r="150">
      <c r="A150" s="38" t="inlineStr">
        <is>
          <t>Operating profit includes: amortization of intangibles from acquisitions</t>
        </is>
      </c>
      <c r="B150" s="3" t="n"/>
      <c r="C150" s="3" t="n"/>
      <c r="D150" s="3" t="n"/>
      <c r="E150" s="3" t="n"/>
      <c r="F150" s="3" t="n"/>
      <c r="G150" s="3" t="n"/>
      <c r="H150" s="3" t="n"/>
      <c r="I150" s="3" t="n"/>
      <c r="J150" s="30" t="n">
        <v>241</v>
      </c>
      <c r="K150" s="30" t="n">
        <v>301</v>
      </c>
      <c r="L150" s="3" t="n"/>
      <c r="M150" s="3" t="n"/>
      <c r="N150" s="3" t="n"/>
      <c r="O150" s="3" t="n"/>
      <c r="P150" s="3" t="n"/>
      <c r="Q150" s="3" t="n"/>
      <c r="R150" s="3" t="n"/>
      <c r="S150" s="3" t="n"/>
      <c r="T150" s="3" t="n"/>
      <c r="U150" s="3" t="n"/>
      <c r="V150" s="3" t="n"/>
      <c r="W150" s="3" t="n"/>
      <c r="X150" s="3" t="n"/>
      <c r="Y150" s="4" t="inlineStr">
        <is>
          <t>SPGI_10K_FY2023 p59</t>
        </is>
      </c>
    </row>
    <row r="151">
      <c r="A151" s="14" t="inlineStr">
        <is>
          <t>SPGI_10K_FY2023 · MD&amp;A Mobility narrative</t>
        </is>
      </c>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row>
    <row r="152">
      <c r="A152" s="38" t="inlineStr">
        <is>
          <t>Operating profit % change excluding listed items (2023 vs 2022)</t>
        </is>
      </c>
      <c r="B152" s="3" t="n"/>
      <c r="C152" s="3" t="n"/>
      <c r="D152" s="3" t="n"/>
      <c r="E152" s="3" t="n"/>
      <c r="F152" s="3" t="n"/>
      <c r="G152" s="3" t="n"/>
      <c r="H152" s="3" t="n"/>
      <c r="I152" s="3" t="n"/>
      <c r="J152" s="3" t="n"/>
      <c r="K152" s="41" t="n">
        <v>29</v>
      </c>
      <c r="L152" s="3" t="n"/>
      <c r="M152" s="3" t="n"/>
      <c r="N152" s="3" t="n"/>
      <c r="O152" s="3" t="n"/>
      <c r="P152" s="3" t="n"/>
      <c r="Q152" s="3" t="n"/>
      <c r="R152" s="3" t="n"/>
      <c r="S152" s="3" t="n"/>
      <c r="T152" s="3" t="n"/>
      <c r="U152" s="3" t="n"/>
      <c r="V152" s="3" t="n"/>
      <c r="W152" s="3" t="n"/>
      <c r="X152" s="3" t="n"/>
      <c r="Y152" s="4" t="inlineStr">
        <is>
          <t>SPGI_10K_FY2023 p59</t>
        </is>
      </c>
    </row>
    <row r="153">
      <c r="A153" s="14" t="inlineStr">
        <is>
          <t>SPGI_10K_FY2023 · MD&amp;A Total Expenses by segment</t>
        </is>
      </c>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row>
    <row r="154">
      <c r="A154" s="38" t="inlineStr">
        <is>
          <t>Mobility Operating-related expenses</t>
        </is>
      </c>
      <c r="B154" s="3" t="n"/>
      <c r="C154" s="3" t="n"/>
      <c r="D154" s="3" t="n"/>
      <c r="E154" s="3" t="n"/>
      <c r="F154" s="3" t="n"/>
      <c r="G154" s="3" t="n"/>
      <c r="H154" s="3" t="n"/>
      <c r="I154" s="3" t="n"/>
      <c r="J154" s="30" t="n">
        <v>296</v>
      </c>
      <c r="K154" s="30" t="n">
        <v>408</v>
      </c>
      <c r="L154" s="3" t="n"/>
      <c r="M154" s="3" t="n"/>
      <c r="N154" s="3" t="n"/>
      <c r="O154" s="3" t="n"/>
      <c r="P154" s="3" t="n"/>
      <c r="Q154" s="3" t="n"/>
      <c r="R154" s="3" t="n"/>
      <c r="S154" s="3" t="n"/>
      <c r="T154" s="3" t="n"/>
      <c r="U154" s="3" t="n"/>
      <c r="V154" s="3" t="n"/>
      <c r="W154" s="3" t="n"/>
      <c r="X154" s="3" t="n"/>
      <c r="Y154" s="4" t="inlineStr">
        <is>
          <t>SPGI_10K_FY2023 p43</t>
        </is>
      </c>
    </row>
    <row r="155">
      <c r="A155" s="38" t="inlineStr">
        <is>
          <t>Mobility Selling and general expenses</t>
        </is>
      </c>
      <c r="B155" s="3" t="n"/>
      <c r="C155" s="3" t="n"/>
      <c r="D155" s="3" t="n"/>
      <c r="E155" s="3" t="n"/>
      <c r="F155" s="3" t="n"/>
      <c r="G155" s="3" t="n"/>
      <c r="H155" s="3" t="n"/>
      <c r="I155" s="3" t="n"/>
      <c r="J155" s="30" t="n">
        <v>385</v>
      </c>
      <c r="K155" s="30" t="n">
        <v>502</v>
      </c>
      <c r="L155" s="3" t="n"/>
      <c r="M155" s="3" t="n"/>
      <c r="N155" s="3" t="n"/>
      <c r="O155" s="3" t="n"/>
      <c r="P155" s="3" t="n"/>
      <c r="Q155" s="3" t="n"/>
      <c r="R155" s="3" t="n"/>
      <c r="S155" s="3" t="n"/>
      <c r="T155" s="3" t="n"/>
      <c r="U155" s="3" t="n"/>
      <c r="V155" s="3" t="n"/>
      <c r="W155" s="3" t="n"/>
      <c r="X155" s="3" t="n"/>
      <c r="Y155" s="4" t="inlineStr">
        <is>
          <t>SPGI_10K_FY2023 p43</t>
        </is>
      </c>
    </row>
    <row r="156">
      <c r="A156" s="14" t="inlineStr">
        <is>
          <t>SPGI_10K_FY2023 · Note 12 Segment operating results (pre-ASU 2023-07)</t>
        </is>
      </c>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row>
    <row r="157">
      <c r="A157" s="39" t="inlineStr">
        <is>
          <t>Revenue - Mobility</t>
        </is>
      </c>
      <c r="B157" s="3" t="n"/>
      <c r="C157" s="3" t="n"/>
      <c r="D157" s="3" t="n"/>
      <c r="E157" s="3" t="n"/>
      <c r="F157" s="3" t="n"/>
      <c r="G157" s="3" t="n"/>
      <c r="H157" s="3" t="n"/>
      <c r="I157" s="3" t="n"/>
      <c r="J157" s="18" t="n">
        <v>1142</v>
      </c>
      <c r="K157" s="18" t="n">
        <v>1484</v>
      </c>
      <c r="L157" s="3" t="n"/>
      <c r="M157" s="3" t="n"/>
      <c r="N157" s="3" t="n"/>
      <c r="O157" s="3" t="n"/>
      <c r="P157" s="3" t="n"/>
      <c r="Q157" s="3" t="n"/>
      <c r="R157" s="3" t="n"/>
      <c r="S157" s="3" t="n"/>
      <c r="T157" s="3" t="n"/>
      <c r="U157" s="3" t="n"/>
      <c r="V157" s="3" t="n"/>
      <c r="W157" s="3" t="n"/>
      <c r="X157" s="3" t="n"/>
      <c r="Y157" s="4" t="inlineStr">
        <is>
          <t>SPGI_10K_FY2023 p118</t>
        </is>
      </c>
    </row>
    <row r="158">
      <c r="A158" s="39" t="inlineStr">
        <is>
          <t>Operating Profit - Mobility</t>
        </is>
      </c>
      <c r="B158" s="3" t="n"/>
      <c r="C158" s="3" t="n"/>
      <c r="D158" s="3" t="n"/>
      <c r="E158" s="3" t="n"/>
      <c r="F158" s="3" t="n"/>
      <c r="G158" s="3" t="n"/>
      <c r="H158" s="3" t="n"/>
      <c r="I158" s="3" t="n"/>
      <c r="J158" s="18" t="n">
        <v>213</v>
      </c>
      <c r="K158" s="18" t="n">
        <v>260</v>
      </c>
      <c r="L158" s="3" t="n"/>
      <c r="M158" s="3" t="n"/>
      <c r="N158" s="3" t="n"/>
      <c r="O158" s="3" t="n"/>
      <c r="P158" s="3" t="n"/>
      <c r="Q158" s="3" t="n"/>
      <c r="R158" s="3" t="n"/>
      <c r="S158" s="3" t="n"/>
      <c r="T158" s="3" t="n"/>
      <c r="U158" s="3" t="n"/>
      <c r="V158" s="3" t="n"/>
      <c r="W158" s="3" t="n"/>
      <c r="X158" s="3" t="n"/>
      <c r="Y158" s="4" t="inlineStr">
        <is>
          <t>SPGI_10K_FY2023 p118</t>
        </is>
      </c>
    </row>
    <row r="159">
      <c r="A159" s="38" t="inlineStr">
        <is>
          <t>Operating profit footnote 5: amortization of intangibles from acquisitions</t>
        </is>
      </c>
      <c r="B159" s="3" t="n"/>
      <c r="C159" s="3" t="n"/>
      <c r="D159" s="3" t="n"/>
      <c r="E159" s="3" t="n"/>
      <c r="F159" s="3" t="n"/>
      <c r="G159" s="3" t="n"/>
      <c r="H159" s="3" t="n"/>
      <c r="I159" s="3" t="n"/>
      <c r="J159" s="30" t="n">
        <v>241</v>
      </c>
      <c r="K159" s="30" t="n">
        <v>301</v>
      </c>
      <c r="L159" s="3" t="n"/>
      <c r="M159" s="3" t="n"/>
      <c r="N159" s="3" t="n"/>
      <c r="O159" s="3" t="n"/>
      <c r="P159" s="3" t="n"/>
      <c r="Q159" s="3" t="n"/>
      <c r="R159" s="3" t="n"/>
      <c r="S159" s="3" t="n"/>
      <c r="T159" s="3" t="n"/>
      <c r="U159" s="3" t="n"/>
      <c r="V159" s="3" t="n"/>
      <c r="W159" s="3" t="n"/>
      <c r="X159" s="3" t="n"/>
      <c r="Y159" s="4" t="inlineStr">
        <is>
          <t>SPGI_10K_FY2023 p118</t>
        </is>
      </c>
    </row>
    <row r="160">
      <c r="A160" s="14" t="inlineStr">
        <is>
          <t>SPGI_10K_FY2023 · Note 12 Revenue disaggregated by type</t>
        </is>
      </c>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row>
    <row r="161">
      <c r="A161" s="38" t="inlineStr">
        <is>
          <t>Subscription</t>
        </is>
      </c>
      <c r="B161" s="3" t="n"/>
      <c r="C161" s="3" t="n"/>
      <c r="D161" s="3" t="n"/>
      <c r="E161" s="3" t="n"/>
      <c r="F161" s="3" t="n"/>
      <c r="G161" s="3" t="n"/>
      <c r="H161" s="3" t="n"/>
      <c r="I161" s="3" t="n"/>
      <c r="J161" s="30" t="n">
        <v>888</v>
      </c>
      <c r="K161" s="30" t="n">
        <v>1169</v>
      </c>
      <c r="L161" s="3" t="n"/>
      <c r="M161" s="3" t="n"/>
      <c r="N161" s="3" t="n"/>
      <c r="O161" s="3" t="n"/>
      <c r="P161" s="3" t="n"/>
      <c r="Q161" s="3" t="n"/>
      <c r="R161" s="3" t="n"/>
      <c r="S161" s="3" t="n"/>
      <c r="T161" s="3" t="n"/>
      <c r="U161" s="3" t="n"/>
      <c r="V161" s="3" t="n"/>
      <c r="W161" s="3" t="n"/>
      <c r="X161" s="3" t="n"/>
      <c r="Y161" s="4" t="inlineStr">
        <is>
          <t>SPGI_10K_FY2023 p119</t>
        </is>
      </c>
    </row>
    <row r="162">
      <c r="A162" s="38" t="inlineStr">
        <is>
          <t>Non-subscription / Transaction</t>
        </is>
      </c>
      <c r="B162" s="3" t="n"/>
      <c r="C162" s="3" t="n"/>
      <c r="D162" s="3" t="n"/>
      <c r="E162" s="3" t="n"/>
      <c r="F162" s="3" t="n"/>
      <c r="G162" s="3" t="n"/>
      <c r="H162" s="3" t="n"/>
      <c r="I162" s="3" t="n"/>
      <c r="J162" s="30" t="n">
        <v>254</v>
      </c>
      <c r="K162" s="30" t="n">
        <v>315</v>
      </c>
      <c r="L162" s="3" t="n"/>
      <c r="M162" s="3" t="n"/>
      <c r="N162" s="3" t="n"/>
      <c r="O162" s="3" t="n"/>
      <c r="P162" s="3" t="n"/>
      <c r="Q162" s="3" t="n"/>
      <c r="R162" s="3" t="n"/>
      <c r="S162" s="3" t="n"/>
      <c r="T162" s="3" t="n"/>
      <c r="U162" s="3" t="n"/>
      <c r="V162" s="3" t="n"/>
      <c r="W162" s="3" t="n"/>
      <c r="X162" s="3" t="n"/>
      <c r="Y162" s="4" t="inlineStr">
        <is>
          <t>SPGI_10K_FY2023 p119</t>
        </is>
      </c>
    </row>
    <row r="163">
      <c r="A163" s="39" t="inlineStr">
        <is>
          <t>Total revenue</t>
        </is>
      </c>
      <c r="B163" s="3" t="n"/>
      <c r="C163" s="3" t="n"/>
      <c r="D163" s="3" t="n"/>
      <c r="E163" s="3" t="n"/>
      <c r="F163" s="3" t="n"/>
      <c r="G163" s="3" t="n"/>
      <c r="H163" s="3" t="n"/>
      <c r="I163" s="3" t="n"/>
      <c r="J163" s="18" t="n">
        <v>1142</v>
      </c>
      <c r="K163" s="18" t="n">
        <v>1484</v>
      </c>
      <c r="L163" s="3" t="n"/>
      <c r="M163" s="3" t="n"/>
      <c r="N163" s="3" t="n"/>
      <c r="O163" s="3" t="n"/>
      <c r="P163" s="3" t="n"/>
      <c r="Q163" s="3" t="n"/>
      <c r="R163" s="3" t="n"/>
      <c r="S163" s="3" t="n"/>
      <c r="T163" s="3" t="n"/>
      <c r="U163" s="3" t="n"/>
      <c r="V163" s="3" t="n"/>
      <c r="W163" s="3" t="n"/>
      <c r="X163" s="3" t="n"/>
      <c r="Y163" s="4" t="inlineStr">
        <is>
          <t>SPGI_10K_FY2023 p119</t>
        </is>
      </c>
    </row>
    <row r="164">
      <c r="A164" s="38" t="inlineStr">
        <is>
          <t>Services transferred at a point in time</t>
        </is>
      </c>
      <c r="B164" s="3" t="n"/>
      <c r="C164" s="3" t="n"/>
      <c r="D164" s="3" t="n"/>
      <c r="E164" s="3" t="n"/>
      <c r="F164" s="3" t="n"/>
      <c r="G164" s="3" t="n"/>
      <c r="H164" s="3" t="n"/>
      <c r="I164" s="3" t="n"/>
      <c r="J164" s="30" t="n">
        <v>254</v>
      </c>
      <c r="K164" s="30" t="n">
        <v>315</v>
      </c>
      <c r="L164" s="3" t="n"/>
      <c r="M164" s="3" t="n"/>
      <c r="N164" s="3" t="n"/>
      <c r="O164" s="3" t="n"/>
      <c r="P164" s="3" t="n"/>
      <c r="Q164" s="3" t="n"/>
      <c r="R164" s="3" t="n"/>
      <c r="S164" s="3" t="n"/>
      <c r="T164" s="3" t="n"/>
      <c r="U164" s="3" t="n"/>
      <c r="V164" s="3" t="n"/>
      <c r="W164" s="3" t="n"/>
      <c r="X164" s="3" t="n"/>
      <c r="Y164" s="4" t="inlineStr">
        <is>
          <t>SPGI_10K_FY2023 p119</t>
        </is>
      </c>
    </row>
    <row r="165">
      <c r="A165" s="38" t="inlineStr">
        <is>
          <t>Services transferred over time</t>
        </is>
      </c>
      <c r="B165" s="3" t="n"/>
      <c r="C165" s="3" t="n"/>
      <c r="D165" s="3" t="n"/>
      <c r="E165" s="3" t="n"/>
      <c r="F165" s="3" t="n"/>
      <c r="G165" s="3" t="n"/>
      <c r="H165" s="3" t="n"/>
      <c r="I165" s="3" t="n"/>
      <c r="J165" s="30" t="n">
        <v>888</v>
      </c>
      <c r="K165" s="30" t="n">
        <v>1169</v>
      </c>
      <c r="L165" s="3" t="n"/>
      <c r="M165" s="3" t="n"/>
      <c r="N165" s="3" t="n"/>
      <c r="O165" s="3" t="n"/>
      <c r="P165" s="3" t="n"/>
      <c r="Q165" s="3" t="n"/>
      <c r="R165" s="3" t="n"/>
      <c r="S165" s="3" t="n"/>
      <c r="T165" s="3" t="n"/>
      <c r="U165" s="3" t="n"/>
      <c r="V165" s="3" t="n"/>
      <c r="W165" s="3" t="n"/>
      <c r="X165" s="3" t="n"/>
      <c r="Y165" s="4" t="inlineStr">
        <is>
          <t>SPGI_10K_FY2023 p119</t>
        </is>
      </c>
    </row>
    <row r="166">
      <c r="A166" s="14" t="inlineStr">
        <is>
          <t>SPGI_10K_FY2023 · Note 12 Segment information</t>
        </is>
      </c>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row>
    <row r="167">
      <c r="A167" s="38" t="inlineStr">
        <is>
          <t>Depreciation &amp; Amortization</t>
        </is>
      </c>
      <c r="B167" s="3" t="n"/>
      <c r="C167" s="3" t="n"/>
      <c r="D167" s="3" t="n"/>
      <c r="E167" s="3" t="n"/>
      <c r="F167" s="3" t="n"/>
      <c r="G167" s="3" t="n"/>
      <c r="H167" s="3" t="n"/>
      <c r="I167" s="3" t="n"/>
      <c r="J167" s="30" t="n">
        <v>248</v>
      </c>
      <c r="K167" s="30" t="n">
        <v>314</v>
      </c>
      <c r="L167" s="3" t="n"/>
      <c r="M167" s="3" t="n"/>
      <c r="N167" s="3" t="n"/>
      <c r="O167" s="3" t="n"/>
      <c r="P167" s="3" t="n"/>
      <c r="Q167" s="3" t="n"/>
      <c r="R167" s="3" t="n"/>
      <c r="S167" s="3" t="n"/>
      <c r="T167" s="3" t="n"/>
      <c r="U167" s="3" t="n"/>
      <c r="V167" s="3" t="n"/>
      <c r="W167" s="3" t="n"/>
      <c r="X167" s="3" t="n"/>
      <c r="Y167" s="4" t="inlineStr">
        <is>
          <t>SPGI_10K_FY2023 p121</t>
        </is>
      </c>
    </row>
    <row r="168">
      <c r="A168" s="38" t="inlineStr">
        <is>
          <t>Capital Expenditures</t>
        </is>
      </c>
      <c r="B168" s="3" t="n"/>
      <c r="C168" s="3" t="n"/>
      <c r="D168" s="3" t="n"/>
      <c r="E168" s="3" t="n"/>
      <c r="F168" s="3" t="n"/>
      <c r="G168" s="3" t="n"/>
      <c r="H168" s="3" t="n"/>
      <c r="I168" s="3" t="n"/>
      <c r="J168" s="30" t="n">
        <v>6</v>
      </c>
      <c r="K168" s="30" t="n">
        <v>22</v>
      </c>
      <c r="L168" s="3" t="n"/>
      <c r="M168" s="3" t="n"/>
      <c r="N168" s="3" t="n"/>
      <c r="O168" s="3" t="n"/>
      <c r="P168" s="3" t="n"/>
      <c r="Q168" s="3" t="n"/>
      <c r="R168" s="3" t="n"/>
      <c r="S168" s="3" t="n"/>
      <c r="T168" s="3" t="n"/>
      <c r="U168" s="3" t="n"/>
      <c r="V168" s="3" t="n"/>
      <c r="W168" s="3" t="n"/>
      <c r="X168" s="3" t="n"/>
      <c r="Y168" s="4" t="inlineStr">
        <is>
          <t>SPGI_10K_FY2023 p121</t>
        </is>
      </c>
    </row>
    <row r="169">
      <c r="A169" s="14" t="inlineStr">
        <is>
          <t>SPGI_10K_FY2023 · Note 12 Segment information (as of December 31)</t>
        </is>
      </c>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row>
    <row r="170">
      <c r="A170" s="38" t="inlineStr">
        <is>
          <t>Total Assets</t>
        </is>
      </c>
      <c r="B170" s="3" t="n"/>
      <c r="C170" s="3" t="n"/>
      <c r="D170" s="3" t="n"/>
      <c r="E170" s="3" t="n"/>
      <c r="F170" s="3" t="n"/>
      <c r="G170" s="3" t="n"/>
      <c r="H170" s="3" t="n"/>
      <c r="I170" s="3" t="n"/>
      <c r="J170" s="30" t="n">
        <v>13416</v>
      </c>
      <c r="K170" s="30" t="n">
        <v>13495</v>
      </c>
      <c r="L170" s="3" t="n"/>
      <c r="M170" s="3" t="n"/>
      <c r="N170" s="3" t="n"/>
      <c r="O170" s="3" t="n"/>
      <c r="P170" s="3" t="n"/>
      <c r="Q170" s="3" t="n"/>
      <c r="R170" s="3" t="n"/>
      <c r="S170" s="3" t="n"/>
      <c r="T170" s="3" t="n"/>
      <c r="U170" s="3" t="n"/>
      <c r="V170" s="3" t="n"/>
      <c r="W170" s="3" t="n"/>
      <c r="X170" s="3" t="n"/>
      <c r="Y170" s="4" t="inlineStr">
        <is>
          <t>SPGI_10K_FY2023 p121</t>
        </is>
      </c>
    </row>
    <row r="171">
      <c r="A171" s="14" t="inlineStr">
        <is>
          <t>SPGI_10K_FY2023 · Note 11 Restructuring by segment</t>
        </is>
      </c>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row>
    <row r="172">
      <c r="A172" s="38" t="inlineStr">
        <is>
          <t>2023 Restructuring Plan - Initial Charge Recorded (Mobility)</t>
        </is>
      </c>
      <c r="B172" s="3" t="n"/>
      <c r="C172" s="3" t="n"/>
      <c r="D172" s="3" t="n"/>
      <c r="E172" s="3" t="n"/>
      <c r="F172" s="3" t="n"/>
      <c r="G172" s="3" t="n"/>
      <c r="H172" s="3" t="n"/>
      <c r="I172" s="3" t="n"/>
      <c r="J172" s="3" t="n"/>
      <c r="K172" s="30" t="n">
        <v>9</v>
      </c>
      <c r="L172" s="3" t="n"/>
      <c r="M172" s="3" t="n"/>
      <c r="N172" s="3" t="n"/>
      <c r="O172" s="3" t="n"/>
      <c r="P172" s="3" t="n"/>
      <c r="Q172" s="3" t="n"/>
      <c r="R172" s="3" t="n"/>
      <c r="S172" s="3" t="n"/>
      <c r="T172" s="3" t="n"/>
      <c r="U172" s="3" t="n"/>
      <c r="V172" s="3" t="n"/>
      <c r="W172" s="3" t="n"/>
      <c r="X172" s="3" t="n"/>
      <c r="Y172" s="4" t="inlineStr">
        <is>
          <t>SPGI_10K_FY2023 p117</t>
        </is>
      </c>
    </row>
    <row r="173">
      <c r="A173" s="38" t="inlineStr">
        <is>
          <t>2023 Restructuring Plan - Ending Reserve Balance (Mobility)</t>
        </is>
      </c>
      <c r="B173" s="3" t="n"/>
      <c r="C173" s="3" t="n"/>
      <c r="D173" s="3" t="n"/>
      <c r="E173" s="3" t="n"/>
      <c r="F173" s="3" t="n"/>
      <c r="G173" s="3" t="n"/>
      <c r="H173" s="3" t="n"/>
      <c r="I173" s="3" t="n"/>
      <c r="J173" s="3" t="n"/>
      <c r="K173" s="30" t="n">
        <v>8</v>
      </c>
      <c r="L173" s="3" t="n"/>
      <c r="M173" s="3" t="n"/>
      <c r="N173" s="3" t="n"/>
      <c r="O173" s="3" t="n"/>
      <c r="P173" s="3" t="n"/>
      <c r="Q173" s="3" t="n"/>
      <c r="R173" s="3" t="n"/>
      <c r="S173" s="3" t="n"/>
      <c r="T173" s="3" t="n"/>
      <c r="U173" s="3" t="n"/>
      <c r="V173" s="3" t="n"/>
      <c r="W173" s="3" t="n"/>
      <c r="X173" s="3" t="n"/>
      <c r="Y173" s="4" t="inlineStr">
        <is>
          <t>SPGI_10K_FY2023 p117</t>
        </is>
      </c>
    </row>
    <row r="174">
      <c r="A174" s="38" t="inlineStr">
        <is>
          <t>2022 Restructuring Plan - Initial Charge Recorded (Mobility)</t>
        </is>
      </c>
      <c r="B174" s="3" t="n"/>
      <c r="C174" s="3" t="n"/>
      <c r="D174" s="3" t="n"/>
      <c r="E174" s="3" t="n"/>
      <c r="F174" s="3" t="n"/>
      <c r="G174" s="3" t="n"/>
      <c r="H174" s="3" t="n"/>
      <c r="I174" s="3" t="n"/>
      <c r="J174" s="3" t="n"/>
      <c r="K174" s="30" t="n">
        <v>2</v>
      </c>
      <c r="L174" s="3" t="n"/>
      <c r="M174" s="3" t="n"/>
      <c r="N174" s="3" t="n"/>
      <c r="O174" s="3" t="n"/>
      <c r="P174" s="3" t="n"/>
      <c r="Q174" s="3" t="n"/>
      <c r="R174" s="3" t="n"/>
      <c r="S174" s="3" t="n"/>
      <c r="T174" s="3" t="n"/>
      <c r="U174" s="3" t="n"/>
      <c r="V174" s="3" t="n"/>
      <c r="W174" s="3" t="n"/>
      <c r="X174" s="3" t="n"/>
      <c r="Y174" s="4" t="inlineStr">
        <is>
          <t>SPGI_10K_FY2023 p117</t>
        </is>
      </c>
    </row>
    <row r="175">
      <c r="A175" s="14" t="inlineStr">
        <is>
          <t>SPGI_10K_FY2022 · Item 7 Mobility segment description</t>
        </is>
      </c>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row>
    <row r="176">
      <c r="A176" s="38" t="inlineStr">
        <is>
          <t>Segment description (summary)</t>
        </is>
      </c>
      <c r="B176" s="3" t="n"/>
      <c r="C176" s="3" t="n"/>
      <c r="D176" s="3" t="n"/>
      <c r="E176" s="3" t="n"/>
      <c r="F176" s="3" t="n"/>
      <c r="G176" s="3" t="n"/>
      <c r="H176" s="3" t="n"/>
      <c r="I176" s="3" t="n"/>
      <c r="J176" s="42" t="inlineStr">
        <is>
          <t>Leading provider of solutions serving the full automotive value chain (OEMs, suppliers, mobility service providers, retailers, consumers, finance and insurance companies); operates globally with staff in over 17 countries. No business-line (Dealer/Manufacturing/Financial) breakdown given in this 10-K.</t>
        </is>
      </c>
      <c r="K176" s="3" t="n"/>
      <c r="L176" s="3" t="n"/>
      <c r="M176" s="3" t="n"/>
      <c r="N176" s="3" t="n"/>
      <c r="O176" s="3" t="n"/>
      <c r="P176" s="3" t="n"/>
      <c r="Q176" s="3" t="n"/>
      <c r="R176" s="3" t="n"/>
      <c r="S176" s="3" t="n"/>
      <c r="T176" s="3" t="n"/>
      <c r="U176" s="3" t="n"/>
      <c r="V176" s="3" t="n"/>
      <c r="W176" s="3" t="n"/>
      <c r="X176" s="3" t="n"/>
      <c r="Y176" s="4" t="inlineStr">
        <is>
          <t>SPGI_10K_FY2022 p57</t>
        </is>
      </c>
    </row>
    <row r="177">
      <c r="A177" s="38" t="inlineStr">
        <is>
          <t>Basis of inclusion</t>
        </is>
      </c>
      <c r="B177" s="3" t="n"/>
      <c r="C177" s="3" t="n"/>
      <c r="D177" s="3" t="n"/>
      <c r="E177" s="3" t="n"/>
      <c r="F177" s="3" t="n"/>
      <c r="G177" s="3" t="n"/>
      <c r="H177" s="3" t="n"/>
      <c r="I177" s="3" t="n"/>
      <c r="J177" s="42" t="inlineStr">
        <is>
          <t>The Mobility business was acquired in connection with the merger with IHS Markit on February 28, 2022 and financial results are included since the date of acquisition.</t>
        </is>
      </c>
      <c r="K177" s="3" t="n"/>
      <c r="L177" s="3" t="n"/>
      <c r="M177" s="3" t="n"/>
      <c r="N177" s="3" t="n"/>
      <c r="O177" s="3" t="n"/>
      <c r="P177" s="3" t="n"/>
      <c r="Q177" s="3" t="n"/>
      <c r="R177" s="3" t="n"/>
      <c r="S177" s="3" t="n"/>
      <c r="T177" s="3" t="n"/>
      <c r="U177" s="3" t="n"/>
      <c r="V177" s="3" t="n"/>
      <c r="W177" s="3" t="n"/>
      <c r="X177" s="3" t="n"/>
      <c r="Y177" s="4" t="inlineStr">
        <is>
          <t>SPGI_10K_FY2022 p58</t>
        </is>
      </c>
    </row>
    <row r="178">
      <c r="A178" s="14" t="inlineStr">
        <is>
          <t>SPGI_10K_FY2022 · MD&amp;A Mobility segment table</t>
        </is>
      </c>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row>
    <row r="179">
      <c r="A179" s="39" t="inlineStr">
        <is>
          <t>Revenue</t>
        </is>
      </c>
      <c r="B179" s="3" t="n"/>
      <c r="C179" s="3" t="n"/>
      <c r="D179" s="3" t="n"/>
      <c r="E179" s="3" t="n"/>
      <c r="F179" s="3" t="n"/>
      <c r="G179" s="3" t="n"/>
      <c r="H179" s="3" t="n"/>
      <c r="I179" s="3" t="n"/>
      <c r="J179" s="18" t="n">
        <v>1142</v>
      </c>
      <c r="K179" s="3" t="n"/>
      <c r="L179" s="3" t="n"/>
      <c r="M179" s="3" t="n"/>
      <c r="N179" s="3" t="n"/>
      <c r="O179" s="3" t="n"/>
      <c r="P179" s="3" t="n"/>
      <c r="Q179" s="3" t="n"/>
      <c r="R179" s="3" t="n"/>
      <c r="S179" s="3" t="n"/>
      <c r="T179" s="3" t="n"/>
      <c r="U179" s="3" t="n"/>
      <c r="V179" s="3" t="n"/>
      <c r="W179" s="3" t="n"/>
      <c r="X179" s="3" t="n"/>
      <c r="Y179" s="4" t="inlineStr">
        <is>
          <t>SPGI_10K_FY2022 p58</t>
        </is>
      </c>
    </row>
    <row r="180">
      <c r="A180" s="38" t="inlineStr">
        <is>
          <t>Subscription revenue</t>
        </is>
      </c>
      <c r="B180" s="3" t="n"/>
      <c r="C180" s="3" t="n"/>
      <c r="D180" s="3" t="n"/>
      <c r="E180" s="3" t="n"/>
      <c r="F180" s="3" t="n"/>
      <c r="G180" s="3" t="n"/>
      <c r="H180" s="3" t="n"/>
      <c r="I180" s="3" t="n"/>
      <c r="J180" s="30" t="n">
        <v>888</v>
      </c>
      <c r="K180" s="3" t="n"/>
      <c r="L180" s="3" t="n"/>
      <c r="M180" s="3" t="n"/>
      <c r="N180" s="3" t="n"/>
      <c r="O180" s="3" t="n"/>
      <c r="P180" s="3" t="n"/>
      <c r="Q180" s="3" t="n"/>
      <c r="R180" s="3" t="n"/>
      <c r="S180" s="3" t="n"/>
      <c r="T180" s="3" t="n"/>
      <c r="U180" s="3" t="n"/>
      <c r="V180" s="3" t="n"/>
      <c r="W180" s="3" t="n"/>
      <c r="X180" s="3" t="n"/>
      <c r="Y180" s="4" t="inlineStr">
        <is>
          <t>SPGI_10K_FY2022 p58</t>
        </is>
      </c>
    </row>
    <row r="181">
      <c r="A181" s="38" t="inlineStr">
        <is>
          <t>Non-subscription revenue</t>
        </is>
      </c>
      <c r="B181" s="3" t="n"/>
      <c r="C181" s="3" t="n"/>
      <c r="D181" s="3" t="n"/>
      <c r="E181" s="3" t="n"/>
      <c r="F181" s="3" t="n"/>
      <c r="G181" s="3" t="n"/>
      <c r="H181" s="3" t="n"/>
      <c r="I181" s="3" t="n"/>
      <c r="J181" s="30" t="n">
        <v>254</v>
      </c>
      <c r="K181" s="3" t="n"/>
      <c r="L181" s="3" t="n"/>
      <c r="M181" s="3" t="n"/>
      <c r="N181" s="3" t="n"/>
      <c r="O181" s="3" t="n"/>
      <c r="P181" s="3" t="n"/>
      <c r="Q181" s="3" t="n"/>
      <c r="R181" s="3" t="n"/>
      <c r="S181" s="3" t="n"/>
      <c r="T181" s="3" t="n"/>
      <c r="U181" s="3" t="n"/>
      <c r="V181" s="3" t="n"/>
      <c r="W181" s="3" t="n"/>
      <c r="X181" s="3" t="n"/>
      <c r="Y181" s="4" t="inlineStr">
        <is>
          <t>SPGI_10K_FY2022 p58</t>
        </is>
      </c>
    </row>
    <row r="182">
      <c r="A182" s="38" t="inlineStr">
        <is>
          <t>% of total revenue: Subscription revenue</t>
        </is>
      </c>
      <c r="B182" s="3" t="n"/>
      <c r="C182" s="3" t="n"/>
      <c r="D182" s="3" t="n"/>
      <c r="E182" s="3" t="n"/>
      <c r="F182" s="3" t="n"/>
      <c r="G182" s="3" t="n"/>
      <c r="H182" s="3" t="n"/>
      <c r="I182" s="3" t="n"/>
      <c r="J182" s="41" t="n">
        <v>78</v>
      </c>
      <c r="K182" s="3" t="n"/>
      <c r="L182" s="3" t="n"/>
      <c r="M182" s="3" t="n"/>
      <c r="N182" s="3" t="n"/>
      <c r="O182" s="3" t="n"/>
      <c r="P182" s="3" t="n"/>
      <c r="Q182" s="3" t="n"/>
      <c r="R182" s="3" t="n"/>
      <c r="S182" s="3" t="n"/>
      <c r="T182" s="3" t="n"/>
      <c r="U182" s="3" t="n"/>
      <c r="V182" s="3" t="n"/>
      <c r="W182" s="3" t="n"/>
      <c r="X182" s="3" t="n"/>
      <c r="Y182" s="4" t="inlineStr">
        <is>
          <t>SPGI_10K_FY2022 p58</t>
        </is>
      </c>
    </row>
    <row r="183">
      <c r="A183" s="38" t="inlineStr">
        <is>
          <t>% of total revenue: Non-subscription revenue</t>
        </is>
      </c>
      <c r="B183" s="3" t="n"/>
      <c r="C183" s="3" t="n"/>
      <c r="D183" s="3" t="n"/>
      <c r="E183" s="3" t="n"/>
      <c r="F183" s="3" t="n"/>
      <c r="G183" s="3" t="n"/>
      <c r="H183" s="3" t="n"/>
      <c r="I183" s="3" t="n"/>
      <c r="J183" s="41" t="n">
        <v>22</v>
      </c>
      <c r="K183" s="3" t="n"/>
      <c r="L183" s="3" t="n"/>
      <c r="M183" s="3" t="n"/>
      <c r="N183" s="3" t="n"/>
      <c r="O183" s="3" t="n"/>
      <c r="P183" s="3" t="n"/>
      <c r="Q183" s="3" t="n"/>
      <c r="R183" s="3" t="n"/>
      <c r="S183" s="3" t="n"/>
      <c r="T183" s="3" t="n"/>
      <c r="U183" s="3" t="n"/>
      <c r="V183" s="3" t="n"/>
      <c r="W183" s="3" t="n"/>
      <c r="X183" s="3" t="n"/>
      <c r="Y183" s="4" t="inlineStr">
        <is>
          <t>SPGI_10K_FY2022 p58</t>
        </is>
      </c>
    </row>
    <row r="184">
      <c r="A184" s="38" t="inlineStr">
        <is>
          <t>U.S. revenue</t>
        </is>
      </c>
      <c r="B184" s="3" t="n"/>
      <c r="C184" s="3" t="n"/>
      <c r="D184" s="3" t="n"/>
      <c r="E184" s="3" t="n"/>
      <c r="F184" s="3" t="n"/>
      <c r="G184" s="3" t="n"/>
      <c r="H184" s="3" t="n"/>
      <c r="I184" s="3" t="n"/>
      <c r="J184" s="30" t="n">
        <v>932</v>
      </c>
      <c r="K184" s="3" t="n"/>
      <c r="L184" s="3" t="n"/>
      <c r="M184" s="3" t="n"/>
      <c r="N184" s="3" t="n"/>
      <c r="O184" s="3" t="n"/>
      <c r="P184" s="3" t="n"/>
      <c r="Q184" s="3" t="n"/>
      <c r="R184" s="3" t="n"/>
      <c r="S184" s="3" t="n"/>
      <c r="T184" s="3" t="n"/>
      <c r="U184" s="3" t="n"/>
      <c r="V184" s="3" t="n"/>
      <c r="W184" s="3" t="n"/>
      <c r="X184" s="3" t="n"/>
      <c r="Y184" s="4" t="inlineStr">
        <is>
          <t>SPGI_10K_FY2022 p58</t>
        </is>
      </c>
    </row>
    <row r="185">
      <c r="A185" s="38" t="inlineStr">
        <is>
          <t>International revenue</t>
        </is>
      </c>
      <c r="B185" s="3" t="n"/>
      <c r="C185" s="3" t="n"/>
      <c r="D185" s="3" t="n"/>
      <c r="E185" s="3" t="n"/>
      <c r="F185" s="3" t="n"/>
      <c r="G185" s="3" t="n"/>
      <c r="H185" s="3" t="n"/>
      <c r="I185" s="3" t="n"/>
      <c r="J185" s="30" t="n">
        <v>210</v>
      </c>
      <c r="K185" s="3" t="n"/>
      <c r="L185" s="3" t="n"/>
      <c r="M185" s="3" t="n"/>
      <c r="N185" s="3" t="n"/>
      <c r="O185" s="3" t="n"/>
      <c r="P185" s="3" t="n"/>
      <c r="Q185" s="3" t="n"/>
      <c r="R185" s="3" t="n"/>
      <c r="S185" s="3" t="n"/>
      <c r="T185" s="3" t="n"/>
      <c r="U185" s="3" t="n"/>
      <c r="V185" s="3" t="n"/>
      <c r="W185" s="3" t="n"/>
      <c r="X185" s="3" t="n"/>
      <c r="Y185" s="4" t="inlineStr">
        <is>
          <t>SPGI_10K_FY2022 p58</t>
        </is>
      </c>
    </row>
    <row r="186">
      <c r="A186" s="38" t="inlineStr">
        <is>
          <t>% of total revenue: U.S. revenue</t>
        </is>
      </c>
      <c r="B186" s="3" t="n"/>
      <c r="C186" s="3" t="n"/>
      <c r="D186" s="3" t="n"/>
      <c r="E186" s="3" t="n"/>
      <c r="F186" s="3" t="n"/>
      <c r="G186" s="3" t="n"/>
      <c r="H186" s="3" t="n"/>
      <c r="I186" s="3" t="n"/>
      <c r="J186" s="41" t="n">
        <v>82</v>
      </c>
      <c r="K186" s="3" t="n"/>
      <c r="L186" s="3" t="n"/>
      <c r="M186" s="3" t="n"/>
      <c r="N186" s="3" t="n"/>
      <c r="O186" s="3" t="n"/>
      <c r="P186" s="3" t="n"/>
      <c r="Q186" s="3" t="n"/>
      <c r="R186" s="3" t="n"/>
      <c r="S186" s="3" t="n"/>
      <c r="T186" s="3" t="n"/>
      <c r="U186" s="3" t="n"/>
      <c r="V186" s="3" t="n"/>
      <c r="W186" s="3" t="n"/>
      <c r="X186" s="3" t="n"/>
      <c r="Y186" s="4" t="inlineStr">
        <is>
          <t>SPGI_10K_FY2022 p58</t>
        </is>
      </c>
    </row>
    <row r="187">
      <c r="A187" s="38" t="inlineStr">
        <is>
          <t>% of total revenue: International revenue</t>
        </is>
      </c>
      <c r="B187" s="3" t="n"/>
      <c r="C187" s="3" t="n"/>
      <c r="D187" s="3" t="n"/>
      <c r="E187" s="3" t="n"/>
      <c r="F187" s="3" t="n"/>
      <c r="G187" s="3" t="n"/>
      <c r="H187" s="3" t="n"/>
      <c r="I187" s="3" t="n"/>
      <c r="J187" s="41" t="n">
        <v>18</v>
      </c>
      <c r="K187" s="3" t="n"/>
      <c r="L187" s="3" t="n"/>
      <c r="M187" s="3" t="n"/>
      <c r="N187" s="3" t="n"/>
      <c r="O187" s="3" t="n"/>
      <c r="P187" s="3" t="n"/>
      <c r="Q187" s="3" t="n"/>
      <c r="R187" s="3" t="n"/>
      <c r="S187" s="3" t="n"/>
      <c r="T187" s="3" t="n"/>
      <c r="U187" s="3" t="n"/>
      <c r="V187" s="3" t="n"/>
      <c r="W187" s="3" t="n"/>
      <c r="X187" s="3" t="n"/>
      <c r="Y187" s="4" t="inlineStr">
        <is>
          <t>SPGI_10K_FY2022 p58</t>
        </is>
      </c>
    </row>
    <row r="188">
      <c r="A188" s="39" t="inlineStr">
        <is>
          <t>Operating profit</t>
        </is>
      </c>
      <c r="B188" s="3" t="n"/>
      <c r="C188" s="3" t="n"/>
      <c r="D188" s="3" t="n"/>
      <c r="E188" s="3" t="n"/>
      <c r="F188" s="3" t="n"/>
      <c r="G188" s="3" t="n"/>
      <c r="H188" s="3" t="n"/>
      <c r="I188" s="3" t="n"/>
      <c r="J188" s="18" t="n">
        <v>213</v>
      </c>
      <c r="K188" s="3" t="n"/>
      <c r="L188" s="3" t="n"/>
      <c r="M188" s="3" t="n"/>
      <c r="N188" s="3" t="n"/>
      <c r="O188" s="3" t="n"/>
      <c r="P188" s="3" t="n"/>
      <c r="Q188" s="3" t="n"/>
      <c r="R188" s="3" t="n"/>
      <c r="S188" s="3" t="n"/>
      <c r="T188" s="3" t="n"/>
      <c r="U188" s="3" t="n"/>
      <c r="V188" s="3" t="n"/>
      <c r="W188" s="3" t="n"/>
      <c r="X188" s="3" t="n"/>
      <c r="Y188" s="4" t="inlineStr">
        <is>
          <t>SPGI_10K_FY2022 p58</t>
        </is>
      </c>
    </row>
    <row r="189">
      <c r="A189" s="38" t="inlineStr">
        <is>
          <t>% Operating margin</t>
        </is>
      </c>
      <c r="B189" s="3" t="n"/>
      <c r="C189" s="3" t="n"/>
      <c r="D189" s="3" t="n"/>
      <c r="E189" s="3" t="n"/>
      <c r="F189" s="3" t="n"/>
      <c r="G189" s="3" t="n"/>
      <c r="H189" s="3" t="n"/>
      <c r="I189" s="3" t="n"/>
      <c r="J189" s="41" t="n">
        <v>19</v>
      </c>
      <c r="K189" s="3" t="n"/>
      <c r="L189" s="3" t="n"/>
      <c r="M189" s="3" t="n"/>
      <c r="N189" s="3" t="n"/>
      <c r="O189" s="3" t="n"/>
      <c r="P189" s="3" t="n"/>
      <c r="Q189" s="3" t="n"/>
      <c r="R189" s="3" t="n"/>
      <c r="S189" s="3" t="n"/>
      <c r="T189" s="3" t="n"/>
      <c r="U189" s="3" t="n"/>
      <c r="V189" s="3" t="n"/>
      <c r="W189" s="3" t="n"/>
      <c r="X189" s="3" t="n"/>
      <c r="Y189" s="4" t="inlineStr">
        <is>
          <t>SPGI_10K_FY2022 p58</t>
        </is>
      </c>
    </row>
    <row r="190">
      <c r="A190" s="14" t="inlineStr">
        <is>
          <t>SPGI_10K_FY2022 · MD&amp;A Mobility segment table footnote 1</t>
        </is>
      </c>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row>
    <row r="191">
      <c r="A191" s="38" t="inlineStr">
        <is>
          <t>Operating profit includes: acquisition-related benefit</t>
        </is>
      </c>
      <c r="B191" s="3" t="n"/>
      <c r="C191" s="3" t="n"/>
      <c r="D191" s="3" t="n"/>
      <c r="E191" s="3" t="n"/>
      <c r="F191" s="3" t="n"/>
      <c r="G191" s="3" t="n"/>
      <c r="H191" s="3" t="n"/>
      <c r="I191" s="3" t="n"/>
      <c r="J191" s="30" t="n">
        <v>14</v>
      </c>
      <c r="K191" s="3" t="n"/>
      <c r="L191" s="3" t="n"/>
      <c r="M191" s="3" t="n"/>
      <c r="N191" s="3" t="n"/>
      <c r="O191" s="3" t="n"/>
      <c r="P191" s="3" t="n"/>
      <c r="Q191" s="3" t="n"/>
      <c r="R191" s="3" t="n"/>
      <c r="S191" s="3" t="n"/>
      <c r="T191" s="3" t="n"/>
      <c r="U191" s="3" t="n"/>
      <c r="V191" s="3" t="n"/>
      <c r="W191" s="3" t="n"/>
      <c r="X191" s="3" t="n"/>
      <c r="Y191" s="4" t="inlineStr">
        <is>
          <t>SPGI_10K_FY2022 p58</t>
        </is>
      </c>
    </row>
    <row r="192">
      <c r="A192" s="38" t="inlineStr">
        <is>
          <t>Operating profit includes: employee severance charges</t>
        </is>
      </c>
      <c r="B192" s="3" t="n"/>
      <c r="C192" s="3" t="n"/>
      <c r="D192" s="3" t="n"/>
      <c r="E192" s="3" t="n"/>
      <c r="F192" s="3" t="n"/>
      <c r="G192" s="3" t="n"/>
      <c r="H192" s="3" t="n"/>
      <c r="I192" s="3" t="n"/>
      <c r="J192" s="30" t="n">
        <v>4</v>
      </c>
      <c r="K192" s="3" t="n"/>
      <c r="L192" s="3" t="n"/>
      <c r="M192" s="3" t="n"/>
      <c r="N192" s="3" t="n"/>
      <c r="O192" s="3" t="n"/>
      <c r="P192" s="3" t="n"/>
      <c r="Q192" s="3" t="n"/>
      <c r="R192" s="3" t="n"/>
      <c r="S192" s="3" t="n"/>
      <c r="T192" s="3" t="n"/>
      <c r="U192" s="3" t="n"/>
      <c r="V192" s="3" t="n"/>
      <c r="W192" s="3" t="n"/>
      <c r="X192" s="3" t="n"/>
      <c r="Y192" s="4" t="inlineStr">
        <is>
          <t>SPGI_10K_FY2022 p58</t>
        </is>
      </c>
    </row>
    <row r="193">
      <c r="A193" s="38" t="inlineStr">
        <is>
          <t>Operating profit includes: IHS Markit merger costs</t>
        </is>
      </c>
      <c r="B193" s="3" t="n"/>
      <c r="C193" s="3" t="n"/>
      <c r="D193" s="3" t="n"/>
      <c r="E193" s="3" t="n"/>
      <c r="F193" s="3" t="n"/>
      <c r="G193" s="3" t="n"/>
      <c r="H193" s="3" t="n"/>
      <c r="I193" s="3" t="n"/>
      <c r="J193" s="30" t="n">
        <v>3</v>
      </c>
      <c r="K193" s="3" t="n"/>
      <c r="L193" s="3" t="n"/>
      <c r="M193" s="3" t="n"/>
      <c r="N193" s="3" t="n"/>
      <c r="O193" s="3" t="n"/>
      <c r="P193" s="3" t="n"/>
      <c r="Q193" s="3" t="n"/>
      <c r="R193" s="3" t="n"/>
      <c r="S193" s="3" t="n"/>
      <c r="T193" s="3" t="n"/>
      <c r="U193" s="3" t="n"/>
      <c r="V193" s="3" t="n"/>
      <c r="W193" s="3" t="n"/>
      <c r="X193" s="3" t="n"/>
      <c r="Y193" s="4" t="inlineStr">
        <is>
          <t>SPGI_10K_FY2022 p58</t>
        </is>
      </c>
    </row>
    <row r="194">
      <c r="A194" s="38" t="inlineStr">
        <is>
          <t>Operating profit includes: amortization of intangibles from acquisitions</t>
        </is>
      </c>
      <c r="B194" s="3" t="n"/>
      <c r="C194" s="3" t="n"/>
      <c r="D194" s="3" t="n"/>
      <c r="E194" s="3" t="n"/>
      <c r="F194" s="3" t="n"/>
      <c r="G194" s="3" t="n"/>
      <c r="H194" s="3" t="n"/>
      <c r="I194" s="3" t="n"/>
      <c r="J194" s="30" t="n">
        <v>241</v>
      </c>
      <c r="K194" s="3" t="n"/>
      <c r="L194" s="3" t="n"/>
      <c r="M194" s="3" t="n"/>
      <c r="N194" s="3" t="n"/>
      <c r="O194" s="3" t="n"/>
      <c r="P194" s="3" t="n"/>
      <c r="Q194" s="3" t="n"/>
      <c r="R194" s="3" t="n"/>
      <c r="S194" s="3" t="n"/>
      <c r="T194" s="3" t="n"/>
      <c r="U194" s="3" t="n"/>
      <c r="V194" s="3" t="n"/>
      <c r="W194" s="3" t="n"/>
      <c r="X194" s="3" t="n"/>
      <c r="Y194" s="4" t="inlineStr">
        <is>
          <t>SPGI_10K_FY2022 p58</t>
        </is>
      </c>
    </row>
    <row r="195">
      <c r="A195" s="14" t="inlineStr">
        <is>
          <t>SPGI_10K_FY2022 · MD&amp;A Total Expenses by segment</t>
        </is>
      </c>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row>
    <row r="196">
      <c r="A196" s="38" t="inlineStr">
        <is>
          <t>Mobility Operating-related expenses</t>
        </is>
      </c>
      <c r="B196" s="3" t="n"/>
      <c r="C196" s="3" t="n"/>
      <c r="D196" s="3" t="n"/>
      <c r="E196" s="3" t="n"/>
      <c r="F196" s="3" t="n"/>
      <c r="G196" s="3" t="n"/>
      <c r="H196" s="3" t="n"/>
      <c r="I196" s="3" t="n"/>
      <c r="J196" s="30" t="n">
        <v>296</v>
      </c>
      <c r="K196" s="3" t="n"/>
      <c r="L196" s="3" t="n"/>
      <c r="M196" s="3" t="n"/>
      <c r="N196" s="3" t="n"/>
      <c r="O196" s="3" t="n"/>
      <c r="P196" s="3" t="n"/>
      <c r="Q196" s="3" t="n"/>
      <c r="R196" s="3" t="n"/>
      <c r="S196" s="3" t="n"/>
      <c r="T196" s="3" t="n"/>
      <c r="U196" s="3" t="n"/>
      <c r="V196" s="3" t="n"/>
      <c r="W196" s="3" t="n"/>
      <c r="X196" s="3" t="n"/>
      <c r="Y196" s="4" t="inlineStr">
        <is>
          <t>SPGI_10K_FY2022 p42</t>
        </is>
      </c>
    </row>
    <row r="197">
      <c r="A197" s="38" t="inlineStr">
        <is>
          <t>Mobility Selling and general expenses</t>
        </is>
      </c>
      <c r="B197" s="3" t="n"/>
      <c r="C197" s="3" t="n"/>
      <c r="D197" s="3" t="n"/>
      <c r="E197" s="3" t="n"/>
      <c r="F197" s="3" t="n"/>
      <c r="G197" s="3" t="n"/>
      <c r="H197" s="3" t="n"/>
      <c r="I197" s="3" t="n"/>
      <c r="J197" s="30" t="n">
        <v>385</v>
      </c>
      <c r="K197" s="3" t="n"/>
      <c r="L197" s="3" t="n"/>
      <c r="M197" s="3" t="n"/>
      <c r="N197" s="3" t="n"/>
      <c r="O197" s="3" t="n"/>
      <c r="P197" s="3" t="n"/>
      <c r="Q197" s="3" t="n"/>
      <c r="R197" s="3" t="n"/>
      <c r="S197" s="3" t="n"/>
      <c r="T197" s="3" t="n"/>
      <c r="U197" s="3" t="n"/>
      <c r="V197" s="3" t="n"/>
      <c r="W197" s="3" t="n"/>
      <c r="X197" s="3" t="n"/>
      <c r="Y197" s="4" t="inlineStr">
        <is>
          <t>SPGI_10K_FY2022 p42</t>
        </is>
      </c>
    </row>
    <row r="198">
      <c r="A198" s="14" t="inlineStr">
        <is>
          <t>SPGI_10K_FY2022 · Note 12 Segment operating results (pre-ASU 2023-07)</t>
        </is>
      </c>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row>
    <row r="199">
      <c r="A199" s="39" t="inlineStr">
        <is>
          <t>Revenue - Mobility</t>
        </is>
      </c>
      <c r="B199" s="3" t="n"/>
      <c r="C199" s="3" t="n"/>
      <c r="D199" s="3" t="n"/>
      <c r="E199" s="3" t="n"/>
      <c r="F199" s="3" t="n"/>
      <c r="G199" s="3" t="n"/>
      <c r="H199" s="3" t="n"/>
      <c r="I199" s="3" t="n"/>
      <c r="J199" s="18" t="n">
        <v>1142</v>
      </c>
      <c r="K199" s="3" t="n"/>
      <c r="L199" s="3" t="n"/>
      <c r="M199" s="3" t="n"/>
      <c r="N199" s="3" t="n"/>
      <c r="O199" s="3" t="n"/>
      <c r="P199" s="3" t="n"/>
      <c r="Q199" s="3" t="n"/>
      <c r="R199" s="3" t="n"/>
      <c r="S199" s="3" t="n"/>
      <c r="T199" s="3" t="n"/>
      <c r="U199" s="3" t="n"/>
      <c r="V199" s="3" t="n"/>
      <c r="W199" s="3" t="n"/>
      <c r="X199" s="3" t="n"/>
      <c r="Y199" s="4" t="inlineStr">
        <is>
          <t>SPGI_10K_FY2022 p118</t>
        </is>
      </c>
    </row>
    <row r="200">
      <c r="A200" s="39" t="inlineStr">
        <is>
          <t>Operating Profit - Mobility</t>
        </is>
      </c>
      <c r="B200" s="3" t="n"/>
      <c r="C200" s="3" t="n"/>
      <c r="D200" s="3" t="n"/>
      <c r="E200" s="3" t="n"/>
      <c r="F200" s="3" t="n"/>
      <c r="G200" s="3" t="n"/>
      <c r="H200" s="3" t="n"/>
      <c r="I200" s="3" t="n"/>
      <c r="J200" s="18" t="n">
        <v>213</v>
      </c>
      <c r="K200" s="3" t="n"/>
      <c r="L200" s="3" t="n"/>
      <c r="M200" s="3" t="n"/>
      <c r="N200" s="3" t="n"/>
      <c r="O200" s="3" t="n"/>
      <c r="P200" s="3" t="n"/>
      <c r="Q200" s="3" t="n"/>
      <c r="R200" s="3" t="n"/>
      <c r="S200" s="3" t="n"/>
      <c r="T200" s="3" t="n"/>
      <c r="U200" s="3" t="n"/>
      <c r="V200" s="3" t="n"/>
      <c r="W200" s="3" t="n"/>
      <c r="X200" s="3" t="n"/>
      <c r="Y200" s="4" t="inlineStr">
        <is>
          <t>SPGI_10K_FY2022 p118</t>
        </is>
      </c>
    </row>
    <row r="201">
      <c r="A201" s="14" t="inlineStr">
        <is>
          <t>SPGI_10K_FY2022 · Note 12 Revenue disaggregated by type</t>
        </is>
      </c>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row>
    <row r="202">
      <c r="A202" s="38" t="inlineStr">
        <is>
          <t>Subscription</t>
        </is>
      </c>
      <c r="B202" s="3" t="n"/>
      <c r="C202" s="3" t="n"/>
      <c r="D202" s="3" t="n"/>
      <c r="E202" s="3" t="n"/>
      <c r="F202" s="3" t="n"/>
      <c r="G202" s="3" t="n"/>
      <c r="H202" s="3" t="n"/>
      <c r="I202" s="3" t="n"/>
      <c r="J202" s="30" t="n">
        <v>888</v>
      </c>
      <c r="K202" s="3" t="n"/>
      <c r="L202" s="3" t="n"/>
      <c r="M202" s="3" t="n"/>
      <c r="N202" s="3" t="n"/>
      <c r="O202" s="3" t="n"/>
      <c r="P202" s="3" t="n"/>
      <c r="Q202" s="3" t="n"/>
      <c r="R202" s="3" t="n"/>
      <c r="S202" s="3" t="n"/>
      <c r="T202" s="3" t="n"/>
      <c r="U202" s="3" t="n"/>
      <c r="V202" s="3" t="n"/>
      <c r="W202" s="3" t="n"/>
      <c r="X202" s="3" t="n"/>
      <c r="Y202" s="4" t="inlineStr">
        <is>
          <t>SPGI_10K_FY2022 p119</t>
        </is>
      </c>
    </row>
    <row r="203">
      <c r="A203" s="38" t="inlineStr">
        <is>
          <t>Non-subscription / Transaction</t>
        </is>
      </c>
      <c r="B203" s="3" t="n"/>
      <c r="C203" s="3" t="n"/>
      <c r="D203" s="3" t="n"/>
      <c r="E203" s="3" t="n"/>
      <c r="F203" s="3" t="n"/>
      <c r="G203" s="3" t="n"/>
      <c r="H203" s="3" t="n"/>
      <c r="I203" s="3" t="n"/>
      <c r="J203" s="30" t="n">
        <v>254</v>
      </c>
      <c r="K203" s="3" t="n"/>
      <c r="L203" s="3" t="n"/>
      <c r="M203" s="3" t="n"/>
      <c r="N203" s="3" t="n"/>
      <c r="O203" s="3" t="n"/>
      <c r="P203" s="3" t="n"/>
      <c r="Q203" s="3" t="n"/>
      <c r="R203" s="3" t="n"/>
      <c r="S203" s="3" t="n"/>
      <c r="T203" s="3" t="n"/>
      <c r="U203" s="3" t="n"/>
      <c r="V203" s="3" t="n"/>
      <c r="W203" s="3" t="n"/>
      <c r="X203" s="3" t="n"/>
      <c r="Y203" s="4" t="inlineStr">
        <is>
          <t>SPGI_10K_FY2022 p119</t>
        </is>
      </c>
    </row>
    <row r="204">
      <c r="A204" s="39" t="inlineStr">
        <is>
          <t>Total revenue</t>
        </is>
      </c>
      <c r="B204" s="3" t="n"/>
      <c r="C204" s="3" t="n"/>
      <c r="D204" s="3" t="n"/>
      <c r="E204" s="3" t="n"/>
      <c r="F204" s="3" t="n"/>
      <c r="G204" s="3" t="n"/>
      <c r="H204" s="3" t="n"/>
      <c r="I204" s="3" t="n"/>
      <c r="J204" s="18" t="n">
        <v>1142</v>
      </c>
      <c r="K204" s="3" t="n"/>
      <c r="L204" s="3" t="n"/>
      <c r="M204" s="3" t="n"/>
      <c r="N204" s="3" t="n"/>
      <c r="O204" s="3" t="n"/>
      <c r="P204" s="3" t="n"/>
      <c r="Q204" s="3" t="n"/>
      <c r="R204" s="3" t="n"/>
      <c r="S204" s="3" t="n"/>
      <c r="T204" s="3" t="n"/>
      <c r="U204" s="3" t="n"/>
      <c r="V204" s="3" t="n"/>
      <c r="W204" s="3" t="n"/>
      <c r="X204" s="3" t="n"/>
      <c r="Y204" s="4" t="inlineStr">
        <is>
          <t>SPGI_10K_FY2022 p119</t>
        </is>
      </c>
    </row>
    <row r="205">
      <c r="A205" s="38" t="inlineStr">
        <is>
          <t>Services transferred at a point in time</t>
        </is>
      </c>
      <c r="B205" s="3" t="n"/>
      <c r="C205" s="3" t="n"/>
      <c r="D205" s="3" t="n"/>
      <c r="E205" s="3" t="n"/>
      <c r="F205" s="3" t="n"/>
      <c r="G205" s="3" t="n"/>
      <c r="H205" s="3" t="n"/>
      <c r="I205" s="3" t="n"/>
      <c r="J205" s="30" t="n">
        <v>254</v>
      </c>
      <c r="K205" s="3" t="n"/>
      <c r="L205" s="3" t="n"/>
      <c r="M205" s="3" t="n"/>
      <c r="N205" s="3" t="n"/>
      <c r="O205" s="3" t="n"/>
      <c r="P205" s="3" t="n"/>
      <c r="Q205" s="3" t="n"/>
      <c r="R205" s="3" t="n"/>
      <c r="S205" s="3" t="n"/>
      <c r="T205" s="3" t="n"/>
      <c r="U205" s="3" t="n"/>
      <c r="V205" s="3" t="n"/>
      <c r="W205" s="3" t="n"/>
      <c r="X205" s="3" t="n"/>
      <c r="Y205" s="4" t="inlineStr">
        <is>
          <t>SPGI_10K_FY2022 p119</t>
        </is>
      </c>
    </row>
    <row r="206">
      <c r="A206" s="38" t="inlineStr">
        <is>
          <t>Services transferred over time</t>
        </is>
      </c>
      <c r="B206" s="3" t="n"/>
      <c r="C206" s="3" t="n"/>
      <c r="D206" s="3" t="n"/>
      <c r="E206" s="3" t="n"/>
      <c r="F206" s="3" t="n"/>
      <c r="G206" s="3" t="n"/>
      <c r="H206" s="3" t="n"/>
      <c r="I206" s="3" t="n"/>
      <c r="J206" s="30" t="n">
        <v>888</v>
      </c>
      <c r="K206" s="3" t="n"/>
      <c r="L206" s="3" t="n"/>
      <c r="M206" s="3" t="n"/>
      <c r="N206" s="3" t="n"/>
      <c r="O206" s="3" t="n"/>
      <c r="P206" s="3" t="n"/>
      <c r="Q206" s="3" t="n"/>
      <c r="R206" s="3" t="n"/>
      <c r="S206" s="3" t="n"/>
      <c r="T206" s="3" t="n"/>
      <c r="U206" s="3" t="n"/>
      <c r="V206" s="3" t="n"/>
      <c r="W206" s="3" t="n"/>
      <c r="X206" s="3" t="n"/>
      <c r="Y206" s="4" t="inlineStr">
        <is>
          <t>SPGI_10K_FY2022 p119</t>
        </is>
      </c>
    </row>
    <row r="207">
      <c r="A207" s="14" t="inlineStr">
        <is>
          <t>SPGI_10K_FY2022 · Note 12 Segment information</t>
        </is>
      </c>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row>
    <row r="208">
      <c r="A208" s="38" t="inlineStr">
        <is>
          <t>Depreciation &amp; Amortization</t>
        </is>
      </c>
      <c r="B208" s="3" t="n"/>
      <c r="C208" s="3" t="n"/>
      <c r="D208" s="3" t="n"/>
      <c r="E208" s="3" t="n"/>
      <c r="F208" s="3" t="n"/>
      <c r="G208" s="3" t="n"/>
      <c r="H208" s="3" t="n"/>
      <c r="I208" s="3" t="n"/>
      <c r="J208" s="30" t="n">
        <v>248</v>
      </c>
      <c r="K208" s="3" t="n"/>
      <c r="L208" s="3" t="n"/>
      <c r="M208" s="3" t="n"/>
      <c r="N208" s="3" t="n"/>
      <c r="O208" s="3" t="n"/>
      <c r="P208" s="3" t="n"/>
      <c r="Q208" s="3" t="n"/>
      <c r="R208" s="3" t="n"/>
      <c r="S208" s="3" t="n"/>
      <c r="T208" s="3" t="n"/>
      <c r="U208" s="3" t="n"/>
      <c r="V208" s="3" t="n"/>
      <c r="W208" s="3" t="n"/>
      <c r="X208" s="3" t="n"/>
      <c r="Y208" s="4" t="inlineStr">
        <is>
          <t>SPGI_10K_FY2022 p121</t>
        </is>
      </c>
    </row>
    <row r="209">
      <c r="A209" s="38" t="inlineStr">
        <is>
          <t>Capital Expenditures</t>
        </is>
      </c>
      <c r="B209" s="3" t="n"/>
      <c r="C209" s="3" t="n"/>
      <c r="D209" s="3" t="n"/>
      <c r="E209" s="3" t="n"/>
      <c r="F209" s="3" t="n"/>
      <c r="G209" s="3" t="n"/>
      <c r="H209" s="3" t="n"/>
      <c r="I209" s="3" t="n"/>
      <c r="J209" s="30" t="n">
        <v>6</v>
      </c>
      <c r="K209" s="3" t="n"/>
      <c r="L209" s="3" t="n"/>
      <c r="M209" s="3" t="n"/>
      <c r="N209" s="3" t="n"/>
      <c r="O209" s="3" t="n"/>
      <c r="P209" s="3" t="n"/>
      <c r="Q209" s="3" t="n"/>
      <c r="R209" s="3" t="n"/>
      <c r="S209" s="3" t="n"/>
      <c r="T209" s="3" t="n"/>
      <c r="U209" s="3" t="n"/>
      <c r="V209" s="3" t="n"/>
      <c r="W209" s="3" t="n"/>
      <c r="X209" s="3" t="n"/>
      <c r="Y209" s="4" t="inlineStr">
        <is>
          <t>SPGI_10K_FY2022 p121</t>
        </is>
      </c>
    </row>
    <row r="210">
      <c r="A210" s="14" t="inlineStr">
        <is>
          <t>SPGI_10K_FY2022 · Note 12 Segment information (as of December 31)</t>
        </is>
      </c>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row>
    <row r="211">
      <c r="A211" s="38" t="inlineStr">
        <is>
          <t>Total Assets</t>
        </is>
      </c>
      <c r="B211" s="3" t="n"/>
      <c r="C211" s="3" t="n"/>
      <c r="D211" s="3" t="n"/>
      <c r="E211" s="3" t="n"/>
      <c r="F211" s="3" t="n"/>
      <c r="G211" s="3" t="n"/>
      <c r="H211" s="3" t="n"/>
      <c r="I211" s="3" t="n"/>
      <c r="J211" s="30" t="n">
        <v>13416</v>
      </c>
      <c r="K211" s="3" t="n"/>
      <c r="L211" s="3" t="n"/>
      <c r="M211" s="3" t="n"/>
      <c r="N211" s="3" t="n"/>
      <c r="O211" s="3" t="n"/>
      <c r="P211" s="3" t="n"/>
      <c r="Q211" s="3" t="n"/>
      <c r="R211" s="3" t="n"/>
      <c r="S211" s="3" t="n"/>
      <c r="T211" s="3" t="n"/>
      <c r="U211" s="3" t="n"/>
      <c r="V211" s="3" t="n"/>
      <c r="W211" s="3" t="n"/>
      <c r="X211" s="3" t="n"/>
      <c r="Y211" s="4" t="inlineStr">
        <is>
          <t>SPGI_10K_FY2022 p121</t>
        </is>
      </c>
    </row>
    <row r="212">
      <c r="A212" s="14" t="inlineStr">
        <is>
          <t>INFO_10K_FY2021 · Item 1 Transportation segment description</t>
        </is>
      </c>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row>
    <row r="213">
      <c r="A213" s="38" t="inlineStr">
        <is>
          <t>Segment description (summary)</t>
        </is>
      </c>
      <c r="B213" s="3" t="n"/>
      <c r="C213" s="3" t="n"/>
      <c r="D213" s="3" t="n"/>
      <c r="E213" s="3" t="n"/>
      <c r="F213" s="3" t="n"/>
      <c r="G213" s="3" t="n"/>
      <c r="H213" s="3" t="n"/>
      <c r="I213" s="42" t="inlineStr">
        <is>
          <t>Transportation = Automotive offerings (more than 90 percent of segment revenue for 2021) plus Maritime &amp; Trade (balance). Automotive serves OEMs, parts suppliers and dealers: new-car forecasts, Polk-heritage sales/marketing/recall data (nearly 12bn US ownership records), automotiveMastermind, and CARFAX used-car vehicle history/listings/valuation.</t>
        </is>
      </c>
      <c r="J213" s="3" t="n"/>
      <c r="K213" s="3" t="n"/>
      <c r="L213" s="3" t="n"/>
      <c r="M213" s="3" t="n"/>
      <c r="N213" s="3" t="n"/>
      <c r="O213" s="3" t="n"/>
      <c r="P213" s="3" t="n"/>
      <c r="Q213" s="3" t="n"/>
      <c r="R213" s="3" t="n"/>
      <c r="S213" s="3" t="n"/>
      <c r="T213" s="3" t="n"/>
      <c r="U213" s="3" t="n"/>
      <c r="V213" s="3" t="n"/>
      <c r="W213" s="3" t="n"/>
      <c r="X213" s="3" t="n"/>
      <c r="Y213" s="4" t="inlineStr">
        <is>
          <t>INFO_10K_FY2021 p13</t>
        </is>
      </c>
    </row>
    <row r="214">
      <c r="A214" s="38" t="inlineStr">
        <is>
          <t>Automotive offerings share of segment revenue (printed as "more than 90 percent")</t>
        </is>
      </c>
      <c r="B214" s="3" t="n"/>
      <c r="C214" s="3" t="n"/>
      <c r="D214" s="3" t="n"/>
      <c r="E214" s="3" t="n"/>
      <c r="F214" s="3" t="n"/>
      <c r="G214" s="3" t="n"/>
      <c r="H214" s="3" t="n"/>
      <c r="I214" s="42" t="inlineStr">
        <is>
          <t>more than 90 percent</t>
        </is>
      </c>
      <c r="J214" s="3" t="n"/>
      <c r="K214" s="3" t="n"/>
      <c r="L214" s="3" t="n"/>
      <c r="M214" s="3" t="n"/>
      <c r="N214" s="3" t="n"/>
      <c r="O214" s="3" t="n"/>
      <c r="P214" s="3" t="n"/>
      <c r="Q214" s="3" t="n"/>
      <c r="R214" s="3" t="n"/>
      <c r="S214" s="3" t="n"/>
      <c r="T214" s="3" t="n"/>
      <c r="U214" s="3" t="n"/>
      <c r="V214" s="3" t="n"/>
      <c r="W214" s="3" t="n"/>
      <c r="X214" s="3" t="n"/>
      <c r="Y214" s="4" t="inlineStr">
        <is>
          <t>INFO_10K_FY2021 p13</t>
        </is>
      </c>
    </row>
    <row r="215">
      <c r="A215" s="38" t="inlineStr">
        <is>
          <t>CARFAX data scale (printed)</t>
        </is>
      </c>
      <c r="B215" s="3" t="n"/>
      <c r="C215" s="3" t="n"/>
      <c r="D215" s="3" t="n"/>
      <c r="E215" s="3" t="n"/>
      <c r="F215" s="3" t="n"/>
      <c r="G215" s="3" t="n"/>
      <c r="H215" s="3" t="n"/>
      <c r="I215" s="42" t="inlineStr">
        <is>
          <t>CARFAX vehicle history based on more than 27 billion records collected from more than 130,000 data sources</t>
        </is>
      </c>
      <c r="J215" s="3" t="n"/>
      <c r="K215" s="3" t="n"/>
      <c r="L215" s="3" t="n"/>
      <c r="M215" s="3" t="n"/>
      <c r="N215" s="3" t="n"/>
      <c r="O215" s="3" t="n"/>
      <c r="P215" s="3" t="n"/>
      <c r="Q215" s="3" t="n"/>
      <c r="R215" s="3" t="n"/>
      <c r="S215" s="3" t="n"/>
      <c r="T215" s="3" t="n"/>
      <c r="U215" s="3" t="n"/>
      <c r="V215" s="3" t="n"/>
      <c r="W215" s="3" t="n"/>
      <c r="X215" s="3" t="n"/>
      <c r="Y215" s="4" t="inlineStr">
        <is>
          <t>INFO_10K_FY2021 p14</t>
        </is>
      </c>
    </row>
    <row r="216">
      <c r="A216" s="38" t="inlineStr">
        <is>
          <t>Forecast database coverage of global light vehicle sales and production (percent)</t>
        </is>
      </c>
      <c r="B216" s="3" t="n"/>
      <c r="C216" s="3" t="n"/>
      <c r="D216" s="3" t="n"/>
      <c r="E216" s="3" t="n"/>
      <c r="F216" s="3" t="n"/>
      <c r="G216" s="3" t="n"/>
      <c r="H216" s="3" t="n"/>
      <c r="I216" s="41" t="n">
        <v>99</v>
      </c>
      <c r="J216" s="3" t="n"/>
      <c r="K216" s="3" t="n"/>
      <c r="L216" s="3" t="n"/>
      <c r="M216" s="3" t="n"/>
      <c r="N216" s="3" t="n"/>
      <c r="O216" s="3" t="n"/>
      <c r="P216" s="3" t="n"/>
      <c r="Q216" s="3" t="n"/>
      <c r="R216" s="3" t="n"/>
      <c r="S216" s="3" t="n"/>
      <c r="T216" s="3" t="n"/>
      <c r="U216" s="3" t="n"/>
      <c r="V216" s="3" t="n"/>
      <c r="W216" s="3" t="n"/>
      <c r="X216" s="3" t="n"/>
      <c r="Y216" s="4" t="inlineStr">
        <is>
          <t>INFO_10K_FY2021 p14</t>
        </is>
      </c>
    </row>
    <row r="217">
      <c r="A217" s="38" t="inlineStr">
        <is>
          <t>Unique vehicle model variants forecast (more than)</t>
        </is>
      </c>
      <c r="B217" s="3" t="n"/>
      <c r="C217" s="3" t="n"/>
      <c r="D217" s="3" t="n"/>
      <c r="E217" s="3" t="n"/>
      <c r="F217" s="3" t="n"/>
      <c r="G217" s="3" t="n"/>
      <c r="H217" s="3" t="n"/>
      <c r="I217" s="40" t="n">
        <v>50000</v>
      </c>
      <c r="J217" s="3" t="n"/>
      <c r="K217" s="3" t="n"/>
      <c r="L217" s="3" t="n"/>
      <c r="M217" s="3" t="n"/>
      <c r="N217" s="3" t="n"/>
      <c r="O217" s="3" t="n"/>
      <c r="P217" s="3" t="n"/>
      <c r="Q217" s="3" t="n"/>
      <c r="R217" s="3" t="n"/>
      <c r="S217" s="3" t="n"/>
      <c r="T217" s="3" t="n"/>
      <c r="U217" s="3" t="n"/>
      <c r="V217" s="3" t="n"/>
      <c r="W217" s="3" t="n"/>
      <c r="X217" s="3" t="n"/>
      <c r="Y217" s="4" t="inlineStr">
        <is>
          <t>INFO_10K_FY2021 p14</t>
        </is>
      </c>
    </row>
    <row r="218">
      <c r="A218" s="38" t="inlineStr">
        <is>
          <t>Vehicle systems, sub-systems and components forecast (more than)</t>
        </is>
      </c>
      <c r="B218" s="3" t="n"/>
      <c r="C218" s="3" t="n"/>
      <c r="D218" s="3" t="n"/>
      <c r="E218" s="3" t="n"/>
      <c r="F218" s="3" t="n"/>
      <c r="G218" s="3" t="n"/>
      <c r="H218" s="3" t="n"/>
      <c r="I218" s="40" t="n">
        <v>150</v>
      </c>
      <c r="J218" s="3" t="n"/>
      <c r="K218" s="3" t="n"/>
      <c r="L218" s="3" t="n"/>
      <c r="M218" s="3" t="n"/>
      <c r="N218" s="3" t="n"/>
      <c r="O218" s="3" t="n"/>
      <c r="P218" s="3" t="n"/>
      <c r="Q218" s="3" t="n"/>
      <c r="R218" s="3" t="n"/>
      <c r="S218" s="3" t="n"/>
      <c r="T218" s="3" t="n"/>
      <c r="U218" s="3" t="n"/>
      <c r="V218" s="3" t="n"/>
      <c r="W218" s="3" t="n"/>
      <c r="X218" s="3" t="n"/>
      <c r="Y218" s="4" t="inlineStr">
        <is>
          <t>INFO_10K_FY2021 p14</t>
        </is>
      </c>
    </row>
    <row r="219">
      <c r="A219" s="38" t="inlineStr">
        <is>
          <t>U.S. sales and marketing database - ownership records (nearly, billions)</t>
        </is>
      </c>
      <c r="B219" s="3" t="n"/>
      <c r="C219" s="3" t="n"/>
      <c r="D219" s="3" t="n"/>
      <c r="E219" s="3" t="n"/>
      <c r="F219" s="3" t="n"/>
      <c r="G219" s="3" t="n"/>
      <c r="H219" s="3" t="n"/>
      <c r="I219" s="40" t="n">
        <v>12</v>
      </c>
      <c r="J219" s="3" t="n"/>
      <c r="K219" s="3" t="n"/>
      <c r="L219" s="3" t="n"/>
      <c r="M219" s="3" t="n"/>
      <c r="N219" s="3" t="n"/>
      <c r="O219" s="3" t="n"/>
      <c r="P219" s="3" t="n"/>
      <c r="Q219" s="3" t="n"/>
      <c r="R219" s="3" t="n"/>
      <c r="S219" s="3" t="n"/>
      <c r="T219" s="3" t="n"/>
      <c r="U219" s="3" t="n"/>
      <c r="V219" s="3" t="n"/>
      <c r="W219" s="3" t="n"/>
      <c r="X219" s="3" t="n"/>
      <c r="Y219" s="4" t="inlineStr">
        <is>
          <t>INFO_10K_FY2021 p14</t>
        </is>
      </c>
    </row>
    <row r="220">
      <c r="A220" s="38" t="inlineStr">
        <is>
          <t>U.S. ownership database coverage (printed)</t>
        </is>
      </c>
      <c r="B220" s="3" t="n"/>
      <c r="C220" s="3" t="n"/>
      <c r="D220" s="3" t="n"/>
      <c r="E220" s="3" t="n"/>
      <c r="F220" s="3" t="n"/>
      <c r="G220" s="3" t="n"/>
      <c r="H220" s="3" t="n"/>
      <c r="I220" s="42" t="inlineStr">
        <is>
          <t>covering 790 million vehicles and more than 250 million U.S. households over a period of more than 25 years</t>
        </is>
      </c>
      <c r="J220" s="3" t="n"/>
      <c r="K220" s="3" t="n"/>
      <c r="L220" s="3" t="n"/>
      <c r="M220" s="3" t="n"/>
      <c r="N220" s="3" t="n"/>
      <c r="O220" s="3" t="n"/>
      <c r="P220" s="3" t="n"/>
      <c r="Q220" s="3" t="n"/>
      <c r="R220" s="3" t="n"/>
      <c r="S220" s="3" t="n"/>
      <c r="T220" s="3" t="n"/>
      <c r="U220" s="3" t="n"/>
      <c r="V220" s="3" t="n"/>
      <c r="W220" s="3" t="n"/>
      <c r="X220" s="3" t="n"/>
      <c r="Y220" s="4" t="inlineStr">
        <is>
          <t>INFO_10K_FY2021 p14</t>
        </is>
      </c>
    </row>
    <row r="221">
      <c r="A221" s="38" t="inlineStr">
        <is>
          <t>M&amp;T data coverage (printed)</t>
        </is>
      </c>
      <c r="B221" s="3" t="n"/>
      <c r="C221" s="3" t="n"/>
      <c r="D221" s="3" t="n"/>
      <c r="E221" s="3" t="n"/>
      <c r="F221" s="3" t="n"/>
      <c r="G221" s="3" t="n"/>
      <c r="H221" s="3" t="n"/>
      <c r="I221" s="42" t="inlineStr">
        <is>
          <t>more than 200,000 ships over 100 gross tons; monthly import/export statistics on more than 100 countries; tracking and forecasting approximately 96 percent of international trade by value</t>
        </is>
      </c>
      <c r="J221" s="3" t="n"/>
      <c r="K221" s="3" t="n"/>
      <c r="L221" s="3" t="n"/>
      <c r="M221" s="3" t="n"/>
      <c r="N221" s="3" t="n"/>
      <c r="O221" s="3" t="n"/>
      <c r="P221" s="3" t="n"/>
      <c r="Q221" s="3" t="n"/>
      <c r="R221" s="3" t="n"/>
      <c r="S221" s="3" t="n"/>
      <c r="T221" s="3" t="n"/>
      <c r="U221" s="3" t="n"/>
      <c r="V221" s="3" t="n"/>
      <c r="W221" s="3" t="n"/>
      <c r="X221" s="3" t="n"/>
      <c r="Y221" s="4" t="inlineStr">
        <is>
          <t>INFO_10K_FY2021 p14</t>
        </is>
      </c>
    </row>
    <row r="222">
      <c r="A222" s="38" t="inlineStr">
        <is>
          <t>Transportation competitors (printed)</t>
        </is>
      </c>
      <c r="B222" s="3" t="n"/>
      <c r="C222" s="3" t="n"/>
      <c r="D222" s="3" t="n"/>
      <c r="E222" s="3" t="n"/>
      <c r="F222" s="3" t="n"/>
      <c r="G222" s="3" t="n"/>
      <c r="H222" s="3" t="n"/>
      <c r="I222" s="42" t="inlineStr">
        <is>
          <t>Automotive: Experian, LMC Automotive, Urban Science, Auto Alert; used car listings: cars.com, Cox Enterprises, CarGurus; M&amp;T: Informa, Verisk, plus niche providers (Trade Data Monitor, Datamyne, Vortexa, Windward, Kpler).</t>
        </is>
      </c>
      <c r="J222" s="3" t="n"/>
      <c r="K222" s="3" t="n"/>
      <c r="L222" s="3" t="n"/>
      <c r="M222" s="3" t="n"/>
      <c r="N222" s="3" t="n"/>
      <c r="O222" s="3" t="n"/>
      <c r="P222" s="3" t="n"/>
      <c r="Q222" s="3" t="n"/>
      <c r="R222" s="3" t="n"/>
      <c r="S222" s="3" t="n"/>
      <c r="T222" s="3" t="n"/>
      <c r="U222" s="3" t="n"/>
      <c r="V222" s="3" t="n"/>
      <c r="W222" s="3" t="n"/>
      <c r="X222" s="3" t="n"/>
      <c r="Y222" s="4" t="inlineStr">
        <is>
          <t>INFO_10K_FY2021 p18</t>
        </is>
      </c>
    </row>
    <row r="223">
      <c r="A223" s="14" t="inlineStr">
        <is>
          <t>INFO_10K_FY2021 · MD&amp;A Revenue by Segment</t>
        </is>
      </c>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row>
    <row r="224">
      <c r="A224" s="39" t="inlineStr">
        <is>
          <t>Transportation</t>
        </is>
      </c>
      <c r="B224" s="3" t="n"/>
      <c r="C224" s="3" t="n"/>
      <c r="D224" s="3" t="n"/>
      <c r="E224" s="3" t="n"/>
      <c r="F224" s="3" t="n"/>
      <c r="G224" s="18" t="n">
        <v>1246.1</v>
      </c>
      <c r="H224" s="18" t="n">
        <v>1151.6</v>
      </c>
      <c r="I224" s="18" t="n">
        <v>1354.4</v>
      </c>
      <c r="J224" s="3" t="n"/>
      <c r="K224" s="3" t="n"/>
      <c r="L224" s="3" t="n"/>
      <c r="M224" s="3" t="n"/>
      <c r="N224" s="3" t="n"/>
      <c r="O224" s="3" t="n"/>
      <c r="P224" s="3" t="n"/>
      <c r="Q224" s="3" t="n"/>
      <c r="R224" s="3" t="n"/>
      <c r="S224" s="3" t="n"/>
      <c r="T224" s="3" t="n"/>
      <c r="U224" s="3" t="n"/>
      <c r="V224" s="3" t="n"/>
      <c r="W224" s="3" t="n"/>
      <c r="X224" s="3" t="n"/>
      <c r="Y224" s="4" t="inlineStr">
        <is>
          <t>INFO_10K_FY2021 p73</t>
        </is>
      </c>
    </row>
    <row r="225">
      <c r="A225" s="38" t="inlineStr">
        <is>
          <t>Transportation % Change (vs prior year)</t>
        </is>
      </c>
      <c r="B225" s="3" t="n"/>
      <c r="C225" s="3" t="n"/>
      <c r="D225" s="3" t="n"/>
      <c r="E225" s="3" t="n"/>
      <c r="F225" s="3" t="n"/>
      <c r="G225" s="3" t="n"/>
      <c r="H225" s="41" t="n">
        <v>-8</v>
      </c>
      <c r="I225" s="41" t="n">
        <v>18</v>
      </c>
      <c r="J225" s="3" t="n"/>
      <c r="K225" s="3" t="n"/>
      <c r="L225" s="3" t="n"/>
      <c r="M225" s="3" t="n"/>
      <c r="N225" s="3" t="n"/>
      <c r="O225" s="3" t="n"/>
      <c r="P225" s="3" t="n"/>
      <c r="Q225" s="3" t="n"/>
      <c r="R225" s="3" t="n"/>
      <c r="S225" s="3" t="n"/>
      <c r="T225" s="3" t="n"/>
      <c r="U225" s="3" t="n"/>
      <c r="V225" s="3" t="n"/>
      <c r="W225" s="3" t="n"/>
      <c r="X225" s="3" t="n"/>
      <c r="Y225" s="4" t="inlineStr">
        <is>
          <t>INFO_10K_FY2021 p73</t>
        </is>
      </c>
    </row>
    <row r="226">
      <c r="A226" s="38" t="inlineStr">
        <is>
          <t>Transportation as a percent of total revenue</t>
        </is>
      </c>
      <c r="B226" s="3" t="n"/>
      <c r="C226" s="3" t="n"/>
      <c r="D226" s="3" t="n"/>
      <c r="E226" s="3" t="n"/>
      <c r="F226" s="3" t="n"/>
      <c r="G226" s="41" t="n">
        <v>28</v>
      </c>
      <c r="H226" s="41" t="n">
        <v>27</v>
      </c>
      <c r="I226" s="41" t="n">
        <v>29</v>
      </c>
      <c r="J226" s="3" t="n"/>
      <c r="K226" s="3" t="n"/>
      <c r="L226" s="3" t="n"/>
      <c r="M226" s="3" t="n"/>
      <c r="N226" s="3" t="n"/>
      <c r="O226" s="3" t="n"/>
      <c r="P226" s="3" t="n"/>
      <c r="Q226" s="3" t="n"/>
      <c r="R226" s="3" t="n"/>
      <c r="S226" s="3" t="n"/>
      <c r="T226" s="3" t="n"/>
      <c r="U226" s="3" t="n"/>
      <c r="V226" s="3" t="n"/>
      <c r="W226" s="3" t="n"/>
      <c r="X226" s="3" t="n"/>
      <c r="Y226" s="4" t="inlineStr">
        <is>
          <t>INFO_10K_FY2021 p73</t>
        </is>
      </c>
    </row>
    <row r="227">
      <c r="A227" s="39" t="inlineStr">
        <is>
          <t>Total revenue (IHS Markit consolidated)</t>
        </is>
      </c>
      <c r="B227" s="3" t="n"/>
      <c r="C227" s="3" t="n"/>
      <c r="D227" s="3" t="n"/>
      <c r="E227" s="3" t="n"/>
      <c r="F227" s="3" t="n"/>
      <c r="G227" s="18" t="n">
        <v>4414.6</v>
      </c>
      <c r="H227" s="18" t="n">
        <v>4287.8</v>
      </c>
      <c r="I227" s="18" t="n">
        <v>4658.1</v>
      </c>
      <c r="J227" s="3" t="n"/>
      <c r="K227" s="3" t="n"/>
      <c r="L227" s="3" t="n"/>
      <c r="M227" s="3" t="n"/>
      <c r="N227" s="3" t="n"/>
      <c r="O227" s="3" t="n"/>
      <c r="P227" s="3" t="n"/>
      <c r="Q227" s="3" t="n"/>
      <c r="R227" s="3" t="n"/>
      <c r="S227" s="3" t="n"/>
      <c r="T227" s="3" t="n"/>
      <c r="U227" s="3" t="n"/>
      <c r="V227" s="3" t="n"/>
      <c r="W227" s="3" t="n"/>
      <c r="X227" s="3" t="n"/>
      <c r="Y227" s="4" t="inlineStr">
        <is>
          <t>INFO_10K_FY2021 p73</t>
        </is>
      </c>
    </row>
    <row r="228">
      <c r="A228" s="14" t="inlineStr">
        <is>
          <t>INFO_10K_FY2021 · MD&amp;A Revenue growth drivers (percentage points)</t>
        </is>
      </c>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row>
    <row r="229">
      <c r="A229" s="38" t="inlineStr">
        <is>
          <t>Transportation revenue - Organic</t>
        </is>
      </c>
      <c r="B229" s="3" t="n"/>
      <c r="C229" s="3" t="n"/>
      <c r="D229" s="3" t="n"/>
      <c r="E229" s="3" t="n"/>
      <c r="F229" s="3" t="n"/>
      <c r="G229" s="3" t="n"/>
      <c r="H229" s="41" t="n">
        <v>-2</v>
      </c>
      <c r="I229" s="41" t="n">
        <v>16</v>
      </c>
      <c r="J229" s="3" t="n"/>
      <c r="K229" s="3" t="n"/>
      <c r="L229" s="3" t="n"/>
      <c r="M229" s="3" t="n"/>
      <c r="N229" s="3" t="n"/>
      <c r="O229" s="3" t="n"/>
      <c r="P229" s="3" t="n"/>
      <c r="Q229" s="3" t="n"/>
      <c r="R229" s="3" t="n"/>
      <c r="S229" s="3" t="n"/>
      <c r="T229" s="3" t="n"/>
      <c r="U229" s="3" t="n"/>
      <c r="V229" s="3" t="n"/>
      <c r="W229" s="3" t="n"/>
      <c r="X229" s="3" t="n"/>
      <c r="Y229" s="4" t="inlineStr">
        <is>
          <t>INFO_10K_FY2021 p73</t>
        </is>
      </c>
    </row>
    <row r="230">
      <c r="A230" s="38" t="inlineStr">
        <is>
          <t>Transportation revenue - Acquisitive</t>
        </is>
      </c>
      <c r="B230" s="3" t="n"/>
      <c r="C230" s="3" t="n"/>
      <c r="D230" s="3" t="n"/>
      <c r="E230" s="3" t="n"/>
      <c r="F230" s="3" t="n"/>
      <c r="G230" s="3" t="n"/>
      <c r="H230" s="41" t="n">
        <v>-6</v>
      </c>
      <c r="I230" s="41" t="n">
        <v>0</v>
      </c>
      <c r="J230" s="3" t="n"/>
      <c r="K230" s="3" t="n"/>
      <c r="L230" s="3" t="n"/>
      <c r="M230" s="3" t="n"/>
      <c r="N230" s="3" t="n"/>
      <c r="O230" s="3" t="n"/>
      <c r="P230" s="3" t="n"/>
      <c r="Q230" s="3" t="n"/>
      <c r="R230" s="3" t="n"/>
      <c r="S230" s="3" t="n"/>
      <c r="T230" s="3" t="n"/>
      <c r="U230" s="3" t="n"/>
      <c r="V230" s="3" t="n"/>
      <c r="W230" s="3" t="n"/>
      <c r="X230" s="3" t="n"/>
      <c r="Y230" s="4" t="inlineStr">
        <is>
          <t>INFO_10K_FY2021 p73</t>
        </is>
      </c>
    </row>
    <row r="231">
      <c r="A231" s="38" t="inlineStr">
        <is>
          <t>Transportation revenue - Foreign Currency</t>
        </is>
      </c>
      <c r="B231" s="3" t="n"/>
      <c r="C231" s="3" t="n"/>
      <c r="D231" s="3" t="n"/>
      <c r="E231" s="3" t="n"/>
      <c r="F231" s="3" t="n"/>
      <c r="G231" s="3" t="n"/>
      <c r="H231" s="41" t="n">
        <v>0</v>
      </c>
      <c r="I231" s="41" t="n">
        <v>1</v>
      </c>
      <c r="J231" s="3" t="n"/>
      <c r="K231" s="3" t="n"/>
      <c r="L231" s="3" t="n"/>
      <c r="M231" s="3" t="n"/>
      <c r="N231" s="3" t="n"/>
      <c r="O231" s="3" t="n"/>
      <c r="P231" s="3" t="n"/>
      <c r="Q231" s="3" t="n"/>
      <c r="R231" s="3" t="n"/>
      <c r="S231" s="3" t="n"/>
      <c r="T231" s="3" t="n"/>
      <c r="U231" s="3" t="n"/>
      <c r="V231" s="3" t="n"/>
      <c r="W231" s="3" t="n"/>
      <c r="X231" s="3" t="n"/>
      <c r="Y231" s="4" t="inlineStr">
        <is>
          <t>INFO_10K_FY2021 p73</t>
        </is>
      </c>
    </row>
    <row r="232">
      <c r="A232" s="14" t="inlineStr">
        <is>
          <t>INFO_10K_FY2021 · MD&amp;A Revenue by Transaction Type (narrative)</t>
        </is>
      </c>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row>
    <row r="233">
      <c r="A233" s="38" t="inlineStr">
        <is>
          <t>Transportation recurring revenue organic growth</t>
        </is>
      </c>
      <c r="B233" s="3" t="n"/>
      <c r="C233" s="3" t="n"/>
      <c r="D233" s="3" t="n"/>
      <c r="E233" s="3" t="n"/>
      <c r="F233" s="3" t="n"/>
      <c r="G233" s="3" t="n"/>
      <c r="H233" s="41" t="n">
        <v>3</v>
      </c>
      <c r="I233" s="41" t="n">
        <v>18</v>
      </c>
      <c r="J233" s="3" t="n"/>
      <c r="K233" s="3" t="n"/>
      <c r="L233" s="3" t="n"/>
      <c r="M233" s="3" t="n"/>
      <c r="N233" s="3" t="n"/>
      <c r="O233" s="3" t="n"/>
      <c r="P233" s="3" t="n"/>
      <c r="Q233" s="3" t="n"/>
      <c r="R233" s="3" t="n"/>
      <c r="S233" s="3" t="n"/>
      <c r="T233" s="3" t="n"/>
      <c r="U233" s="3" t="n"/>
      <c r="V233" s="3" t="n"/>
      <c r="W233" s="3" t="n"/>
      <c r="X233" s="3" t="n"/>
      <c r="Y233" s="4" t="inlineStr">
        <is>
          <t>INFO_10K_FY2021 p75</t>
        </is>
      </c>
    </row>
    <row r="234">
      <c r="A234" s="14" t="inlineStr">
        <is>
          <t>INFO_10K_FY2021 · MD&amp;A Revenue by Segment (narrative)</t>
        </is>
      </c>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row>
    <row r="235">
      <c r="A235" s="38" t="inlineStr">
        <is>
          <t>Transportation narrative</t>
        </is>
      </c>
      <c r="B235" s="3" t="n"/>
      <c r="C235" s="3" t="n"/>
      <c r="D235" s="3" t="n"/>
      <c r="E235" s="3" t="n"/>
      <c r="F235" s="3" t="n"/>
      <c r="G235" s="3" t="n"/>
      <c r="H235" s="3" t="n"/>
      <c r="I235" s="42" t="inlineStr">
        <is>
          <t>2021 organic growth led by dealer-facing offerings (CARFAX, automotiveMastermind) rebounding from 2020; 2020 organic decline due to COVID-19 (temporary dealer price relief, paused new sales, cancellations) and lower recall and marketing non-recurring revenue.</t>
        </is>
      </c>
      <c r="J235" s="3" t="n"/>
      <c r="K235" s="3" t="n"/>
      <c r="L235" s="3" t="n"/>
      <c r="M235" s="3" t="n"/>
      <c r="N235" s="3" t="n"/>
      <c r="O235" s="3" t="n"/>
      <c r="P235" s="3" t="n"/>
      <c r="Q235" s="3" t="n"/>
      <c r="R235" s="3" t="n"/>
      <c r="S235" s="3" t="n"/>
      <c r="T235" s="3" t="n"/>
      <c r="U235" s="3" t="n"/>
      <c r="V235" s="3" t="n"/>
      <c r="W235" s="3" t="n"/>
      <c r="X235" s="3" t="n"/>
      <c r="Y235" s="4" t="inlineStr">
        <is>
          <t>INFO_10K_FY2021 p73</t>
        </is>
      </c>
    </row>
    <row r="236">
      <c r="A236" s="38" t="inlineStr">
        <is>
          <t>Transportation 2020 detail</t>
        </is>
      </c>
      <c r="B236" s="3" t="n"/>
      <c r="C236" s="3" t="n"/>
      <c r="D236" s="3" t="n"/>
      <c r="E236" s="3" t="n"/>
      <c r="F236" s="3" t="n"/>
      <c r="G236" s="3" t="n"/>
      <c r="H236" s="42" t="inlineStr">
        <is>
          <t>Q2 2020 dealer-facing revenue hit by temporary price relief for dealers, pause in new sales and cancellations from financially distressed customers; non-recurring Transportation organic revenue for 2020 declined significantly, primarily reflecting lower recall and marketing revenues.</t>
        </is>
      </c>
      <c r="I236" s="3" t="n"/>
      <c r="J236" s="3" t="n"/>
      <c r="K236" s="3" t="n"/>
      <c r="L236" s="3" t="n"/>
      <c r="M236" s="3" t="n"/>
      <c r="N236" s="3" t="n"/>
      <c r="O236" s="3" t="n"/>
      <c r="P236" s="3" t="n"/>
      <c r="Q236" s="3" t="n"/>
      <c r="R236" s="3" t="n"/>
      <c r="S236" s="3" t="n"/>
      <c r="T236" s="3" t="n"/>
      <c r="U236" s="3" t="n"/>
      <c r="V236" s="3" t="n"/>
      <c r="W236" s="3" t="n"/>
      <c r="X236" s="3" t="n"/>
      <c r="Y236" s="4" t="inlineStr">
        <is>
          <t>INFO_10K_FY2021 p73</t>
        </is>
      </c>
    </row>
    <row r="237">
      <c r="A237" s="14" t="inlineStr">
        <is>
          <t>INFO_10K_FY2021 · MD&amp;A Segment Adjusted EBITDA</t>
        </is>
      </c>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row>
    <row r="238">
      <c r="A238" s="39" t="inlineStr">
        <is>
          <t>Transportation Adjusted EBITDA</t>
        </is>
      </c>
      <c r="B238" s="3" t="n"/>
      <c r="C238" s="3" t="n"/>
      <c r="D238" s="3" t="n"/>
      <c r="E238" s="3" t="n"/>
      <c r="F238" s="3" t="n"/>
      <c r="G238" s="18" t="n">
        <v>520.9</v>
      </c>
      <c r="H238" s="18" t="n">
        <v>514.7</v>
      </c>
      <c r="I238" s="18" t="n">
        <v>645</v>
      </c>
      <c r="J238" s="3" t="n"/>
      <c r="K238" s="3" t="n"/>
      <c r="L238" s="3" t="n"/>
      <c r="M238" s="3" t="n"/>
      <c r="N238" s="3" t="n"/>
      <c r="O238" s="3" t="n"/>
      <c r="P238" s="3" t="n"/>
      <c r="Q238" s="3" t="n"/>
      <c r="R238" s="3" t="n"/>
      <c r="S238" s="3" t="n"/>
      <c r="T238" s="3" t="n"/>
      <c r="U238" s="3" t="n"/>
      <c r="V238" s="3" t="n"/>
      <c r="W238" s="3" t="n"/>
      <c r="X238" s="3" t="n"/>
      <c r="Y238" s="4" t="inlineStr">
        <is>
          <t>INFO_10K_FY2021 p79</t>
        </is>
      </c>
    </row>
    <row r="239">
      <c r="A239" s="38" t="inlineStr">
        <is>
          <t>Transportation Adjusted EBITDA % Change (vs prior year)</t>
        </is>
      </c>
      <c r="B239" s="3" t="n"/>
      <c r="C239" s="3" t="n"/>
      <c r="D239" s="3" t="n"/>
      <c r="E239" s="3" t="n"/>
      <c r="F239" s="3" t="n"/>
      <c r="G239" s="3" t="n"/>
      <c r="H239" s="41" t="n">
        <v>-1</v>
      </c>
      <c r="I239" s="41" t="n">
        <v>25</v>
      </c>
      <c r="J239" s="3" t="n"/>
      <c r="K239" s="3" t="n"/>
      <c r="L239" s="3" t="n"/>
      <c r="M239" s="3" t="n"/>
      <c r="N239" s="3" t="n"/>
      <c r="O239" s="3" t="n"/>
      <c r="P239" s="3" t="n"/>
      <c r="Q239" s="3" t="n"/>
      <c r="R239" s="3" t="n"/>
      <c r="S239" s="3" t="n"/>
      <c r="T239" s="3" t="n"/>
      <c r="U239" s="3" t="n"/>
      <c r="V239" s="3" t="n"/>
      <c r="W239" s="3" t="n"/>
      <c r="X239" s="3" t="n"/>
      <c r="Y239" s="4" t="inlineStr">
        <is>
          <t>INFO_10K_FY2021 p79</t>
        </is>
      </c>
    </row>
    <row r="240">
      <c r="A240" s="38" t="inlineStr">
        <is>
          <t>Transportation Adjusted EBITDA as a percent of segment revenue</t>
        </is>
      </c>
      <c r="B240" s="3" t="n"/>
      <c r="C240" s="3" t="n"/>
      <c r="D240" s="3" t="n"/>
      <c r="E240" s="3" t="n"/>
      <c r="F240" s="3" t="n"/>
      <c r="G240" s="41" t="n">
        <v>41.8</v>
      </c>
      <c r="H240" s="41" t="n">
        <v>44.7</v>
      </c>
      <c r="I240" s="41" t="n">
        <v>47.6</v>
      </c>
      <c r="J240" s="3" t="n"/>
      <c r="K240" s="3" t="n"/>
      <c r="L240" s="3" t="n"/>
      <c r="M240" s="3" t="n"/>
      <c r="N240" s="3" t="n"/>
      <c r="O240" s="3" t="n"/>
      <c r="P240" s="3" t="n"/>
      <c r="Q240" s="3" t="n"/>
      <c r="R240" s="3" t="n"/>
      <c r="S240" s="3" t="n"/>
      <c r="T240" s="3" t="n"/>
      <c r="U240" s="3" t="n"/>
      <c r="V240" s="3" t="n"/>
      <c r="W240" s="3" t="n"/>
      <c r="X240" s="3" t="n"/>
      <c r="Y240" s="4" t="inlineStr">
        <is>
          <t>INFO_10K_FY2021 p79</t>
        </is>
      </c>
    </row>
    <row r="241">
      <c r="A241" s="14" t="inlineStr">
        <is>
          <t>INFO_10K_FY2021 · MD&amp;A Segment Adjusted EBITDA (narrative)</t>
        </is>
      </c>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row>
    <row r="242">
      <c r="A242" s="38" t="inlineStr">
        <is>
          <t>Transportation Adjusted EBITDA narrative</t>
        </is>
      </c>
      <c r="B242" s="3" t="n"/>
      <c r="C242" s="3" t="n"/>
      <c r="D242" s="3" t="n"/>
      <c r="E242" s="3" t="n"/>
      <c r="F242" s="3" t="n"/>
      <c r="G242" s="3" t="n"/>
      <c r="H242" s="3" t="n"/>
      <c r="I242" s="42" t="inlineStr">
        <is>
          <t>2020 Adjusted EBITDA lower due to negative organic growth (COVID-19) and the Q1-2020 divestiture of the A&amp;D business line; margin increased on cost management.</t>
        </is>
      </c>
      <c r="J242" s="3" t="n"/>
      <c r="K242" s="3" t="n"/>
      <c r="L242" s="3" t="n"/>
      <c r="M242" s="3" t="n"/>
      <c r="N242" s="3" t="n"/>
      <c r="O242" s="3" t="n"/>
      <c r="P242" s="3" t="n"/>
      <c r="Q242" s="3" t="n"/>
      <c r="R242" s="3" t="n"/>
      <c r="S242" s="3" t="n"/>
      <c r="T242" s="3" t="n"/>
      <c r="U242" s="3" t="n"/>
      <c r="V242" s="3" t="n"/>
      <c r="W242" s="3" t="n"/>
      <c r="X242" s="3" t="n"/>
      <c r="Y242" s="4" t="inlineStr">
        <is>
          <t>INFO_10K_FY2021 p79</t>
        </is>
      </c>
    </row>
    <row r="243">
      <c r="A243" s="14" t="inlineStr">
        <is>
          <t>INFO_10K_FY2021 · Note 20 Segment Information</t>
        </is>
      </c>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row>
    <row r="244">
      <c r="A244" s="39" t="inlineStr">
        <is>
          <t>Revenue - Transportation</t>
        </is>
      </c>
      <c r="B244" s="3" t="n"/>
      <c r="C244" s="3" t="n"/>
      <c r="D244" s="3" t="n"/>
      <c r="E244" s="3" t="n"/>
      <c r="F244" s="3" t="n"/>
      <c r="G244" s="18" t="n">
        <v>1246.1</v>
      </c>
      <c r="H244" s="18" t="n">
        <v>1151.6</v>
      </c>
      <c r="I244" s="18" t="n">
        <v>1354.4</v>
      </c>
      <c r="J244" s="3" t="n"/>
      <c r="K244" s="3" t="n"/>
      <c r="L244" s="3" t="n"/>
      <c r="M244" s="3" t="n"/>
      <c r="N244" s="3" t="n"/>
      <c r="O244" s="3" t="n"/>
      <c r="P244" s="3" t="n"/>
      <c r="Q244" s="3" t="n"/>
      <c r="R244" s="3" t="n"/>
      <c r="S244" s="3" t="n"/>
      <c r="T244" s="3" t="n"/>
      <c r="U244" s="3" t="n"/>
      <c r="V244" s="3" t="n"/>
      <c r="W244" s="3" t="n"/>
      <c r="X244" s="3" t="n"/>
      <c r="Y244" s="4" t="inlineStr">
        <is>
          <t>INFO_10K_FY2021 p138</t>
        </is>
      </c>
    </row>
    <row r="245">
      <c r="A245" s="39" t="inlineStr">
        <is>
          <t>Adjusted EBITDA - Transportation</t>
        </is>
      </c>
      <c r="B245" s="3" t="n"/>
      <c r="C245" s="3" t="n"/>
      <c r="D245" s="3" t="n"/>
      <c r="E245" s="3" t="n"/>
      <c r="F245" s="3" t="n"/>
      <c r="G245" s="18" t="n">
        <v>520.9</v>
      </c>
      <c r="H245" s="18" t="n">
        <v>514.7</v>
      </c>
      <c r="I245" s="18" t="n">
        <v>645</v>
      </c>
      <c r="J245" s="3" t="n"/>
      <c r="K245" s="3" t="n"/>
      <c r="L245" s="3" t="n"/>
      <c r="M245" s="3" t="n"/>
      <c r="N245" s="3" t="n"/>
      <c r="O245" s="3" t="n"/>
      <c r="P245" s="3" t="n"/>
      <c r="Q245" s="3" t="n"/>
      <c r="R245" s="3" t="n"/>
      <c r="S245" s="3" t="n"/>
      <c r="T245" s="3" t="n"/>
      <c r="U245" s="3" t="n"/>
      <c r="V245" s="3" t="n"/>
      <c r="W245" s="3" t="n"/>
      <c r="X245" s="3" t="n"/>
      <c r="Y245" s="4" t="inlineStr">
        <is>
          <t>INFO_10K_FY2021 p138</t>
        </is>
      </c>
    </row>
    <row r="246">
      <c r="A246" s="38" t="inlineStr">
        <is>
          <t>Major customers</t>
        </is>
      </c>
      <c r="B246" s="3" t="n"/>
      <c r="C246" s="3" t="n"/>
      <c r="D246" s="3" t="n"/>
      <c r="E246" s="3" t="n"/>
      <c r="F246" s="3" t="n"/>
      <c r="G246" s="3" t="n"/>
      <c r="H246" s="3" t="n"/>
      <c r="I246" s="42" t="inlineStr">
        <is>
          <t>No single customer accounted for 10 percent or more of total revenue for 2021, 2020 or 2019; no material inter-segment revenues.</t>
        </is>
      </c>
      <c r="J246" s="3" t="n"/>
      <c r="K246" s="3" t="n"/>
      <c r="L246" s="3" t="n"/>
      <c r="M246" s="3" t="n"/>
      <c r="N246" s="3" t="n"/>
      <c r="O246" s="3" t="n"/>
      <c r="P246" s="3" t="n"/>
      <c r="Q246" s="3" t="n"/>
      <c r="R246" s="3" t="n"/>
      <c r="S246" s="3" t="n"/>
      <c r="T246" s="3" t="n"/>
      <c r="U246" s="3" t="n"/>
      <c r="V246" s="3" t="n"/>
      <c r="W246" s="3" t="n"/>
      <c r="X246" s="3" t="n"/>
      <c r="Y246" s="4" t="inlineStr">
        <is>
          <t>INFO_10K_FY2021 p138</t>
        </is>
      </c>
    </row>
    <row r="247">
      <c r="A247" s="14" t="inlineStr">
        <is>
          <t>INFO_10K_FY2021 · Note 20 Total assets by segment</t>
        </is>
      </c>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row>
    <row r="248">
      <c r="A248" s="38" t="inlineStr">
        <is>
          <t>Total Assets - Transportation</t>
        </is>
      </c>
      <c r="B248" s="3" t="n"/>
      <c r="C248" s="3" t="n"/>
      <c r="D248" s="3" t="n"/>
      <c r="E248" s="3" t="n"/>
      <c r="F248" s="3" t="n"/>
      <c r="G248" s="3" t="n"/>
      <c r="H248" s="30" t="n">
        <v>3000.3</v>
      </c>
      <c r="I248" s="30" t="n">
        <v>2999.6</v>
      </c>
      <c r="J248" s="3" t="n"/>
      <c r="K248" s="3" t="n"/>
      <c r="L248" s="3" t="n"/>
      <c r="M248" s="3" t="n"/>
      <c r="N248" s="3" t="n"/>
      <c r="O248" s="3" t="n"/>
      <c r="P248" s="3" t="n"/>
      <c r="Q248" s="3" t="n"/>
      <c r="R248" s="3" t="n"/>
      <c r="S248" s="3" t="n"/>
      <c r="T248" s="3" t="n"/>
      <c r="U248" s="3" t="n"/>
      <c r="V248" s="3" t="n"/>
      <c r="W248" s="3" t="n"/>
      <c r="X248" s="3" t="n"/>
      <c r="Y248" s="4" t="inlineStr">
        <is>
          <t>INFO_10K_FY2021 p139</t>
        </is>
      </c>
    </row>
    <row r="249">
      <c r="A249" s="39" t="inlineStr">
        <is>
          <t>Total assets</t>
        </is>
      </c>
      <c r="B249" s="3" t="n"/>
      <c r="C249" s="3" t="n"/>
      <c r="D249" s="3" t="n"/>
      <c r="E249" s="3" t="n"/>
      <c r="F249" s="3" t="n"/>
      <c r="G249" s="3" t="n"/>
      <c r="H249" s="18" t="n">
        <v>16135.2</v>
      </c>
      <c r="I249" s="18" t="n">
        <v>16913.9</v>
      </c>
      <c r="J249" s="3" t="n"/>
      <c r="K249" s="3" t="n"/>
      <c r="L249" s="3" t="n"/>
      <c r="M249" s="3" t="n"/>
      <c r="N249" s="3" t="n"/>
      <c r="O249" s="3" t="n"/>
      <c r="P249" s="3" t="n"/>
      <c r="Q249" s="3" t="n"/>
      <c r="R249" s="3" t="n"/>
      <c r="S249" s="3" t="n"/>
      <c r="T249" s="3" t="n"/>
      <c r="U249" s="3" t="n"/>
      <c r="V249" s="3" t="n"/>
      <c r="W249" s="3" t="n"/>
      <c r="X249" s="3" t="n"/>
      <c r="Y249" s="4" t="inlineStr">
        <is>
          <t>INFO_10K_FY2021 p139</t>
        </is>
      </c>
    </row>
    <row r="250">
      <c r="A250" s="14" t="inlineStr">
        <is>
          <t>INFO_10K_FY2021 · Note 20 Goodwill activity</t>
        </is>
      </c>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row>
    <row r="251">
      <c r="A251" s="38" t="inlineStr">
        <is>
          <t>Goodwill - Transportation - Balance at November 30</t>
        </is>
      </c>
      <c r="B251" s="3" t="n"/>
      <c r="C251" s="3" t="n"/>
      <c r="D251" s="3" t="n"/>
      <c r="E251" s="3" t="n"/>
      <c r="F251" s="3" t="n"/>
      <c r="G251" s="30" t="n">
        <v>1953.1</v>
      </c>
      <c r="H251" s="30" t="n">
        <v>1961.2</v>
      </c>
      <c r="I251" s="30" t="n">
        <v>1964</v>
      </c>
      <c r="J251" s="3" t="n"/>
      <c r="K251" s="3" t="n"/>
      <c r="L251" s="3" t="n"/>
      <c r="M251" s="3" t="n"/>
      <c r="N251" s="3" t="n"/>
      <c r="O251" s="3" t="n"/>
      <c r="P251" s="3" t="n"/>
      <c r="Q251" s="3" t="n"/>
      <c r="R251" s="3" t="n"/>
      <c r="S251" s="3" t="n"/>
      <c r="T251" s="3" t="n"/>
      <c r="U251" s="3" t="n"/>
      <c r="V251" s="3" t="n"/>
      <c r="W251" s="3" t="n"/>
      <c r="X251" s="3" t="n"/>
      <c r="Y251" s="4" t="inlineStr">
        <is>
          <t>INFO_10K_FY2021 p139</t>
        </is>
      </c>
    </row>
    <row r="252">
      <c r="A252" s="38" t="inlineStr">
        <is>
          <t>Goodwill - Transportation - Foreign currency translation</t>
        </is>
      </c>
      <c r="B252" s="3" t="n"/>
      <c r="C252" s="3" t="n"/>
      <c r="D252" s="3" t="n"/>
      <c r="E252" s="3" t="n"/>
      <c r="F252" s="3" t="n"/>
      <c r="G252" s="3" t="n"/>
      <c r="H252" s="30" t="n">
        <v>8.1</v>
      </c>
      <c r="I252" s="30" t="n">
        <v>2.8</v>
      </c>
      <c r="J252" s="3" t="n"/>
      <c r="K252" s="3" t="n"/>
      <c r="L252" s="3" t="n"/>
      <c r="M252" s="3" t="n"/>
      <c r="N252" s="3" t="n"/>
      <c r="O252" s="3" t="n"/>
      <c r="P252" s="3" t="n"/>
      <c r="Q252" s="3" t="n"/>
      <c r="R252" s="3" t="n"/>
      <c r="S252" s="3" t="n"/>
      <c r="T252" s="3" t="n"/>
      <c r="U252" s="3" t="n"/>
      <c r="V252" s="3" t="n"/>
      <c r="W252" s="3" t="n"/>
      <c r="X252" s="3" t="n"/>
      <c r="Y252" s="4" t="inlineStr">
        <is>
          <t>INFO_10K_FY2021 p139</t>
        </is>
      </c>
    </row>
    <row r="253">
      <c r="A253" s="14" t="inlineStr">
        <is>
          <t>INFO_10K_FY2020 · Item 1 Transportation segment description</t>
        </is>
      </c>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row>
    <row r="254">
      <c r="A254" s="38" t="inlineStr">
        <is>
          <t>Segment description (summary)</t>
        </is>
      </c>
      <c r="B254" s="3" t="n"/>
      <c r="C254" s="3" t="n"/>
      <c r="D254" s="3" t="n"/>
      <c r="E254" s="3" t="n"/>
      <c r="F254" s="3" t="n"/>
      <c r="G254" s="3" t="n"/>
      <c r="H254" s="42" t="inlineStr">
        <is>
          <t>Transportation = Automotive offerings (more than 90 percent of segment revenue for 2020) plus Maritime &amp; Trade (balance). A&amp;D business line divested December 2, 2019 (Q1 FY2020).</t>
        </is>
      </c>
      <c r="I254" s="3" t="n"/>
      <c r="J254" s="3" t="n"/>
      <c r="K254" s="3" t="n"/>
      <c r="L254" s="3" t="n"/>
      <c r="M254" s="3" t="n"/>
      <c r="N254" s="3" t="n"/>
      <c r="O254" s="3" t="n"/>
      <c r="P254" s="3" t="n"/>
      <c r="Q254" s="3" t="n"/>
      <c r="R254" s="3" t="n"/>
      <c r="S254" s="3" t="n"/>
      <c r="T254" s="3" t="n"/>
      <c r="U254" s="3" t="n"/>
      <c r="V254" s="3" t="n"/>
      <c r="W254" s="3" t="n"/>
      <c r="X254" s="3" t="n"/>
      <c r="Y254" s="4" t="inlineStr">
        <is>
          <t>INFO_10K_FY2020 p12</t>
        </is>
      </c>
    </row>
    <row r="255">
      <c r="A255" s="38" t="inlineStr">
        <is>
          <t>Automotive offerings share of segment revenue (printed as "more than 90 percent")</t>
        </is>
      </c>
      <c r="B255" s="3" t="n"/>
      <c r="C255" s="3" t="n"/>
      <c r="D255" s="3" t="n"/>
      <c r="E255" s="3" t="n"/>
      <c r="F255" s="3" t="n"/>
      <c r="G255" s="3" t="n"/>
      <c r="H255" s="42" t="inlineStr">
        <is>
          <t>more than 90 percent</t>
        </is>
      </c>
      <c r="I255" s="3" t="n"/>
      <c r="J255" s="3" t="n"/>
      <c r="K255" s="3" t="n"/>
      <c r="L255" s="3" t="n"/>
      <c r="M255" s="3" t="n"/>
      <c r="N255" s="3" t="n"/>
      <c r="O255" s="3" t="n"/>
      <c r="P255" s="3" t="n"/>
      <c r="Q255" s="3" t="n"/>
      <c r="R255" s="3" t="n"/>
      <c r="S255" s="3" t="n"/>
      <c r="T255" s="3" t="n"/>
      <c r="U255" s="3" t="n"/>
      <c r="V255" s="3" t="n"/>
      <c r="W255" s="3" t="n"/>
      <c r="X255" s="3" t="n"/>
      <c r="Y255" s="4" t="inlineStr">
        <is>
          <t>INFO_10K_FY2020 p12</t>
        </is>
      </c>
    </row>
    <row r="256">
      <c r="A256" s="38" t="inlineStr">
        <is>
          <t>CARFAX data scale (printed)</t>
        </is>
      </c>
      <c r="B256" s="3" t="n"/>
      <c r="C256" s="3" t="n"/>
      <c r="D256" s="3" t="n"/>
      <c r="E256" s="3" t="n"/>
      <c r="F256" s="3" t="n"/>
      <c r="G256" s="3" t="n"/>
      <c r="H256" s="42" t="inlineStr">
        <is>
          <t>CARFAX vehicle history based on more than 25 billion records collected from more than 112,000 data sources</t>
        </is>
      </c>
      <c r="I256" s="3" t="n"/>
      <c r="J256" s="3" t="n"/>
      <c r="K256" s="3" t="n"/>
      <c r="L256" s="3" t="n"/>
      <c r="M256" s="3" t="n"/>
      <c r="N256" s="3" t="n"/>
      <c r="O256" s="3" t="n"/>
      <c r="P256" s="3" t="n"/>
      <c r="Q256" s="3" t="n"/>
      <c r="R256" s="3" t="n"/>
      <c r="S256" s="3" t="n"/>
      <c r="T256" s="3" t="n"/>
      <c r="U256" s="3" t="n"/>
      <c r="V256" s="3" t="n"/>
      <c r="W256" s="3" t="n"/>
      <c r="X256" s="3" t="n"/>
      <c r="Y256" s="4" t="inlineStr">
        <is>
          <t>INFO_10K_FY2020 p14</t>
        </is>
      </c>
    </row>
    <row r="257">
      <c r="A257" s="38" t="inlineStr">
        <is>
          <t>Forecast database coverage of global light vehicle sales and production (percent)</t>
        </is>
      </c>
      <c r="B257" s="3" t="n"/>
      <c r="C257" s="3" t="n"/>
      <c r="D257" s="3" t="n"/>
      <c r="E257" s="3" t="n"/>
      <c r="F257" s="3" t="n"/>
      <c r="G257" s="3" t="n"/>
      <c r="H257" s="41" t="n">
        <v>99</v>
      </c>
      <c r="I257" s="3" t="n"/>
      <c r="J257" s="3" t="n"/>
      <c r="K257" s="3" t="n"/>
      <c r="L257" s="3" t="n"/>
      <c r="M257" s="3" t="n"/>
      <c r="N257" s="3" t="n"/>
      <c r="O257" s="3" t="n"/>
      <c r="P257" s="3" t="n"/>
      <c r="Q257" s="3" t="n"/>
      <c r="R257" s="3" t="n"/>
      <c r="S257" s="3" t="n"/>
      <c r="T257" s="3" t="n"/>
      <c r="U257" s="3" t="n"/>
      <c r="V257" s="3" t="n"/>
      <c r="W257" s="3" t="n"/>
      <c r="X257" s="3" t="n"/>
      <c r="Y257" s="4" t="inlineStr">
        <is>
          <t>INFO_10K_FY2020 p12</t>
        </is>
      </c>
    </row>
    <row r="258">
      <c r="A258" s="38" t="inlineStr">
        <is>
          <t>Unique vehicle model variants forecast (more than)</t>
        </is>
      </c>
      <c r="B258" s="3" t="n"/>
      <c r="C258" s="3" t="n"/>
      <c r="D258" s="3" t="n"/>
      <c r="E258" s="3" t="n"/>
      <c r="F258" s="3" t="n"/>
      <c r="G258" s="3" t="n"/>
      <c r="H258" s="40" t="n">
        <v>50000</v>
      </c>
      <c r="I258" s="3" t="n"/>
      <c r="J258" s="3" t="n"/>
      <c r="K258" s="3" t="n"/>
      <c r="L258" s="3" t="n"/>
      <c r="M258" s="3" t="n"/>
      <c r="N258" s="3" t="n"/>
      <c r="O258" s="3" t="n"/>
      <c r="P258" s="3" t="n"/>
      <c r="Q258" s="3" t="n"/>
      <c r="R258" s="3" t="n"/>
      <c r="S258" s="3" t="n"/>
      <c r="T258" s="3" t="n"/>
      <c r="U258" s="3" t="n"/>
      <c r="V258" s="3" t="n"/>
      <c r="W258" s="3" t="n"/>
      <c r="X258" s="3" t="n"/>
      <c r="Y258" s="4" t="inlineStr">
        <is>
          <t>INFO_10K_FY2020 p12</t>
        </is>
      </c>
    </row>
    <row r="259">
      <c r="A259" s="38" t="inlineStr">
        <is>
          <t>Vehicle systems, sub-systems and components forecast (more than)</t>
        </is>
      </c>
      <c r="B259" s="3" t="n"/>
      <c r="C259" s="3" t="n"/>
      <c r="D259" s="3" t="n"/>
      <c r="E259" s="3" t="n"/>
      <c r="F259" s="3" t="n"/>
      <c r="G259" s="3" t="n"/>
      <c r="H259" s="40" t="n">
        <v>100</v>
      </c>
      <c r="I259" s="3" t="n"/>
      <c r="J259" s="3" t="n"/>
      <c r="K259" s="3" t="n"/>
      <c r="L259" s="3" t="n"/>
      <c r="M259" s="3" t="n"/>
      <c r="N259" s="3" t="n"/>
      <c r="O259" s="3" t="n"/>
      <c r="P259" s="3" t="n"/>
      <c r="Q259" s="3" t="n"/>
      <c r="R259" s="3" t="n"/>
      <c r="S259" s="3" t="n"/>
      <c r="T259" s="3" t="n"/>
      <c r="U259" s="3" t="n"/>
      <c r="V259" s="3" t="n"/>
      <c r="W259" s="3" t="n"/>
      <c r="X259" s="3" t="n"/>
      <c r="Y259" s="4" t="inlineStr">
        <is>
          <t>INFO_10K_FY2020 p12</t>
        </is>
      </c>
    </row>
    <row r="260">
      <c r="A260" s="38" t="inlineStr">
        <is>
          <t>U.S. sales and marketing database - ownership records (more than, billions)</t>
        </is>
      </c>
      <c r="B260" s="3" t="n"/>
      <c r="C260" s="3" t="n"/>
      <c r="D260" s="3" t="n"/>
      <c r="E260" s="3" t="n"/>
      <c r="F260" s="3" t="n"/>
      <c r="G260" s="3" t="n"/>
      <c r="H260" s="40" t="n">
        <v>7</v>
      </c>
      <c r="I260" s="3" t="n"/>
      <c r="J260" s="3" t="n"/>
      <c r="K260" s="3" t="n"/>
      <c r="L260" s="3" t="n"/>
      <c r="M260" s="3" t="n"/>
      <c r="N260" s="3" t="n"/>
      <c r="O260" s="3" t="n"/>
      <c r="P260" s="3" t="n"/>
      <c r="Q260" s="3" t="n"/>
      <c r="R260" s="3" t="n"/>
      <c r="S260" s="3" t="n"/>
      <c r="T260" s="3" t="n"/>
      <c r="U260" s="3" t="n"/>
      <c r="V260" s="3" t="n"/>
      <c r="W260" s="3" t="n"/>
      <c r="X260" s="3" t="n"/>
      <c r="Y260" s="4" t="inlineStr">
        <is>
          <t>INFO_10K_FY2020 p13</t>
        </is>
      </c>
    </row>
    <row r="261">
      <c r="A261" s="38" t="inlineStr">
        <is>
          <t>U.S. ownership database coverage (printed)</t>
        </is>
      </c>
      <c r="B261" s="3" t="n"/>
      <c r="C261" s="3" t="n"/>
      <c r="D261" s="3" t="n"/>
      <c r="E261" s="3" t="n"/>
      <c r="F261" s="3" t="n"/>
      <c r="G261" s="3" t="n"/>
      <c r="H261" s="42" t="inlineStr">
        <is>
          <t>covering 760 million vehicles and more than 240 million U.S. households over a period of 25 years</t>
        </is>
      </c>
      <c r="I261" s="3" t="n"/>
      <c r="J261" s="3" t="n"/>
      <c r="K261" s="3" t="n"/>
      <c r="L261" s="3" t="n"/>
      <c r="M261" s="3" t="n"/>
      <c r="N261" s="3" t="n"/>
      <c r="O261" s="3" t="n"/>
      <c r="P261" s="3" t="n"/>
      <c r="Q261" s="3" t="n"/>
      <c r="R261" s="3" t="n"/>
      <c r="S261" s="3" t="n"/>
      <c r="T261" s="3" t="n"/>
      <c r="U261" s="3" t="n"/>
      <c r="V261" s="3" t="n"/>
      <c r="W261" s="3" t="n"/>
      <c r="X261" s="3" t="n"/>
      <c r="Y261" s="4" t="inlineStr">
        <is>
          <t>INFO_10K_FY2020 p13</t>
        </is>
      </c>
    </row>
    <row r="262">
      <c r="A262" s="38" t="inlineStr">
        <is>
          <t>M&amp;T data coverage (printed)</t>
        </is>
      </c>
      <c r="B262" s="3" t="n"/>
      <c r="C262" s="3" t="n"/>
      <c r="D262" s="3" t="n"/>
      <c r="E262" s="3" t="n"/>
      <c r="F262" s="3" t="n"/>
      <c r="G262" s="3" t="n"/>
      <c r="H262" s="42" t="inlineStr">
        <is>
          <t>more than 200,000 ships over 100 gross tons; monthly import/export statistics on 102 countries; tracking and forecasting approximately 96 percent of international trade by value</t>
        </is>
      </c>
      <c r="I262" s="3" t="n"/>
      <c r="J262" s="3" t="n"/>
      <c r="K262" s="3" t="n"/>
      <c r="L262" s="3" t="n"/>
      <c r="M262" s="3" t="n"/>
      <c r="N262" s="3" t="n"/>
      <c r="O262" s="3" t="n"/>
      <c r="P262" s="3" t="n"/>
      <c r="Q262" s="3" t="n"/>
      <c r="R262" s="3" t="n"/>
      <c r="S262" s="3" t="n"/>
      <c r="T262" s="3" t="n"/>
      <c r="U262" s="3" t="n"/>
      <c r="V262" s="3" t="n"/>
      <c r="W262" s="3" t="n"/>
      <c r="X262" s="3" t="n"/>
      <c r="Y262" s="4" t="inlineStr">
        <is>
          <t>INFO_10K_FY2020 p14</t>
        </is>
      </c>
    </row>
    <row r="263">
      <c r="A263" s="14" t="inlineStr">
        <is>
          <t>INFO_10K_FY2020 · MD&amp;A Revenue by Segment</t>
        </is>
      </c>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row>
    <row r="264">
      <c r="A264" s="39" t="inlineStr">
        <is>
          <t>Transportation</t>
        </is>
      </c>
      <c r="B264" s="3" t="n"/>
      <c r="C264" s="3" t="n"/>
      <c r="D264" s="3" t="n"/>
      <c r="E264" s="3" t="n"/>
      <c r="F264" s="18" t="n">
        <v>1160.2</v>
      </c>
      <c r="G264" s="18" t="n">
        <v>1246.1</v>
      </c>
      <c r="H264" s="18" t="n">
        <v>1151.6</v>
      </c>
      <c r="I264" s="3" t="n"/>
      <c r="J264" s="3" t="n"/>
      <c r="K264" s="3" t="n"/>
      <c r="L264" s="3" t="n"/>
      <c r="M264" s="3" t="n"/>
      <c r="N264" s="3" t="n"/>
      <c r="O264" s="3" t="n"/>
      <c r="P264" s="3" t="n"/>
      <c r="Q264" s="3" t="n"/>
      <c r="R264" s="3" t="n"/>
      <c r="S264" s="3" t="n"/>
      <c r="T264" s="3" t="n"/>
      <c r="U264" s="3" t="n"/>
      <c r="V264" s="3" t="n"/>
      <c r="W264" s="3" t="n"/>
      <c r="X264" s="3" t="n"/>
      <c r="Y264" s="4" t="inlineStr">
        <is>
          <t>INFO_10K_FY2020 p78</t>
        </is>
      </c>
    </row>
    <row r="265">
      <c r="A265" s="38" t="inlineStr">
        <is>
          <t>Transportation % Change (vs prior year)</t>
        </is>
      </c>
      <c r="B265" s="3" t="n"/>
      <c r="C265" s="3" t="n"/>
      <c r="D265" s="3" t="n"/>
      <c r="E265" s="3" t="n"/>
      <c r="F265" s="3" t="n"/>
      <c r="G265" s="41" t="n">
        <v>7</v>
      </c>
      <c r="H265" s="41" t="n">
        <v>-8</v>
      </c>
      <c r="I265" s="3" t="n"/>
      <c r="J265" s="3" t="n"/>
      <c r="K265" s="3" t="n"/>
      <c r="L265" s="3" t="n"/>
      <c r="M265" s="3" t="n"/>
      <c r="N265" s="3" t="n"/>
      <c r="O265" s="3" t="n"/>
      <c r="P265" s="3" t="n"/>
      <c r="Q265" s="3" t="n"/>
      <c r="R265" s="3" t="n"/>
      <c r="S265" s="3" t="n"/>
      <c r="T265" s="3" t="n"/>
      <c r="U265" s="3" t="n"/>
      <c r="V265" s="3" t="n"/>
      <c r="W265" s="3" t="n"/>
      <c r="X265" s="3" t="n"/>
      <c r="Y265" s="4" t="inlineStr">
        <is>
          <t>INFO_10K_FY2020 p78</t>
        </is>
      </c>
    </row>
    <row r="266">
      <c r="A266" s="38" t="inlineStr">
        <is>
          <t>Transportation as a percent of total revenue</t>
        </is>
      </c>
      <c r="B266" s="3" t="n"/>
      <c r="C266" s="3" t="n"/>
      <c r="D266" s="3" t="n"/>
      <c r="E266" s="3" t="n"/>
      <c r="F266" s="41" t="n">
        <v>29</v>
      </c>
      <c r="G266" s="41" t="n">
        <v>28</v>
      </c>
      <c r="H266" s="41" t="n">
        <v>27</v>
      </c>
      <c r="I266" s="3" t="n"/>
      <c r="J266" s="3" t="n"/>
      <c r="K266" s="3" t="n"/>
      <c r="L266" s="3" t="n"/>
      <c r="M266" s="3" t="n"/>
      <c r="N266" s="3" t="n"/>
      <c r="O266" s="3" t="n"/>
      <c r="P266" s="3" t="n"/>
      <c r="Q266" s="3" t="n"/>
      <c r="R266" s="3" t="n"/>
      <c r="S266" s="3" t="n"/>
      <c r="T266" s="3" t="n"/>
      <c r="U266" s="3" t="n"/>
      <c r="V266" s="3" t="n"/>
      <c r="W266" s="3" t="n"/>
      <c r="X266" s="3" t="n"/>
      <c r="Y266" s="4" t="inlineStr">
        <is>
          <t>INFO_10K_FY2020 p78</t>
        </is>
      </c>
    </row>
    <row r="267">
      <c r="A267" s="39" t="inlineStr">
        <is>
          <t>Total revenue (IHS Markit consolidated)</t>
        </is>
      </c>
      <c r="B267" s="3" t="n"/>
      <c r="C267" s="3" t="n"/>
      <c r="D267" s="3" t="n"/>
      <c r="E267" s="3" t="n"/>
      <c r="F267" s="18" t="n">
        <v>4009.2</v>
      </c>
      <c r="G267" s="18" t="n">
        <v>4414.6</v>
      </c>
      <c r="H267" s="18" t="n">
        <v>4287.8</v>
      </c>
      <c r="I267" s="3" t="n"/>
      <c r="J267" s="3" t="n"/>
      <c r="K267" s="3" t="n"/>
      <c r="L267" s="3" t="n"/>
      <c r="M267" s="3" t="n"/>
      <c r="N267" s="3" t="n"/>
      <c r="O267" s="3" t="n"/>
      <c r="P267" s="3" t="n"/>
      <c r="Q267" s="3" t="n"/>
      <c r="R267" s="3" t="n"/>
      <c r="S267" s="3" t="n"/>
      <c r="T267" s="3" t="n"/>
      <c r="U267" s="3" t="n"/>
      <c r="V267" s="3" t="n"/>
      <c r="W267" s="3" t="n"/>
      <c r="X267" s="3" t="n"/>
      <c r="Y267" s="4" t="inlineStr">
        <is>
          <t>INFO_10K_FY2020 p78</t>
        </is>
      </c>
    </row>
    <row r="268">
      <c r="A268" s="14" t="inlineStr">
        <is>
          <t>INFO_10K_FY2020 · MD&amp;A Revenue growth drivers (percentage points)</t>
        </is>
      </c>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row>
    <row r="269">
      <c r="A269" s="38" t="inlineStr">
        <is>
          <t>Transportation revenue - Organic</t>
        </is>
      </c>
      <c r="B269" s="3" t="n"/>
      <c r="C269" s="3" t="n"/>
      <c r="D269" s="3" t="n"/>
      <c r="E269" s="3" t="n"/>
      <c r="F269" s="3" t="n"/>
      <c r="G269" s="41" t="n">
        <v>8</v>
      </c>
      <c r="H269" s="41" t="n">
        <v>-2</v>
      </c>
      <c r="I269" s="3" t="n"/>
      <c r="J269" s="3" t="n"/>
      <c r="K269" s="3" t="n"/>
      <c r="L269" s="3" t="n"/>
      <c r="M269" s="3" t="n"/>
      <c r="N269" s="3" t="n"/>
      <c r="O269" s="3" t="n"/>
      <c r="P269" s="3" t="n"/>
      <c r="Q269" s="3" t="n"/>
      <c r="R269" s="3" t="n"/>
      <c r="S269" s="3" t="n"/>
      <c r="T269" s="3" t="n"/>
      <c r="U269" s="3" t="n"/>
      <c r="V269" s="3" t="n"/>
      <c r="W269" s="3" t="n"/>
      <c r="X269" s="3" t="n"/>
      <c r="Y269" s="4" t="inlineStr">
        <is>
          <t>INFO_10K_FY2020 p78</t>
        </is>
      </c>
    </row>
    <row r="270">
      <c r="A270" s="38" t="inlineStr">
        <is>
          <t>Transportation revenue - Acquisitive</t>
        </is>
      </c>
      <c r="B270" s="3" t="n"/>
      <c r="C270" s="3" t="n"/>
      <c r="D270" s="3" t="n"/>
      <c r="E270" s="3" t="n"/>
      <c r="F270" s="3" t="n"/>
      <c r="G270" s="41" t="n">
        <v>0</v>
      </c>
      <c r="H270" s="41" t="n">
        <v>-6</v>
      </c>
      <c r="I270" s="3" t="n"/>
      <c r="J270" s="3" t="n"/>
      <c r="K270" s="3" t="n"/>
      <c r="L270" s="3" t="n"/>
      <c r="M270" s="3" t="n"/>
      <c r="N270" s="3" t="n"/>
      <c r="O270" s="3" t="n"/>
      <c r="P270" s="3" t="n"/>
      <c r="Q270" s="3" t="n"/>
      <c r="R270" s="3" t="n"/>
      <c r="S270" s="3" t="n"/>
      <c r="T270" s="3" t="n"/>
      <c r="U270" s="3" t="n"/>
      <c r="V270" s="3" t="n"/>
      <c r="W270" s="3" t="n"/>
      <c r="X270" s="3" t="n"/>
      <c r="Y270" s="4" t="inlineStr">
        <is>
          <t>INFO_10K_FY2020 p78</t>
        </is>
      </c>
    </row>
    <row r="271">
      <c r="A271" s="38" t="inlineStr">
        <is>
          <t>Transportation revenue - Foreign Currency</t>
        </is>
      </c>
      <c r="B271" s="3" t="n"/>
      <c r="C271" s="3" t="n"/>
      <c r="D271" s="3" t="n"/>
      <c r="E271" s="3" t="n"/>
      <c r="F271" s="3" t="n"/>
      <c r="G271" s="41" t="n">
        <v>-1</v>
      </c>
      <c r="H271" s="41" t="n">
        <v>0</v>
      </c>
      <c r="I271" s="3" t="n"/>
      <c r="J271" s="3" t="n"/>
      <c r="K271" s="3" t="n"/>
      <c r="L271" s="3" t="n"/>
      <c r="M271" s="3" t="n"/>
      <c r="N271" s="3" t="n"/>
      <c r="O271" s="3" t="n"/>
      <c r="P271" s="3" t="n"/>
      <c r="Q271" s="3" t="n"/>
      <c r="R271" s="3" t="n"/>
      <c r="S271" s="3" t="n"/>
      <c r="T271" s="3" t="n"/>
      <c r="U271" s="3" t="n"/>
      <c r="V271" s="3" t="n"/>
      <c r="W271" s="3" t="n"/>
      <c r="X271" s="3" t="n"/>
      <c r="Y271" s="4" t="inlineStr">
        <is>
          <t>INFO_10K_FY2020 p78</t>
        </is>
      </c>
    </row>
    <row r="272">
      <c r="A272" s="14" t="inlineStr">
        <is>
          <t>INFO_10K_FY2020 · MD&amp;A Revenue by Transaction Type (narrative)</t>
        </is>
      </c>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row>
    <row r="273">
      <c r="A273" s="38" t="inlineStr">
        <is>
          <t>Transportation recurring revenue organic growth</t>
        </is>
      </c>
      <c r="B273" s="3" t="n"/>
      <c r="C273" s="3" t="n"/>
      <c r="D273" s="3" t="n"/>
      <c r="E273" s="3" t="n"/>
      <c r="F273" s="3" t="n"/>
      <c r="G273" s="41" t="n">
        <v>10</v>
      </c>
      <c r="H273" s="41" t="n">
        <v>3</v>
      </c>
      <c r="I273" s="3" t="n"/>
      <c r="J273" s="3" t="n"/>
      <c r="K273" s="3" t="n"/>
      <c r="L273" s="3" t="n"/>
      <c r="M273" s="3" t="n"/>
      <c r="N273" s="3" t="n"/>
      <c r="O273" s="3" t="n"/>
      <c r="P273" s="3" t="n"/>
      <c r="Q273" s="3" t="n"/>
      <c r="R273" s="3" t="n"/>
      <c r="S273" s="3" t="n"/>
      <c r="T273" s="3" t="n"/>
      <c r="U273" s="3" t="n"/>
      <c r="V273" s="3" t="n"/>
      <c r="W273" s="3" t="n"/>
      <c r="X273" s="3" t="n"/>
      <c r="Y273" s="4" t="inlineStr">
        <is>
          <t>INFO_10K_FY2020 p80</t>
        </is>
      </c>
    </row>
    <row r="274">
      <c r="A274" s="14" t="inlineStr">
        <is>
          <t>INFO_10K_FY2020 · MD&amp;A Revenue by Segment (narrative)</t>
        </is>
      </c>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row>
    <row r="275">
      <c r="A275" s="38" t="inlineStr">
        <is>
          <t>Transportation narrative</t>
        </is>
      </c>
      <c r="B275" s="3" t="n"/>
      <c r="C275" s="3" t="n"/>
      <c r="D275" s="3" t="n"/>
      <c r="E275" s="3" t="n"/>
      <c r="F275" s="3" t="n"/>
      <c r="G275" s="3" t="n"/>
      <c r="H275" s="42" t="inlineStr">
        <is>
          <t>2020 organic decline from COVID-19 (dealer price relief, paused sales, cancellations; non-recurring recall and marketing revenue down significantly); A&amp;D divestiture in Q1-2020 accounted for the 6 percent acquisitive decline.</t>
        </is>
      </c>
      <c r="I275" s="3" t="n"/>
      <c r="J275" s="3" t="n"/>
      <c r="K275" s="3" t="n"/>
      <c r="L275" s="3" t="n"/>
      <c r="M275" s="3" t="n"/>
      <c r="N275" s="3" t="n"/>
      <c r="O275" s="3" t="n"/>
      <c r="P275" s="3" t="n"/>
      <c r="Q275" s="3" t="n"/>
      <c r="R275" s="3" t="n"/>
      <c r="S275" s="3" t="n"/>
      <c r="T275" s="3" t="n"/>
      <c r="U275" s="3" t="n"/>
      <c r="V275" s="3" t="n"/>
      <c r="W275" s="3" t="n"/>
      <c r="X275" s="3" t="n"/>
      <c r="Y275" s="4" t="inlineStr">
        <is>
          <t>INFO_10K_FY2020 p78</t>
        </is>
      </c>
    </row>
    <row r="276">
      <c r="A276" s="38" t="inlineStr">
        <is>
          <t>Transportation 2020 detail</t>
        </is>
      </c>
      <c r="B276" s="3" t="n"/>
      <c r="C276" s="3" t="n"/>
      <c r="D276" s="3" t="n"/>
      <c r="E276" s="3" t="n"/>
      <c r="F276" s="3" t="n"/>
      <c r="G276" s="3" t="n"/>
      <c r="H276" s="42" t="inlineStr">
        <is>
          <t>Dealer-facing revenue hit in Q2 2020 (price relief, pause in new sales, cancellations) with positive organic growth in that portion in H2 2020; non-recurring Transportation organic revenue declined significantly on lower recall and marketing revenues; A&amp;D divestiture accounted for the 6 percent acquisitive decline.</t>
        </is>
      </c>
      <c r="I276" s="3" t="n"/>
      <c r="J276" s="3" t="n"/>
      <c r="K276" s="3" t="n"/>
      <c r="L276" s="3" t="n"/>
      <c r="M276" s="3" t="n"/>
      <c r="N276" s="3" t="n"/>
      <c r="O276" s="3" t="n"/>
      <c r="P276" s="3" t="n"/>
      <c r="Q276" s="3" t="n"/>
      <c r="R276" s="3" t="n"/>
      <c r="S276" s="3" t="n"/>
      <c r="T276" s="3" t="n"/>
      <c r="U276" s="3" t="n"/>
      <c r="V276" s="3" t="n"/>
      <c r="W276" s="3" t="n"/>
      <c r="X276" s="3" t="n"/>
      <c r="Y276" s="4" t="inlineStr">
        <is>
          <t>INFO_10K_FY2020 p78</t>
        </is>
      </c>
    </row>
    <row r="277">
      <c r="A277" s="14" t="inlineStr">
        <is>
          <t>INFO_10K_FY2020 · MD&amp;A Segment Adjusted EBITDA</t>
        </is>
      </c>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row>
    <row r="278">
      <c r="A278" s="39" t="inlineStr">
        <is>
          <t>Transportation Adjusted EBITDA</t>
        </is>
      </c>
      <c r="B278" s="3" t="n"/>
      <c r="C278" s="3" t="n"/>
      <c r="D278" s="3" t="n"/>
      <c r="E278" s="3" t="n"/>
      <c r="F278" s="18" t="n">
        <v>479.3</v>
      </c>
      <c r="G278" s="18" t="n">
        <v>520.9</v>
      </c>
      <c r="H278" s="18" t="n">
        <v>514.7</v>
      </c>
      <c r="I278" s="3" t="n"/>
      <c r="J278" s="3" t="n"/>
      <c r="K278" s="3" t="n"/>
      <c r="L278" s="3" t="n"/>
      <c r="M278" s="3" t="n"/>
      <c r="N278" s="3" t="n"/>
      <c r="O278" s="3" t="n"/>
      <c r="P278" s="3" t="n"/>
      <c r="Q278" s="3" t="n"/>
      <c r="R278" s="3" t="n"/>
      <c r="S278" s="3" t="n"/>
      <c r="T278" s="3" t="n"/>
      <c r="U278" s="3" t="n"/>
      <c r="V278" s="3" t="n"/>
      <c r="W278" s="3" t="n"/>
      <c r="X278" s="3" t="n"/>
      <c r="Y278" s="4" t="inlineStr">
        <is>
          <t>INFO_10K_FY2020 p84</t>
        </is>
      </c>
    </row>
    <row r="279">
      <c r="A279" s="38" t="inlineStr">
        <is>
          <t>Transportation Adjusted EBITDA % Change (vs prior year)</t>
        </is>
      </c>
      <c r="B279" s="3" t="n"/>
      <c r="C279" s="3" t="n"/>
      <c r="D279" s="3" t="n"/>
      <c r="E279" s="3" t="n"/>
      <c r="F279" s="3" t="n"/>
      <c r="G279" s="41" t="n">
        <v>9</v>
      </c>
      <c r="H279" s="41" t="n">
        <v>-1</v>
      </c>
      <c r="I279" s="3" t="n"/>
      <c r="J279" s="3" t="n"/>
      <c r="K279" s="3" t="n"/>
      <c r="L279" s="3" t="n"/>
      <c r="M279" s="3" t="n"/>
      <c r="N279" s="3" t="n"/>
      <c r="O279" s="3" t="n"/>
      <c r="P279" s="3" t="n"/>
      <c r="Q279" s="3" t="n"/>
      <c r="R279" s="3" t="n"/>
      <c r="S279" s="3" t="n"/>
      <c r="T279" s="3" t="n"/>
      <c r="U279" s="3" t="n"/>
      <c r="V279" s="3" t="n"/>
      <c r="W279" s="3" t="n"/>
      <c r="X279" s="3" t="n"/>
      <c r="Y279" s="4" t="inlineStr">
        <is>
          <t>INFO_10K_FY2020 p84</t>
        </is>
      </c>
    </row>
    <row r="280">
      <c r="A280" s="38" t="inlineStr">
        <is>
          <t>Transportation Adjusted EBITDA as a percent of segment revenue</t>
        </is>
      </c>
      <c r="B280" s="3" t="n"/>
      <c r="C280" s="3" t="n"/>
      <c r="D280" s="3" t="n"/>
      <c r="E280" s="3" t="n"/>
      <c r="F280" s="41" t="n">
        <v>41.3</v>
      </c>
      <c r="G280" s="41" t="n">
        <v>41.8</v>
      </c>
      <c r="H280" s="41" t="n">
        <v>44.7</v>
      </c>
      <c r="I280" s="3" t="n"/>
      <c r="J280" s="3" t="n"/>
      <c r="K280" s="3" t="n"/>
      <c r="L280" s="3" t="n"/>
      <c r="M280" s="3" t="n"/>
      <c r="N280" s="3" t="n"/>
      <c r="O280" s="3" t="n"/>
      <c r="P280" s="3" t="n"/>
      <c r="Q280" s="3" t="n"/>
      <c r="R280" s="3" t="n"/>
      <c r="S280" s="3" t="n"/>
      <c r="T280" s="3" t="n"/>
      <c r="U280" s="3" t="n"/>
      <c r="V280" s="3" t="n"/>
      <c r="W280" s="3" t="n"/>
      <c r="X280" s="3" t="n"/>
      <c r="Y280" s="4" t="inlineStr">
        <is>
          <t>INFO_10K_FY2020 p84</t>
        </is>
      </c>
    </row>
    <row r="281">
      <c r="A281" s="14" t="inlineStr">
        <is>
          <t>INFO_10K_FY2020 · Note Segment Information</t>
        </is>
      </c>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row>
    <row r="282">
      <c r="A282" s="39" t="inlineStr">
        <is>
          <t>Revenue - Transportation</t>
        </is>
      </c>
      <c r="B282" s="3" t="n"/>
      <c r="C282" s="3" t="n"/>
      <c r="D282" s="3" t="n"/>
      <c r="E282" s="3" t="n"/>
      <c r="F282" s="18" t="n">
        <v>1160.2</v>
      </c>
      <c r="G282" s="18" t="n">
        <v>1246.1</v>
      </c>
      <c r="H282" s="18" t="n">
        <v>1151.6</v>
      </c>
      <c r="I282" s="3" t="n"/>
      <c r="J282" s="3" t="n"/>
      <c r="K282" s="3" t="n"/>
      <c r="L282" s="3" t="n"/>
      <c r="M282" s="3" t="n"/>
      <c r="N282" s="3" t="n"/>
      <c r="O282" s="3" t="n"/>
      <c r="P282" s="3" t="n"/>
      <c r="Q282" s="3" t="n"/>
      <c r="R282" s="3" t="n"/>
      <c r="S282" s="3" t="n"/>
      <c r="T282" s="3" t="n"/>
      <c r="U282" s="3" t="n"/>
      <c r="V282" s="3" t="n"/>
      <c r="W282" s="3" t="n"/>
      <c r="X282" s="3" t="n"/>
      <c r="Y282" s="4" t="inlineStr">
        <is>
          <t>INFO_10K_FY2020 p145</t>
        </is>
      </c>
    </row>
    <row r="283">
      <c r="A283" s="39" t="inlineStr">
        <is>
          <t>Adjusted EBITDA - Transportation</t>
        </is>
      </c>
      <c r="B283" s="3" t="n"/>
      <c r="C283" s="3" t="n"/>
      <c r="D283" s="3" t="n"/>
      <c r="E283" s="3" t="n"/>
      <c r="F283" s="18" t="n">
        <v>479.3</v>
      </c>
      <c r="G283" s="18" t="n">
        <v>520.9</v>
      </c>
      <c r="H283" s="18" t="n">
        <v>514.7</v>
      </c>
      <c r="I283" s="3" t="n"/>
      <c r="J283" s="3" t="n"/>
      <c r="K283" s="3" t="n"/>
      <c r="L283" s="3" t="n"/>
      <c r="M283" s="3" t="n"/>
      <c r="N283" s="3" t="n"/>
      <c r="O283" s="3" t="n"/>
      <c r="P283" s="3" t="n"/>
      <c r="Q283" s="3" t="n"/>
      <c r="R283" s="3" t="n"/>
      <c r="S283" s="3" t="n"/>
      <c r="T283" s="3" t="n"/>
      <c r="U283" s="3" t="n"/>
      <c r="V283" s="3" t="n"/>
      <c r="W283" s="3" t="n"/>
      <c r="X283" s="3" t="n"/>
      <c r="Y283" s="4" t="inlineStr">
        <is>
          <t>INFO_10K_FY2020 p145</t>
        </is>
      </c>
    </row>
    <row r="284">
      <c r="A284" s="14" t="inlineStr">
        <is>
          <t>INFO_10K_FY2020 · Note Total assets by segment</t>
        </is>
      </c>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row>
    <row r="285">
      <c r="A285" s="38" t="inlineStr">
        <is>
          <t>Total Assets - Transportation</t>
        </is>
      </c>
      <c r="B285" s="3" t="n"/>
      <c r="C285" s="3" t="n"/>
      <c r="D285" s="3" t="n"/>
      <c r="E285" s="3" t="n"/>
      <c r="F285" s="3" t="n"/>
      <c r="G285" s="30" t="n">
        <v>3018.2</v>
      </c>
      <c r="H285" s="30" t="n">
        <v>3000.3</v>
      </c>
      <c r="I285" s="3" t="n"/>
      <c r="J285" s="3" t="n"/>
      <c r="K285" s="3" t="n"/>
      <c r="L285" s="3" t="n"/>
      <c r="M285" s="3" t="n"/>
      <c r="N285" s="3" t="n"/>
      <c r="O285" s="3" t="n"/>
      <c r="P285" s="3" t="n"/>
      <c r="Q285" s="3" t="n"/>
      <c r="R285" s="3" t="n"/>
      <c r="S285" s="3" t="n"/>
      <c r="T285" s="3" t="n"/>
      <c r="U285" s="3" t="n"/>
      <c r="V285" s="3" t="n"/>
      <c r="W285" s="3" t="n"/>
      <c r="X285" s="3" t="n"/>
      <c r="Y285" s="4" t="inlineStr">
        <is>
          <t>INFO_10K_FY2020 p146</t>
        </is>
      </c>
    </row>
    <row r="286">
      <c r="A286" s="14" t="inlineStr">
        <is>
          <t>INFO_10K_FY2020 · Note Goodwill activity</t>
        </is>
      </c>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row>
    <row r="287">
      <c r="A287" s="38" t="inlineStr">
        <is>
          <t>Goodwill - Transportation - Balance at November 30</t>
        </is>
      </c>
      <c r="B287" s="3" t="n"/>
      <c r="C287" s="3" t="n"/>
      <c r="D287" s="3" t="n"/>
      <c r="E287" s="3" t="n"/>
      <c r="F287" s="30" t="n">
        <v>2031.6</v>
      </c>
      <c r="G287" s="30" t="n">
        <v>1953.1</v>
      </c>
      <c r="H287" s="30" t="n">
        <v>1961.2</v>
      </c>
      <c r="I287" s="3" t="n"/>
      <c r="J287" s="3" t="n"/>
      <c r="K287" s="3" t="n"/>
      <c r="L287" s="3" t="n"/>
      <c r="M287" s="3" t="n"/>
      <c r="N287" s="3" t="n"/>
      <c r="O287" s="3" t="n"/>
      <c r="P287" s="3" t="n"/>
      <c r="Q287" s="3" t="n"/>
      <c r="R287" s="3" t="n"/>
      <c r="S287" s="3" t="n"/>
      <c r="T287" s="3" t="n"/>
      <c r="U287" s="3" t="n"/>
      <c r="V287" s="3" t="n"/>
      <c r="W287" s="3" t="n"/>
      <c r="X287" s="3" t="n"/>
      <c r="Y287" s="4" t="inlineStr">
        <is>
          <t>INFO_10K_FY2020 p146</t>
        </is>
      </c>
    </row>
    <row r="288">
      <c r="A288" s="38" t="inlineStr">
        <is>
          <t>Goodwill - Transportation - Acquisitions</t>
        </is>
      </c>
      <c r="B288" s="3" t="n"/>
      <c r="C288" s="3" t="n"/>
      <c r="D288" s="3" t="n"/>
      <c r="E288" s="3" t="n"/>
      <c r="F288" s="3" t="n"/>
      <c r="G288" s="30" t="n">
        <v>9</v>
      </c>
      <c r="H288" s="3" t="n"/>
      <c r="I288" s="3" t="n"/>
      <c r="J288" s="3" t="n"/>
      <c r="K288" s="3" t="n"/>
      <c r="L288" s="3" t="n"/>
      <c r="M288" s="3" t="n"/>
      <c r="N288" s="3" t="n"/>
      <c r="O288" s="3" t="n"/>
      <c r="P288" s="3" t="n"/>
      <c r="Q288" s="3" t="n"/>
      <c r="R288" s="3" t="n"/>
      <c r="S288" s="3" t="n"/>
      <c r="T288" s="3" t="n"/>
      <c r="U288" s="3" t="n"/>
      <c r="V288" s="3" t="n"/>
      <c r="W288" s="3" t="n"/>
      <c r="X288" s="3" t="n"/>
      <c r="Y288" s="4" t="inlineStr">
        <is>
          <t>INFO_10K_FY2020 p146</t>
        </is>
      </c>
    </row>
    <row r="289">
      <c r="A289" s="38" t="inlineStr">
        <is>
          <t>Goodwill - Transportation - Reclassification to assets held for sale (A&amp;D)</t>
        </is>
      </c>
      <c r="B289" s="3" t="n"/>
      <c r="C289" s="3" t="n"/>
      <c r="D289" s="3" t="n"/>
      <c r="E289" s="3" t="n"/>
      <c r="F289" s="3" t="n"/>
      <c r="G289" s="30" t="n">
        <v>-87.7</v>
      </c>
      <c r="H289" s="3" t="n"/>
      <c r="I289" s="3" t="n"/>
      <c r="J289" s="3" t="n"/>
      <c r="K289" s="3" t="n"/>
      <c r="L289" s="3" t="n"/>
      <c r="M289" s="3" t="n"/>
      <c r="N289" s="3" t="n"/>
      <c r="O289" s="3" t="n"/>
      <c r="P289" s="3" t="n"/>
      <c r="Q289" s="3" t="n"/>
      <c r="R289" s="3" t="n"/>
      <c r="S289" s="3" t="n"/>
      <c r="T289" s="3" t="n"/>
      <c r="U289" s="3" t="n"/>
      <c r="V289" s="3" t="n"/>
      <c r="W289" s="3" t="n"/>
      <c r="X289" s="3" t="n"/>
      <c r="Y289" s="4" t="inlineStr">
        <is>
          <t>INFO_10K_FY2020 p146</t>
        </is>
      </c>
    </row>
    <row r="290">
      <c r="A290" s="38" t="inlineStr">
        <is>
          <t>Goodwill - Transportation - Foreign currency translation</t>
        </is>
      </c>
      <c r="B290" s="3" t="n"/>
      <c r="C290" s="3" t="n"/>
      <c r="D290" s="3" t="n"/>
      <c r="E290" s="3" t="n"/>
      <c r="F290" s="3" t="n"/>
      <c r="G290" s="30" t="n">
        <v>0.2</v>
      </c>
      <c r="H290" s="30" t="n">
        <v>8.1</v>
      </c>
      <c r="I290" s="3" t="n"/>
      <c r="J290" s="3" t="n"/>
      <c r="K290" s="3" t="n"/>
      <c r="L290" s="3" t="n"/>
      <c r="M290" s="3" t="n"/>
      <c r="N290" s="3" t="n"/>
      <c r="O290" s="3" t="n"/>
      <c r="P290" s="3" t="n"/>
      <c r="Q290" s="3" t="n"/>
      <c r="R290" s="3" t="n"/>
      <c r="S290" s="3" t="n"/>
      <c r="T290" s="3" t="n"/>
      <c r="U290" s="3" t="n"/>
      <c r="V290" s="3" t="n"/>
      <c r="W290" s="3" t="n"/>
      <c r="X290" s="3" t="n"/>
      <c r="Y290" s="4" t="inlineStr">
        <is>
          <t>INFO_10K_FY2020 p146</t>
        </is>
      </c>
    </row>
    <row r="291">
      <c r="A291" s="14" t="inlineStr">
        <is>
          <t>INFO_10K_FY2019 · Item 1 Transportation segment description</t>
        </is>
      </c>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row>
    <row r="292">
      <c r="A292" s="38" t="inlineStr">
        <is>
          <t>Segment description (summary)</t>
        </is>
      </c>
      <c r="B292" s="3" t="n"/>
      <c r="C292" s="3" t="n"/>
      <c r="D292" s="3" t="n"/>
      <c r="E292" s="3" t="n"/>
      <c r="F292" s="3" t="n"/>
      <c r="G292" s="42" t="inlineStr">
        <is>
          <t>Transportation = Automotive (approximately 85 percent of segment revenue for 2019), Maritime &amp; Trade, and the recently divested Aerospace &amp; Defense offerings. Automotive: new-car forecasts, Polk-heritage marketing/recall data (more than 7bn US ownership records), automotiveMastermind, CARFAX used-car products.</t>
        </is>
      </c>
      <c r="H292" s="3" t="n"/>
      <c r="I292" s="3" t="n"/>
      <c r="J292" s="3" t="n"/>
      <c r="K292" s="3" t="n"/>
      <c r="L292" s="3" t="n"/>
      <c r="M292" s="3" t="n"/>
      <c r="N292" s="3" t="n"/>
      <c r="O292" s="3" t="n"/>
      <c r="P292" s="3" t="n"/>
      <c r="Q292" s="3" t="n"/>
      <c r="R292" s="3" t="n"/>
      <c r="S292" s="3" t="n"/>
      <c r="T292" s="3" t="n"/>
      <c r="U292" s="3" t="n"/>
      <c r="V292" s="3" t="n"/>
      <c r="W292" s="3" t="n"/>
      <c r="X292" s="3" t="n"/>
      <c r="Y292" s="4" t="inlineStr">
        <is>
          <t>INFO_10K_FY2019 p9</t>
        </is>
      </c>
    </row>
    <row r="293">
      <c r="A293" s="38" t="inlineStr">
        <is>
          <t>Automotive offerings share of segment revenue (approximately)</t>
        </is>
      </c>
      <c r="B293" s="3" t="n"/>
      <c r="C293" s="3" t="n"/>
      <c r="D293" s="3" t="n"/>
      <c r="E293" s="3" t="n"/>
      <c r="F293" s="3" t="n"/>
      <c r="G293" s="41" t="n">
        <v>85</v>
      </c>
      <c r="H293" s="3" t="n"/>
      <c r="I293" s="3" t="n"/>
      <c r="J293" s="3" t="n"/>
      <c r="K293" s="3" t="n"/>
      <c r="L293" s="3" t="n"/>
      <c r="M293" s="3" t="n"/>
      <c r="N293" s="3" t="n"/>
      <c r="O293" s="3" t="n"/>
      <c r="P293" s="3" t="n"/>
      <c r="Q293" s="3" t="n"/>
      <c r="R293" s="3" t="n"/>
      <c r="S293" s="3" t="n"/>
      <c r="T293" s="3" t="n"/>
      <c r="U293" s="3" t="n"/>
      <c r="V293" s="3" t="n"/>
      <c r="W293" s="3" t="n"/>
      <c r="X293" s="3" t="n"/>
      <c r="Y293" s="4" t="inlineStr">
        <is>
          <t>INFO_10K_FY2019 p9</t>
        </is>
      </c>
    </row>
    <row r="294">
      <c r="A294" s="38" t="inlineStr">
        <is>
          <t>CARFAX data scale (printed)</t>
        </is>
      </c>
      <c r="B294" s="3" t="n"/>
      <c r="C294" s="3" t="n"/>
      <c r="D294" s="3" t="n"/>
      <c r="E294" s="3" t="n"/>
      <c r="F294" s="3" t="n"/>
      <c r="G294" s="42" t="inlineStr">
        <is>
          <t>CARFAX vehicle history based on more than 23 billion records collected from more than 112,000 data sources</t>
        </is>
      </c>
      <c r="H294" s="3" t="n"/>
      <c r="I294" s="3" t="n"/>
      <c r="J294" s="3" t="n"/>
      <c r="K294" s="3" t="n"/>
      <c r="L294" s="3" t="n"/>
      <c r="M294" s="3" t="n"/>
      <c r="N294" s="3" t="n"/>
      <c r="O294" s="3" t="n"/>
      <c r="P294" s="3" t="n"/>
      <c r="Q294" s="3" t="n"/>
      <c r="R294" s="3" t="n"/>
      <c r="S294" s="3" t="n"/>
      <c r="T294" s="3" t="n"/>
      <c r="U294" s="3" t="n"/>
      <c r="V294" s="3" t="n"/>
      <c r="W294" s="3" t="n"/>
      <c r="X294" s="3" t="n"/>
      <c r="Y294" s="4" t="inlineStr">
        <is>
          <t>INFO_10K_FY2019 p10</t>
        </is>
      </c>
    </row>
    <row r="295">
      <c r="A295" s="38" t="inlineStr">
        <is>
          <t>Forecast database coverage of global light vehicle sales and production (percent)</t>
        </is>
      </c>
      <c r="B295" s="3" t="n"/>
      <c r="C295" s="3" t="n"/>
      <c r="D295" s="3" t="n"/>
      <c r="E295" s="3" t="n"/>
      <c r="F295" s="3" t="n"/>
      <c r="G295" s="41" t="n">
        <v>99</v>
      </c>
      <c r="H295" s="3" t="n"/>
      <c r="I295" s="3" t="n"/>
      <c r="J295" s="3" t="n"/>
      <c r="K295" s="3" t="n"/>
      <c r="L295" s="3" t="n"/>
      <c r="M295" s="3" t="n"/>
      <c r="N295" s="3" t="n"/>
      <c r="O295" s="3" t="n"/>
      <c r="P295" s="3" t="n"/>
      <c r="Q295" s="3" t="n"/>
      <c r="R295" s="3" t="n"/>
      <c r="S295" s="3" t="n"/>
      <c r="T295" s="3" t="n"/>
      <c r="U295" s="3" t="n"/>
      <c r="V295" s="3" t="n"/>
      <c r="W295" s="3" t="n"/>
      <c r="X295" s="3" t="n"/>
      <c r="Y295" s="4" t="inlineStr">
        <is>
          <t>INFO_10K_FY2019 p10</t>
        </is>
      </c>
    </row>
    <row r="296">
      <c r="A296" s="38" t="inlineStr">
        <is>
          <t>Unique vehicle model variants forecast (more than)</t>
        </is>
      </c>
      <c r="B296" s="3" t="n"/>
      <c r="C296" s="3" t="n"/>
      <c r="D296" s="3" t="n"/>
      <c r="E296" s="3" t="n"/>
      <c r="F296" s="3" t="n"/>
      <c r="G296" s="40" t="n">
        <v>50000</v>
      </c>
      <c r="H296" s="3" t="n"/>
      <c r="I296" s="3" t="n"/>
      <c r="J296" s="3" t="n"/>
      <c r="K296" s="3" t="n"/>
      <c r="L296" s="3" t="n"/>
      <c r="M296" s="3" t="n"/>
      <c r="N296" s="3" t="n"/>
      <c r="O296" s="3" t="n"/>
      <c r="P296" s="3" t="n"/>
      <c r="Q296" s="3" t="n"/>
      <c r="R296" s="3" t="n"/>
      <c r="S296" s="3" t="n"/>
      <c r="T296" s="3" t="n"/>
      <c r="U296" s="3" t="n"/>
      <c r="V296" s="3" t="n"/>
      <c r="W296" s="3" t="n"/>
      <c r="X296" s="3" t="n"/>
      <c r="Y296" s="4" t="inlineStr">
        <is>
          <t>INFO_10K_FY2019 p10</t>
        </is>
      </c>
    </row>
    <row r="297">
      <c r="A297" s="38" t="inlineStr">
        <is>
          <t>Vehicle systems, sub-systems and components forecast (more than)</t>
        </is>
      </c>
      <c r="B297" s="3" t="n"/>
      <c r="C297" s="3" t="n"/>
      <c r="D297" s="3" t="n"/>
      <c r="E297" s="3" t="n"/>
      <c r="F297" s="3" t="n"/>
      <c r="G297" s="40" t="n">
        <v>100</v>
      </c>
      <c r="H297" s="3" t="n"/>
      <c r="I297" s="3" t="n"/>
      <c r="J297" s="3" t="n"/>
      <c r="K297" s="3" t="n"/>
      <c r="L297" s="3" t="n"/>
      <c r="M297" s="3" t="n"/>
      <c r="N297" s="3" t="n"/>
      <c r="O297" s="3" t="n"/>
      <c r="P297" s="3" t="n"/>
      <c r="Q297" s="3" t="n"/>
      <c r="R297" s="3" t="n"/>
      <c r="S297" s="3" t="n"/>
      <c r="T297" s="3" t="n"/>
      <c r="U297" s="3" t="n"/>
      <c r="V297" s="3" t="n"/>
      <c r="W297" s="3" t="n"/>
      <c r="X297" s="3" t="n"/>
      <c r="Y297" s="4" t="inlineStr">
        <is>
          <t>INFO_10K_FY2019 p10</t>
        </is>
      </c>
    </row>
    <row r="298">
      <c r="A298" s="38" t="inlineStr">
        <is>
          <t>U.S. sales and marketing database - ownership records (more than, billions)</t>
        </is>
      </c>
      <c r="B298" s="3" t="n"/>
      <c r="C298" s="3" t="n"/>
      <c r="D298" s="3" t="n"/>
      <c r="E298" s="3" t="n"/>
      <c r="F298" s="3" t="n"/>
      <c r="G298" s="40" t="n">
        <v>7</v>
      </c>
      <c r="H298" s="3" t="n"/>
      <c r="I298" s="3" t="n"/>
      <c r="J298" s="3" t="n"/>
      <c r="K298" s="3" t="n"/>
      <c r="L298" s="3" t="n"/>
      <c r="M298" s="3" t="n"/>
      <c r="N298" s="3" t="n"/>
      <c r="O298" s="3" t="n"/>
      <c r="P298" s="3" t="n"/>
      <c r="Q298" s="3" t="n"/>
      <c r="R298" s="3" t="n"/>
      <c r="S298" s="3" t="n"/>
      <c r="T298" s="3" t="n"/>
      <c r="U298" s="3" t="n"/>
      <c r="V298" s="3" t="n"/>
      <c r="W298" s="3" t="n"/>
      <c r="X298" s="3" t="n"/>
      <c r="Y298" s="4" t="inlineStr">
        <is>
          <t>INFO_10K_FY2019 p10</t>
        </is>
      </c>
    </row>
    <row r="299">
      <c r="A299" s="38" t="inlineStr">
        <is>
          <t>U.S. ownership database coverage (printed)</t>
        </is>
      </c>
      <c r="B299" s="3" t="n"/>
      <c r="C299" s="3" t="n"/>
      <c r="D299" s="3" t="n"/>
      <c r="E299" s="3" t="n"/>
      <c r="F299" s="3" t="n"/>
      <c r="G299" s="42" t="inlineStr">
        <is>
          <t>covering 760 million vehicles and more than 240 million U.S. households over a period of 25 years</t>
        </is>
      </c>
      <c r="H299" s="3" t="n"/>
      <c r="I299" s="3" t="n"/>
      <c r="J299" s="3" t="n"/>
      <c r="K299" s="3" t="n"/>
      <c r="L299" s="3" t="n"/>
      <c r="M299" s="3" t="n"/>
      <c r="N299" s="3" t="n"/>
      <c r="O299" s="3" t="n"/>
      <c r="P299" s="3" t="n"/>
      <c r="Q299" s="3" t="n"/>
      <c r="R299" s="3" t="n"/>
      <c r="S299" s="3" t="n"/>
      <c r="T299" s="3" t="n"/>
      <c r="U299" s="3" t="n"/>
      <c r="V299" s="3" t="n"/>
      <c r="W299" s="3" t="n"/>
      <c r="X299" s="3" t="n"/>
      <c r="Y299" s="4" t="inlineStr">
        <is>
          <t>INFO_10K_FY2019 p10</t>
        </is>
      </c>
    </row>
    <row r="300">
      <c r="A300" s="38" t="inlineStr">
        <is>
          <t>M&amp;T data coverage (printed)</t>
        </is>
      </c>
      <c r="B300" s="3" t="n"/>
      <c r="C300" s="3" t="n"/>
      <c r="D300" s="3" t="n"/>
      <c r="E300" s="3" t="n"/>
      <c r="F300" s="3" t="n"/>
      <c r="G300" s="42" t="inlineStr">
        <is>
          <t>more than 200,000 ships over 100 gross tons; monthly import/export statistics on more than 100 countries; tracking and forecasting approximately 95 percent of international trade by value</t>
        </is>
      </c>
      <c r="H300" s="3" t="n"/>
      <c r="I300" s="3" t="n"/>
      <c r="J300" s="3" t="n"/>
      <c r="K300" s="3" t="n"/>
      <c r="L300" s="3" t="n"/>
      <c r="M300" s="3" t="n"/>
      <c r="N300" s="3" t="n"/>
      <c r="O300" s="3" t="n"/>
      <c r="P300" s="3" t="n"/>
      <c r="Q300" s="3" t="n"/>
      <c r="R300" s="3" t="n"/>
      <c r="S300" s="3" t="n"/>
      <c r="T300" s="3" t="n"/>
      <c r="U300" s="3" t="n"/>
      <c r="V300" s="3" t="n"/>
      <c r="W300" s="3" t="n"/>
      <c r="X300" s="3" t="n"/>
      <c r="Y300" s="4" t="inlineStr">
        <is>
          <t>INFO_10K_FY2019 p10</t>
        </is>
      </c>
    </row>
    <row r="301">
      <c r="A301" s="38" t="inlineStr">
        <is>
          <t>A&amp;D sale (Item 1 wording)</t>
        </is>
      </c>
      <c r="B301" s="3" t="n"/>
      <c r="C301" s="3" t="n"/>
      <c r="D301" s="3" t="n"/>
      <c r="E301" s="3" t="n"/>
      <c r="F301" s="3" t="n"/>
      <c r="G301" s="42" t="inlineStr">
        <is>
          <t>On December 2, 2019, completed sale of A&amp;D product portfolio to a private equity firm for approximately $470 million.</t>
        </is>
      </c>
      <c r="H301" s="3" t="n"/>
      <c r="I301" s="3" t="n"/>
      <c r="J301" s="3" t="n"/>
      <c r="K301" s="3" t="n"/>
      <c r="L301" s="3" t="n"/>
      <c r="M301" s="3" t="n"/>
      <c r="N301" s="3" t="n"/>
      <c r="O301" s="3" t="n"/>
      <c r="P301" s="3" t="n"/>
      <c r="Q301" s="3" t="n"/>
      <c r="R301" s="3" t="n"/>
      <c r="S301" s="3" t="n"/>
      <c r="T301" s="3" t="n"/>
      <c r="U301" s="3" t="n"/>
      <c r="V301" s="3" t="n"/>
      <c r="W301" s="3" t="n"/>
      <c r="X301" s="3" t="n"/>
      <c r="Y301" s="4" t="inlineStr">
        <is>
          <t>INFO_10K_FY2019 p10</t>
        </is>
      </c>
    </row>
    <row r="302">
      <c r="A302" s="14" t="inlineStr">
        <is>
          <t>INFO_10K_FY2019 · MD&amp;A Revenue by Segment</t>
        </is>
      </c>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row>
    <row r="303">
      <c r="A303" s="39" t="inlineStr">
        <is>
          <t>Transportation</t>
        </is>
      </c>
      <c r="B303" s="3" t="n"/>
      <c r="C303" s="3" t="n"/>
      <c r="D303" s="3" t="n"/>
      <c r="E303" s="18" t="n">
        <v>991.6</v>
      </c>
      <c r="F303" s="18" t="n">
        <v>1160.2</v>
      </c>
      <c r="G303" s="18" t="n">
        <v>1246.1</v>
      </c>
      <c r="H303" s="3" t="n"/>
      <c r="I303" s="3" t="n"/>
      <c r="J303" s="3" t="n"/>
      <c r="K303" s="3" t="n"/>
      <c r="L303" s="3" t="n"/>
      <c r="M303" s="3" t="n"/>
      <c r="N303" s="3" t="n"/>
      <c r="O303" s="3" t="n"/>
      <c r="P303" s="3" t="n"/>
      <c r="Q303" s="3" t="n"/>
      <c r="R303" s="3" t="n"/>
      <c r="S303" s="3" t="n"/>
      <c r="T303" s="3" t="n"/>
      <c r="U303" s="3" t="n"/>
      <c r="V303" s="3" t="n"/>
      <c r="W303" s="3" t="n"/>
      <c r="X303" s="3" t="n"/>
      <c r="Y303" s="4" t="inlineStr">
        <is>
          <t>INFO_10K_FY2019 p40</t>
        </is>
      </c>
    </row>
    <row r="304">
      <c r="A304" s="38" t="inlineStr">
        <is>
          <t>Transportation % Change (vs prior year)</t>
        </is>
      </c>
      <c r="B304" s="3" t="n"/>
      <c r="C304" s="3" t="n"/>
      <c r="D304" s="3" t="n"/>
      <c r="E304" s="3" t="n"/>
      <c r="F304" s="41" t="n">
        <v>17</v>
      </c>
      <c r="G304" s="41" t="n">
        <v>7</v>
      </c>
      <c r="H304" s="3" t="n"/>
      <c r="I304" s="3" t="n"/>
      <c r="J304" s="3" t="n"/>
      <c r="K304" s="3" t="n"/>
      <c r="L304" s="3" t="n"/>
      <c r="M304" s="3" t="n"/>
      <c r="N304" s="3" t="n"/>
      <c r="O304" s="3" t="n"/>
      <c r="P304" s="3" t="n"/>
      <c r="Q304" s="3" t="n"/>
      <c r="R304" s="3" t="n"/>
      <c r="S304" s="3" t="n"/>
      <c r="T304" s="3" t="n"/>
      <c r="U304" s="3" t="n"/>
      <c r="V304" s="3" t="n"/>
      <c r="W304" s="3" t="n"/>
      <c r="X304" s="3" t="n"/>
      <c r="Y304" s="4" t="inlineStr">
        <is>
          <t>INFO_10K_FY2019 p40</t>
        </is>
      </c>
    </row>
    <row r="305">
      <c r="A305" s="39" t="inlineStr">
        <is>
          <t>Total revenue (IHS Markit consolidated)</t>
        </is>
      </c>
      <c r="B305" s="3" t="n"/>
      <c r="C305" s="3" t="n"/>
      <c r="D305" s="3" t="n"/>
      <c r="E305" s="18" t="n">
        <v>3599.7</v>
      </c>
      <c r="F305" s="18" t="n">
        <v>4009.2</v>
      </c>
      <c r="G305" s="18" t="n">
        <v>4414.6</v>
      </c>
      <c r="H305" s="3" t="n"/>
      <c r="I305" s="3" t="n"/>
      <c r="J305" s="3" t="n"/>
      <c r="K305" s="3" t="n"/>
      <c r="L305" s="3" t="n"/>
      <c r="M305" s="3" t="n"/>
      <c r="N305" s="3" t="n"/>
      <c r="O305" s="3" t="n"/>
      <c r="P305" s="3" t="n"/>
      <c r="Q305" s="3" t="n"/>
      <c r="R305" s="3" t="n"/>
      <c r="S305" s="3" t="n"/>
      <c r="T305" s="3" t="n"/>
      <c r="U305" s="3" t="n"/>
      <c r="V305" s="3" t="n"/>
      <c r="W305" s="3" t="n"/>
      <c r="X305" s="3" t="n"/>
      <c r="Y305" s="4" t="inlineStr">
        <is>
          <t>INFO_10K_FY2019 p40</t>
        </is>
      </c>
    </row>
    <row r="306">
      <c r="A306" s="14" t="inlineStr">
        <is>
          <t>INFO_10K_FY2019 · MD&amp;A Revenue growth drivers (percentage points)</t>
        </is>
      </c>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row>
    <row r="307">
      <c r="A307" s="38" t="inlineStr">
        <is>
          <t>Transportation revenue - Organic</t>
        </is>
      </c>
      <c r="B307" s="3" t="n"/>
      <c r="C307" s="3" t="n"/>
      <c r="D307" s="3" t="n"/>
      <c r="E307" s="3" t="n"/>
      <c r="F307" s="41" t="n">
        <v>11</v>
      </c>
      <c r="G307" s="41" t="n">
        <v>8</v>
      </c>
      <c r="H307" s="3" t="n"/>
      <c r="I307" s="3" t="n"/>
      <c r="J307" s="3" t="n"/>
      <c r="K307" s="3" t="n"/>
      <c r="L307" s="3" t="n"/>
      <c r="M307" s="3" t="n"/>
      <c r="N307" s="3" t="n"/>
      <c r="O307" s="3" t="n"/>
      <c r="P307" s="3" t="n"/>
      <c r="Q307" s="3" t="n"/>
      <c r="R307" s="3" t="n"/>
      <c r="S307" s="3" t="n"/>
      <c r="T307" s="3" t="n"/>
      <c r="U307" s="3" t="n"/>
      <c r="V307" s="3" t="n"/>
      <c r="W307" s="3" t="n"/>
      <c r="X307" s="3" t="n"/>
      <c r="Y307" s="4" t="inlineStr">
        <is>
          <t>INFO_10K_FY2019 p41</t>
        </is>
      </c>
    </row>
    <row r="308">
      <c r="A308" s="38" t="inlineStr">
        <is>
          <t>Transportation revenue - Acquisitive</t>
        </is>
      </c>
      <c r="B308" s="3" t="n"/>
      <c r="C308" s="3" t="n"/>
      <c r="D308" s="3" t="n"/>
      <c r="E308" s="3" t="n"/>
      <c r="F308" s="41" t="n">
        <v>6</v>
      </c>
      <c r="G308" s="41" t="n">
        <v>0</v>
      </c>
      <c r="H308" s="3" t="n"/>
      <c r="I308" s="3" t="n"/>
      <c r="J308" s="3" t="n"/>
      <c r="K308" s="3" t="n"/>
      <c r="L308" s="3" t="n"/>
      <c r="M308" s="3" t="n"/>
      <c r="N308" s="3" t="n"/>
      <c r="O308" s="3" t="n"/>
      <c r="P308" s="3" t="n"/>
      <c r="Q308" s="3" t="n"/>
      <c r="R308" s="3" t="n"/>
      <c r="S308" s="3" t="n"/>
      <c r="T308" s="3" t="n"/>
      <c r="U308" s="3" t="n"/>
      <c r="V308" s="3" t="n"/>
      <c r="W308" s="3" t="n"/>
      <c r="X308" s="3" t="n"/>
      <c r="Y308" s="4" t="inlineStr">
        <is>
          <t>INFO_10K_FY2019 p41</t>
        </is>
      </c>
    </row>
    <row r="309">
      <c r="A309" s="38" t="inlineStr">
        <is>
          <t>Transportation revenue - Foreign Currency</t>
        </is>
      </c>
      <c r="B309" s="3" t="n"/>
      <c r="C309" s="3" t="n"/>
      <c r="D309" s="3" t="n"/>
      <c r="E309" s="3" t="n"/>
      <c r="F309" s="41" t="n">
        <v>1</v>
      </c>
      <c r="G309" s="41" t="n">
        <v>-1</v>
      </c>
      <c r="H309" s="3" t="n"/>
      <c r="I309" s="3" t="n"/>
      <c r="J309" s="3" t="n"/>
      <c r="K309" s="3" t="n"/>
      <c r="L309" s="3" t="n"/>
      <c r="M309" s="3" t="n"/>
      <c r="N309" s="3" t="n"/>
      <c r="O309" s="3" t="n"/>
      <c r="P309" s="3" t="n"/>
      <c r="Q309" s="3" t="n"/>
      <c r="R309" s="3" t="n"/>
      <c r="S309" s="3" t="n"/>
      <c r="T309" s="3" t="n"/>
      <c r="U309" s="3" t="n"/>
      <c r="V309" s="3" t="n"/>
      <c r="W309" s="3" t="n"/>
      <c r="X309" s="3" t="n"/>
      <c r="Y309" s="4" t="inlineStr">
        <is>
          <t>INFO_10K_FY2019 p41</t>
        </is>
      </c>
    </row>
    <row r="310">
      <c r="A310" s="14" t="inlineStr">
        <is>
          <t>INFO_10K_FY2019 · MD&amp;A Revenue by Segment (narrative)</t>
        </is>
      </c>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row>
    <row r="311">
      <c r="A311" s="38" t="inlineStr">
        <is>
          <t>Transportation narrative</t>
        </is>
      </c>
      <c r="B311" s="3" t="n"/>
      <c r="C311" s="3" t="n"/>
      <c r="D311" s="3" t="n"/>
      <c r="E311" s="3" t="n"/>
      <c r="F311" s="3" t="n"/>
      <c r="G311" s="42" t="inlineStr">
        <is>
          <t>2019 and 2018 growth from solid organic recurring and non-recurring growth, mainly automotive (used-car offerings and new-car innovation); aM acquisition (Q4 FY2017) accounted for acquisitive growth in 2018.</t>
        </is>
      </c>
      <c r="H311" s="3" t="n"/>
      <c r="I311" s="3" t="n"/>
      <c r="J311" s="3" t="n"/>
      <c r="K311" s="3" t="n"/>
      <c r="L311" s="3" t="n"/>
      <c r="M311" s="3" t="n"/>
      <c r="N311" s="3" t="n"/>
      <c r="O311" s="3" t="n"/>
      <c r="P311" s="3" t="n"/>
      <c r="Q311" s="3" t="n"/>
      <c r="R311" s="3" t="n"/>
      <c r="S311" s="3" t="n"/>
      <c r="T311" s="3" t="n"/>
      <c r="U311" s="3" t="n"/>
      <c r="V311" s="3" t="n"/>
      <c r="W311" s="3" t="n"/>
      <c r="X311" s="3" t="n"/>
      <c r="Y311" s="4" t="inlineStr">
        <is>
          <t>INFO_10K_FY2019 p41</t>
        </is>
      </c>
    </row>
    <row r="312">
      <c r="A312" s="38" t="inlineStr">
        <is>
          <t>Transportation drivers 2018-2019</t>
        </is>
      </c>
      <c r="B312" s="3" t="n"/>
      <c r="C312" s="3" t="n"/>
      <c r="D312" s="3" t="n"/>
      <c r="E312" s="3" t="n"/>
      <c r="F312" s="3" t="n"/>
      <c r="G312" s="42" t="inlineStr">
        <is>
          <t>Growth from organic recurring and non-recurring growth, primarily automotive; strong organic growth from used car offerings and new car innovation (increasing use of new automotive technologies); aM (Q4 2017) accounted for 2018 acquisitive growth.</t>
        </is>
      </c>
      <c r="H312" s="3" t="n"/>
      <c r="I312" s="3" t="n"/>
      <c r="J312" s="3" t="n"/>
      <c r="K312" s="3" t="n"/>
      <c r="L312" s="3" t="n"/>
      <c r="M312" s="3" t="n"/>
      <c r="N312" s="3" t="n"/>
      <c r="O312" s="3" t="n"/>
      <c r="P312" s="3" t="n"/>
      <c r="Q312" s="3" t="n"/>
      <c r="R312" s="3" t="n"/>
      <c r="S312" s="3" t="n"/>
      <c r="T312" s="3" t="n"/>
      <c r="U312" s="3" t="n"/>
      <c r="V312" s="3" t="n"/>
      <c r="W312" s="3" t="n"/>
      <c r="X312" s="3" t="n"/>
      <c r="Y312" s="4" t="inlineStr">
        <is>
          <t>INFO_10K_FY2019 p41</t>
        </is>
      </c>
    </row>
    <row r="313">
      <c r="A313" s="14" t="inlineStr">
        <is>
          <t>INFO_10K_FY2019 · MD&amp;A Segment Adjusted EBITDA</t>
        </is>
      </c>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row>
    <row r="314">
      <c r="A314" s="39" t="inlineStr">
        <is>
          <t>Transportation Adjusted EBITDA</t>
        </is>
      </c>
      <c r="B314" s="3" t="n"/>
      <c r="C314" s="3" t="n"/>
      <c r="D314" s="3" t="n"/>
      <c r="E314" s="18" t="n">
        <v>408.6</v>
      </c>
      <c r="F314" s="18" t="n">
        <v>479.3</v>
      </c>
      <c r="G314" s="18" t="n">
        <v>520.9</v>
      </c>
      <c r="H314" s="3" t="n"/>
      <c r="I314" s="3" t="n"/>
      <c r="J314" s="3" t="n"/>
      <c r="K314" s="3" t="n"/>
      <c r="L314" s="3" t="n"/>
      <c r="M314" s="3" t="n"/>
      <c r="N314" s="3" t="n"/>
      <c r="O314" s="3" t="n"/>
      <c r="P314" s="3" t="n"/>
      <c r="Q314" s="3" t="n"/>
      <c r="R314" s="3" t="n"/>
      <c r="S314" s="3" t="n"/>
      <c r="T314" s="3" t="n"/>
      <c r="U314" s="3" t="n"/>
      <c r="V314" s="3" t="n"/>
      <c r="W314" s="3" t="n"/>
      <c r="X314" s="3" t="n"/>
      <c r="Y314" s="4" t="inlineStr">
        <is>
          <t>INFO_10K_FY2019 p43</t>
        </is>
      </c>
    </row>
    <row r="315">
      <c r="A315" s="38" t="inlineStr">
        <is>
          <t>Transportation Adjusted EBITDA % Change (vs prior year)</t>
        </is>
      </c>
      <c r="B315" s="3" t="n"/>
      <c r="C315" s="3" t="n"/>
      <c r="D315" s="3" t="n"/>
      <c r="E315" s="3" t="n"/>
      <c r="F315" s="41" t="n">
        <v>17</v>
      </c>
      <c r="G315" s="41" t="n">
        <v>9</v>
      </c>
      <c r="H315" s="3" t="n"/>
      <c r="I315" s="3" t="n"/>
      <c r="J315" s="3" t="n"/>
      <c r="K315" s="3" t="n"/>
      <c r="L315" s="3" t="n"/>
      <c r="M315" s="3" t="n"/>
      <c r="N315" s="3" t="n"/>
      <c r="O315" s="3" t="n"/>
      <c r="P315" s="3" t="n"/>
      <c r="Q315" s="3" t="n"/>
      <c r="R315" s="3" t="n"/>
      <c r="S315" s="3" t="n"/>
      <c r="T315" s="3" t="n"/>
      <c r="U315" s="3" t="n"/>
      <c r="V315" s="3" t="n"/>
      <c r="W315" s="3" t="n"/>
      <c r="X315" s="3" t="n"/>
      <c r="Y315" s="4" t="inlineStr">
        <is>
          <t>INFO_10K_FY2019 p43</t>
        </is>
      </c>
    </row>
    <row r="316">
      <c r="A316" s="38" t="inlineStr">
        <is>
          <t>Transportation Adjusted EBITDA as a percent of segment revenue</t>
        </is>
      </c>
      <c r="B316" s="3" t="n"/>
      <c r="C316" s="3" t="n"/>
      <c r="D316" s="3" t="n"/>
      <c r="E316" s="41" t="n">
        <v>41</v>
      </c>
      <c r="F316" s="41" t="n">
        <v>41.3</v>
      </c>
      <c r="G316" s="41" t="n">
        <v>41.8</v>
      </c>
      <c r="H316" s="3" t="n"/>
      <c r="I316" s="3" t="n"/>
      <c r="J316" s="3" t="n"/>
      <c r="K316" s="3" t="n"/>
      <c r="L316" s="3" t="n"/>
      <c r="M316" s="3" t="n"/>
      <c r="N316" s="3" t="n"/>
      <c r="O316" s="3" t="n"/>
      <c r="P316" s="3" t="n"/>
      <c r="Q316" s="3" t="n"/>
      <c r="R316" s="3" t="n"/>
      <c r="S316" s="3" t="n"/>
      <c r="T316" s="3" t="n"/>
      <c r="U316" s="3" t="n"/>
      <c r="V316" s="3" t="n"/>
      <c r="W316" s="3" t="n"/>
      <c r="X316" s="3" t="n"/>
      <c r="Y316" s="4" t="inlineStr">
        <is>
          <t>INFO_10K_FY2019 p43</t>
        </is>
      </c>
    </row>
    <row r="317">
      <c r="A317" s="14" t="inlineStr">
        <is>
          <t>INFO_10K_FY2019 · Note Segment Information</t>
        </is>
      </c>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row>
    <row r="318">
      <c r="A318" s="39" t="inlineStr">
        <is>
          <t>Revenue - Transportation</t>
        </is>
      </c>
      <c r="B318" s="3" t="n"/>
      <c r="C318" s="3" t="n"/>
      <c r="D318" s="3" t="n"/>
      <c r="E318" s="18" t="n">
        <v>991.6</v>
      </c>
      <c r="F318" s="18" t="n">
        <v>1160.2</v>
      </c>
      <c r="G318" s="18" t="n">
        <v>1246.1</v>
      </c>
      <c r="H318" s="3" t="n"/>
      <c r="I318" s="3" t="n"/>
      <c r="J318" s="3" t="n"/>
      <c r="K318" s="3" t="n"/>
      <c r="L318" s="3" t="n"/>
      <c r="M318" s="3" t="n"/>
      <c r="N318" s="3" t="n"/>
      <c r="O318" s="3" t="n"/>
      <c r="P318" s="3" t="n"/>
      <c r="Q318" s="3" t="n"/>
      <c r="R318" s="3" t="n"/>
      <c r="S318" s="3" t="n"/>
      <c r="T318" s="3" t="n"/>
      <c r="U318" s="3" t="n"/>
      <c r="V318" s="3" t="n"/>
      <c r="W318" s="3" t="n"/>
      <c r="X318" s="3" t="n"/>
      <c r="Y318" s="4" t="inlineStr">
        <is>
          <t>INFO_10K_FY2019 p80</t>
        </is>
      </c>
    </row>
    <row r="319">
      <c r="A319" s="39" t="inlineStr">
        <is>
          <t>Adjusted EBITDA - Transportation</t>
        </is>
      </c>
      <c r="B319" s="3" t="n"/>
      <c r="C319" s="3" t="n"/>
      <c r="D319" s="3" t="n"/>
      <c r="E319" s="18" t="n">
        <v>408.6</v>
      </c>
      <c r="F319" s="18" t="n">
        <v>479.3</v>
      </c>
      <c r="G319" s="18" t="n">
        <v>520.9</v>
      </c>
      <c r="H319" s="3" t="n"/>
      <c r="I319" s="3" t="n"/>
      <c r="J319" s="3" t="n"/>
      <c r="K319" s="3" t="n"/>
      <c r="L319" s="3" t="n"/>
      <c r="M319" s="3" t="n"/>
      <c r="N319" s="3" t="n"/>
      <c r="O319" s="3" t="n"/>
      <c r="P319" s="3" t="n"/>
      <c r="Q319" s="3" t="n"/>
      <c r="R319" s="3" t="n"/>
      <c r="S319" s="3" t="n"/>
      <c r="T319" s="3" t="n"/>
      <c r="U319" s="3" t="n"/>
      <c r="V319" s="3" t="n"/>
      <c r="W319" s="3" t="n"/>
      <c r="X319" s="3" t="n"/>
      <c r="Y319" s="4" t="inlineStr">
        <is>
          <t>INFO_10K_FY2019 p80</t>
        </is>
      </c>
    </row>
    <row r="320">
      <c r="A320" s="14" t="inlineStr">
        <is>
          <t>INFO_10K_FY2019 · Note Total assets by segment</t>
        </is>
      </c>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row>
    <row r="321">
      <c r="A321" s="38" t="inlineStr">
        <is>
          <t>Total Assets - Transportation</t>
        </is>
      </c>
      <c r="B321" s="3" t="n"/>
      <c r="C321" s="3" t="n"/>
      <c r="D321" s="3" t="n"/>
      <c r="E321" s="3" t="n"/>
      <c r="F321" s="30" t="n">
        <v>3144.7</v>
      </c>
      <c r="G321" s="30" t="n">
        <v>3018.2</v>
      </c>
      <c r="H321" s="3" t="n"/>
      <c r="I321" s="3" t="n"/>
      <c r="J321" s="3" t="n"/>
      <c r="K321" s="3" t="n"/>
      <c r="L321" s="3" t="n"/>
      <c r="M321" s="3" t="n"/>
      <c r="N321" s="3" t="n"/>
      <c r="O321" s="3" t="n"/>
      <c r="P321" s="3" t="n"/>
      <c r="Q321" s="3" t="n"/>
      <c r="R321" s="3" t="n"/>
      <c r="S321" s="3" t="n"/>
      <c r="T321" s="3" t="n"/>
      <c r="U321" s="3" t="n"/>
      <c r="V321" s="3" t="n"/>
      <c r="W321" s="3" t="n"/>
      <c r="X321" s="3" t="n"/>
      <c r="Y321" s="4" t="inlineStr">
        <is>
          <t>INFO_10K_FY2019 p81</t>
        </is>
      </c>
    </row>
    <row r="322">
      <c r="A322" s="14" t="inlineStr">
        <is>
          <t>INFO_10K_FY2019 · Note Goodwill activity</t>
        </is>
      </c>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row>
    <row r="323">
      <c r="A323" s="38" t="inlineStr">
        <is>
          <t>Goodwill - Transportation - Balance at November 30</t>
        </is>
      </c>
      <c r="B323" s="3" t="n"/>
      <c r="C323" s="3" t="n"/>
      <c r="D323" s="3" t="n"/>
      <c r="E323" s="30" t="n">
        <v>2055.6</v>
      </c>
      <c r="F323" s="30" t="n">
        <v>2031.6</v>
      </c>
      <c r="G323" s="30" t="n">
        <v>1953.1</v>
      </c>
      <c r="H323" s="3" t="n"/>
      <c r="I323" s="3" t="n"/>
      <c r="J323" s="3" t="n"/>
      <c r="K323" s="3" t="n"/>
      <c r="L323" s="3" t="n"/>
      <c r="M323" s="3" t="n"/>
      <c r="N323" s="3" t="n"/>
      <c r="O323" s="3" t="n"/>
      <c r="P323" s="3" t="n"/>
      <c r="Q323" s="3" t="n"/>
      <c r="R323" s="3" t="n"/>
      <c r="S323" s="3" t="n"/>
      <c r="T323" s="3" t="n"/>
      <c r="U323" s="3" t="n"/>
      <c r="V323" s="3" t="n"/>
      <c r="W323" s="3" t="n"/>
      <c r="X323" s="3" t="n"/>
      <c r="Y323" s="4" t="inlineStr">
        <is>
          <t>INFO_10K_FY2019 p81</t>
        </is>
      </c>
    </row>
    <row r="324">
      <c r="A324" s="38" t="inlineStr">
        <is>
          <t>Goodwill - Transportation - Acquisitions</t>
        </is>
      </c>
      <c r="B324" s="3" t="n"/>
      <c r="C324" s="3" t="n"/>
      <c r="D324" s="3" t="n"/>
      <c r="E324" s="3" t="n"/>
      <c r="F324" s="3" t="n"/>
      <c r="G324" s="30" t="n">
        <v>9</v>
      </c>
      <c r="H324" s="3" t="n"/>
      <c r="I324" s="3" t="n"/>
      <c r="J324" s="3" t="n"/>
      <c r="K324" s="3" t="n"/>
      <c r="L324" s="3" t="n"/>
      <c r="M324" s="3" t="n"/>
      <c r="N324" s="3" t="n"/>
      <c r="O324" s="3" t="n"/>
      <c r="P324" s="3" t="n"/>
      <c r="Q324" s="3" t="n"/>
      <c r="R324" s="3" t="n"/>
      <c r="S324" s="3" t="n"/>
      <c r="T324" s="3" t="n"/>
      <c r="U324" s="3" t="n"/>
      <c r="V324" s="3" t="n"/>
      <c r="W324" s="3" t="n"/>
      <c r="X324" s="3" t="n"/>
      <c r="Y324" s="4" t="inlineStr">
        <is>
          <t>INFO_10K_FY2019 p81</t>
        </is>
      </c>
    </row>
    <row r="325">
      <c r="A325" s="38" t="inlineStr">
        <is>
          <t>Goodwill - Transportation - Adjustments to purchase price</t>
        </is>
      </c>
      <c r="B325" s="3" t="n"/>
      <c r="C325" s="3" t="n"/>
      <c r="D325" s="3" t="n"/>
      <c r="E325" s="3" t="n"/>
      <c r="F325" s="30" t="n">
        <v>-7.3</v>
      </c>
      <c r="G325" s="3" t="n"/>
      <c r="H325" s="3" t="n"/>
      <c r="I325" s="3" t="n"/>
      <c r="J325" s="3" t="n"/>
      <c r="K325" s="3" t="n"/>
      <c r="L325" s="3" t="n"/>
      <c r="M325" s="3" t="n"/>
      <c r="N325" s="3" t="n"/>
      <c r="O325" s="3" t="n"/>
      <c r="P325" s="3" t="n"/>
      <c r="Q325" s="3" t="n"/>
      <c r="R325" s="3" t="n"/>
      <c r="S325" s="3" t="n"/>
      <c r="T325" s="3" t="n"/>
      <c r="U325" s="3" t="n"/>
      <c r="V325" s="3" t="n"/>
      <c r="W325" s="3" t="n"/>
      <c r="X325" s="3" t="n"/>
      <c r="Y325" s="4" t="inlineStr">
        <is>
          <t>INFO_10K_FY2019 p81</t>
        </is>
      </c>
    </row>
    <row r="326">
      <c r="A326" s="38" t="inlineStr">
        <is>
          <t>Goodwill - Transportation - Reclassification to assets held for sale (A&amp;D)</t>
        </is>
      </c>
      <c r="B326" s="3" t="n"/>
      <c r="C326" s="3" t="n"/>
      <c r="D326" s="3" t="n"/>
      <c r="E326" s="3" t="n"/>
      <c r="F326" s="3" t="n"/>
      <c r="G326" s="30" t="n">
        <v>-87.7</v>
      </c>
      <c r="H326" s="3" t="n"/>
      <c r="I326" s="3" t="n"/>
      <c r="J326" s="3" t="n"/>
      <c r="K326" s="3" t="n"/>
      <c r="L326" s="3" t="n"/>
      <c r="M326" s="3" t="n"/>
      <c r="N326" s="3" t="n"/>
      <c r="O326" s="3" t="n"/>
      <c r="P326" s="3" t="n"/>
      <c r="Q326" s="3" t="n"/>
      <c r="R326" s="3" t="n"/>
      <c r="S326" s="3" t="n"/>
      <c r="T326" s="3" t="n"/>
      <c r="U326" s="3" t="n"/>
      <c r="V326" s="3" t="n"/>
      <c r="W326" s="3" t="n"/>
      <c r="X326" s="3" t="n"/>
      <c r="Y326" s="4" t="inlineStr">
        <is>
          <t>INFO_10K_FY2019 p81</t>
        </is>
      </c>
    </row>
    <row r="327">
      <c r="A327" s="38" t="inlineStr">
        <is>
          <t>Goodwill - Transportation - Foreign currency translation</t>
        </is>
      </c>
      <c r="B327" s="3" t="n"/>
      <c r="C327" s="3" t="n"/>
      <c r="D327" s="3" t="n"/>
      <c r="E327" s="3" t="n"/>
      <c r="F327" s="30" t="n">
        <v>-16.7</v>
      </c>
      <c r="G327" s="30" t="n">
        <v>0.2</v>
      </c>
      <c r="H327" s="3" t="n"/>
      <c r="I327" s="3" t="n"/>
      <c r="J327" s="3" t="n"/>
      <c r="K327" s="3" t="n"/>
      <c r="L327" s="3" t="n"/>
      <c r="M327" s="3" t="n"/>
      <c r="N327" s="3" t="n"/>
      <c r="O327" s="3" t="n"/>
      <c r="P327" s="3" t="n"/>
      <c r="Q327" s="3" t="n"/>
      <c r="R327" s="3" t="n"/>
      <c r="S327" s="3" t="n"/>
      <c r="T327" s="3" t="n"/>
      <c r="U327" s="3" t="n"/>
      <c r="V327" s="3" t="n"/>
      <c r="W327" s="3" t="n"/>
      <c r="X327" s="3" t="n"/>
      <c r="Y327" s="4" t="inlineStr">
        <is>
          <t>INFO_10K_FY2019 p81</t>
        </is>
      </c>
    </row>
    <row r="328">
      <c r="A328" s="14" t="inlineStr">
        <is>
          <t>INFO_10K_FY2019 · Note Acquisitions and Divestitures</t>
        </is>
      </c>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row>
    <row r="329">
      <c r="A329" s="38" t="inlineStr">
        <is>
          <t>Divestiture: Aerospace &amp; Defense (A&amp;D) business line (Transportation segment)</t>
        </is>
      </c>
      <c r="B329" s="3" t="n"/>
      <c r="C329" s="3" t="n"/>
      <c r="D329" s="3" t="n"/>
      <c r="E329" s="3" t="n"/>
      <c r="F329" s="3" t="n"/>
      <c r="G329" s="42" t="inlineStr">
        <is>
          <t>Definitive agreement Sept-2019 to sell A&amp;D to Montagu Private Equity for approximately $470 million; included in Transportation up to date of sale; sale completed December 2, 2019; classified held-for-sale at November 30, 2019.</t>
        </is>
      </c>
      <c r="H329" s="3" t="n"/>
      <c r="I329" s="3" t="n"/>
      <c r="J329" s="3" t="n"/>
      <c r="K329" s="3" t="n"/>
      <c r="L329" s="3" t="n"/>
      <c r="M329" s="3" t="n"/>
      <c r="N329" s="3" t="n"/>
      <c r="O329" s="3" t="n"/>
      <c r="P329" s="3" t="n"/>
      <c r="Q329" s="3" t="n"/>
      <c r="R329" s="3" t="n"/>
      <c r="S329" s="3" t="n"/>
      <c r="T329" s="3" t="n"/>
      <c r="U329" s="3" t="n"/>
      <c r="V329" s="3" t="n"/>
      <c r="W329" s="3" t="n"/>
      <c r="X329" s="3" t="n"/>
      <c r="Y329" s="4" t="inlineStr">
        <is>
          <t>INFO_10K_FY2019 p63</t>
        </is>
      </c>
    </row>
    <row r="330">
      <c r="A330" s="38" t="inlineStr">
        <is>
          <t>A&amp;D divestiture approximate price</t>
        </is>
      </c>
      <c r="B330" s="3" t="n"/>
      <c r="C330" s="3" t="n"/>
      <c r="D330" s="3" t="n"/>
      <c r="E330" s="3" t="n"/>
      <c r="F330" s="3" t="n"/>
      <c r="G330" s="30" t="n">
        <v>470</v>
      </c>
      <c r="H330" s="3" t="n"/>
      <c r="I330" s="3" t="n"/>
      <c r="J330" s="3" t="n"/>
      <c r="K330" s="3" t="n"/>
      <c r="L330" s="3" t="n"/>
      <c r="M330" s="3" t="n"/>
      <c r="N330" s="3" t="n"/>
      <c r="O330" s="3" t="n"/>
      <c r="P330" s="3" t="n"/>
      <c r="Q330" s="3" t="n"/>
      <c r="R330" s="3" t="n"/>
      <c r="S330" s="3" t="n"/>
      <c r="T330" s="3" t="n"/>
      <c r="U330" s="3" t="n"/>
      <c r="V330" s="3" t="n"/>
      <c r="W330" s="3" t="n"/>
      <c r="X330" s="3" t="n"/>
      <c r="Y330" s="4" t="inlineStr">
        <is>
          <t>INFO_10K_FY2019 p63</t>
        </is>
      </c>
    </row>
    <row r="331">
      <c r="A331" s="38" t="inlineStr">
        <is>
          <t>A&amp;D held for sale - Goodwill</t>
        </is>
      </c>
      <c r="B331" s="3" t="n"/>
      <c r="C331" s="3" t="n"/>
      <c r="D331" s="3" t="n"/>
      <c r="E331" s="3" t="n"/>
      <c r="F331" s="3" t="n"/>
      <c r="G331" s="30" t="n">
        <v>87.7</v>
      </c>
      <c r="H331" s="3" t="n"/>
      <c r="I331" s="3" t="n"/>
      <c r="J331" s="3" t="n"/>
      <c r="K331" s="3" t="n"/>
      <c r="L331" s="3" t="n"/>
      <c r="M331" s="3" t="n"/>
      <c r="N331" s="3" t="n"/>
      <c r="O331" s="3" t="n"/>
      <c r="P331" s="3" t="n"/>
      <c r="Q331" s="3" t="n"/>
      <c r="R331" s="3" t="n"/>
      <c r="S331" s="3" t="n"/>
      <c r="T331" s="3" t="n"/>
      <c r="U331" s="3" t="n"/>
      <c r="V331" s="3" t="n"/>
      <c r="W331" s="3" t="n"/>
      <c r="X331" s="3" t="n"/>
      <c r="Y331" s="4" t="inlineStr">
        <is>
          <t>INFO_10K_FY2019 p63</t>
        </is>
      </c>
    </row>
    <row r="332">
      <c r="A332" s="39" t="inlineStr">
        <is>
          <t>A&amp;D held for sale - Total assets held for sale</t>
        </is>
      </c>
      <c r="B332" s="3" t="n"/>
      <c r="C332" s="3" t="n"/>
      <c r="D332" s="3" t="n"/>
      <c r="E332" s="3" t="n"/>
      <c r="F332" s="3" t="n"/>
      <c r="G332" s="18" t="n">
        <v>115.3</v>
      </c>
      <c r="H332" s="3" t="n"/>
      <c r="I332" s="3" t="n"/>
      <c r="J332" s="3" t="n"/>
      <c r="K332" s="3" t="n"/>
      <c r="L332" s="3" t="n"/>
      <c r="M332" s="3" t="n"/>
      <c r="N332" s="3" t="n"/>
      <c r="O332" s="3" t="n"/>
      <c r="P332" s="3" t="n"/>
      <c r="Q332" s="3" t="n"/>
      <c r="R332" s="3" t="n"/>
      <c r="S332" s="3" t="n"/>
      <c r="T332" s="3" t="n"/>
      <c r="U332" s="3" t="n"/>
      <c r="V332" s="3" t="n"/>
      <c r="W332" s="3" t="n"/>
      <c r="X332" s="3" t="n"/>
      <c r="Y332" s="4" t="inlineStr">
        <is>
          <t>INFO_10K_FY2019 p63</t>
        </is>
      </c>
    </row>
    <row r="333">
      <c r="A333" s="39" t="inlineStr">
        <is>
          <t>A&amp;D held for sale - Total liabilities held for sale</t>
        </is>
      </c>
      <c r="B333" s="3" t="n"/>
      <c r="C333" s="3" t="n"/>
      <c r="D333" s="3" t="n"/>
      <c r="E333" s="3" t="n"/>
      <c r="F333" s="3" t="n"/>
      <c r="G333" s="18" t="n">
        <v>-25.9</v>
      </c>
      <c r="H333" s="3" t="n"/>
      <c r="I333" s="3" t="n"/>
      <c r="J333" s="3" t="n"/>
      <c r="K333" s="3" t="n"/>
      <c r="L333" s="3" t="n"/>
      <c r="M333" s="3" t="n"/>
      <c r="N333" s="3" t="n"/>
      <c r="O333" s="3" t="n"/>
      <c r="P333" s="3" t="n"/>
      <c r="Q333" s="3" t="n"/>
      <c r="R333" s="3" t="n"/>
      <c r="S333" s="3" t="n"/>
      <c r="T333" s="3" t="n"/>
      <c r="U333" s="3" t="n"/>
      <c r="V333" s="3" t="n"/>
      <c r="W333" s="3" t="n"/>
      <c r="X333" s="3" t="n"/>
      <c r="Y333" s="4" t="inlineStr">
        <is>
          <t>INFO_10K_FY2019 p63</t>
        </is>
      </c>
    </row>
    <row r="334">
      <c r="A334" s="38" t="inlineStr">
        <is>
          <t>Acquisition: automotiveMastermind Inc. (aM) - Sept 25, 2017 (Transportation segment)</t>
        </is>
      </c>
      <c r="B334" s="3" t="n"/>
      <c r="C334" s="3" t="n"/>
      <c r="D334" s="3" t="n"/>
      <c r="E334" s="3" t="n"/>
      <c r="F334" s="3" t="n"/>
      <c r="G334" s="42" t="inlineStr">
        <is>
          <t>Initial cash consideration approx. $432 million for 78 percent of aM (incl. estimated $43 million contingent consideration paid Q2 2018); included in Transportation.</t>
        </is>
      </c>
      <c r="H334" s="3" t="n"/>
      <c r="I334" s="3" t="n"/>
      <c r="J334" s="3" t="n"/>
      <c r="K334" s="3" t="n"/>
      <c r="L334" s="3" t="n"/>
      <c r="M334" s="3" t="n"/>
      <c r="N334" s="3" t="n"/>
      <c r="O334" s="3" t="n"/>
      <c r="P334" s="3" t="n"/>
      <c r="Q334" s="3" t="n"/>
      <c r="R334" s="3" t="n"/>
      <c r="S334" s="3" t="n"/>
      <c r="T334" s="3" t="n"/>
      <c r="U334" s="3" t="n"/>
      <c r="V334" s="3" t="n"/>
      <c r="W334" s="3" t="n"/>
      <c r="X334" s="3" t="n"/>
      <c r="Y334" s="4" t="inlineStr">
        <is>
          <t>INFO_10K_FY2019 p63</t>
        </is>
      </c>
    </row>
    <row r="335">
      <c r="A335" s="14" t="inlineStr">
        <is>
          <t>INFO_10K_FY2018 · Item 1 Transportation segment description</t>
        </is>
      </c>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row>
    <row r="336">
      <c r="A336" s="38" t="inlineStr">
        <is>
          <t>Segment description (summary)</t>
        </is>
      </c>
      <c r="B336" s="3" t="n"/>
      <c r="C336" s="3" t="n"/>
      <c r="D336" s="3" t="n"/>
      <c r="E336" s="3" t="n"/>
      <c r="F336" s="42" t="inlineStr">
        <is>
          <t>Transportation = Automotive (about 84 percent of segment revenue) plus Maritime &amp; Trade and Aerospace, Defense &amp; Security (Jane's) making up the balance. Automotive: new-car forecasts, Polk-heritage marketing/recall data (more than 7bn US ownership records), automotiveMastermind, CARFAX.</t>
        </is>
      </c>
      <c r="G336" s="3" t="n"/>
      <c r="H336" s="3" t="n"/>
      <c r="I336" s="3" t="n"/>
      <c r="J336" s="3" t="n"/>
      <c r="K336" s="3" t="n"/>
      <c r="L336" s="3" t="n"/>
      <c r="M336" s="3" t="n"/>
      <c r="N336" s="3" t="n"/>
      <c r="O336" s="3" t="n"/>
      <c r="P336" s="3" t="n"/>
      <c r="Q336" s="3" t="n"/>
      <c r="R336" s="3" t="n"/>
      <c r="S336" s="3" t="n"/>
      <c r="T336" s="3" t="n"/>
      <c r="U336" s="3" t="n"/>
      <c r="V336" s="3" t="n"/>
      <c r="W336" s="3" t="n"/>
      <c r="X336" s="3" t="n"/>
      <c r="Y336" s="4" t="inlineStr">
        <is>
          <t>INFO_10K_FY2018 p9</t>
        </is>
      </c>
    </row>
    <row r="337">
      <c r="A337" s="38" t="inlineStr">
        <is>
          <t>Automotive offerings share of segment revenue (about)</t>
        </is>
      </c>
      <c r="B337" s="3" t="n"/>
      <c r="C337" s="3" t="n"/>
      <c r="D337" s="3" t="n"/>
      <c r="E337" s="3" t="n"/>
      <c r="F337" s="41" t="n">
        <v>84</v>
      </c>
      <c r="G337" s="3" t="n"/>
      <c r="H337" s="3" t="n"/>
      <c r="I337" s="3" t="n"/>
      <c r="J337" s="3" t="n"/>
      <c r="K337" s="3" t="n"/>
      <c r="L337" s="3" t="n"/>
      <c r="M337" s="3" t="n"/>
      <c r="N337" s="3" t="n"/>
      <c r="O337" s="3" t="n"/>
      <c r="P337" s="3" t="n"/>
      <c r="Q337" s="3" t="n"/>
      <c r="R337" s="3" t="n"/>
      <c r="S337" s="3" t="n"/>
      <c r="T337" s="3" t="n"/>
      <c r="U337" s="3" t="n"/>
      <c r="V337" s="3" t="n"/>
      <c r="W337" s="3" t="n"/>
      <c r="X337" s="3" t="n"/>
      <c r="Y337" s="4" t="inlineStr">
        <is>
          <t>INFO_10K_FY2018 p9</t>
        </is>
      </c>
    </row>
    <row r="338">
      <c r="A338" s="38" t="inlineStr">
        <is>
          <t>CARFAX data scale (printed)</t>
        </is>
      </c>
      <c r="B338" s="3" t="n"/>
      <c r="C338" s="3" t="n"/>
      <c r="D338" s="3" t="n"/>
      <c r="E338" s="3" t="n"/>
      <c r="F338" s="42" t="inlineStr">
        <is>
          <t>CARFAX vehicle history based on more than 20 billion records collected from more than 112,000 data sources</t>
        </is>
      </c>
      <c r="G338" s="3" t="n"/>
      <c r="H338" s="3" t="n"/>
      <c r="I338" s="3" t="n"/>
      <c r="J338" s="3" t="n"/>
      <c r="K338" s="3" t="n"/>
      <c r="L338" s="3" t="n"/>
      <c r="M338" s="3" t="n"/>
      <c r="N338" s="3" t="n"/>
      <c r="O338" s="3" t="n"/>
      <c r="P338" s="3" t="n"/>
      <c r="Q338" s="3" t="n"/>
      <c r="R338" s="3" t="n"/>
      <c r="S338" s="3" t="n"/>
      <c r="T338" s="3" t="n"/>
      <c r="U338" s="3" t="n"/>
      <c r="V338" s="3" t="n"/>
      <c r="W338" s="3" t="n"/>
      <c r="X338" s="3" t="n"/>
      <c r="Y338" s="4" t="inlineStr">
        <is>
          <t>INFO_10K_FY2018 p10</t>
        </is>
      </c>
    </row>
    <row r="339">
      <c r="A339" s="38" t="inlineStr">
        <is>
          <t>Forecast database coverage of global light vehicle sales and production (percent)</t>
        </is>
      </c>
      <c r="B339" s="3" t="n"/>
      <c r="C339" s="3" t="n"/>
      <c r="D339" s="3" t="n"/>
      <c r="E339" s="3" t="n"/>
      <c r="F339" s="41" t="n">
        <v>99</v>
      </c>
      <c r="G339" s="3" t="n"/>
      <c r="H339" s="3" t="n"/>
      <c r="I339" s="3" t="n"/>
      <c r="J339" s="3" t="n"/>
      <c r="K339" s="3" t="n"/>
      <c r="L339" s="3" t="n"/>
      <c r="M339" s="3" t="n"/>
      <c r="N339" s="3" t="n"/>
      <c r="O339" s="3" t="n"/>
      <c r="P339" s="3" t="n"/>
      <c r="Q339" s="3" t="n"/>
      <c r="R339" s="3" t="n"/>
      <c r="S339" s="3" t="n"/>
      <c r="T339" s="3" t="n"/>
      <c r="U339" s="3" t="n"/>
      <c r="V339" s="3" t="n"/>
      <c r="W339" s="3" t="n"/>
      <c r="X339" s="3" t="n"/>
      <c r="Y339" s="4" t="inlineStr">
        <is>
          <t>INFO_10K_FY2018 p9</t>
        </is>
      </c>
    </row>
    <row r="340">
      <c r="A340" s="38" t="inlineStr">
        <is>
          <t>Unique vehicle model variants forecast (more than)</t>
        </is>
      </c>
      <c r="B340" s="3" t="n"/>
      <c r="C340" s="3" t="n"/>
      <c r="D340" s="3" t="n"/>
      <c r="E340" s="3" t="n"/>
      <c r="F340" s="40" t="n">
        <v>50000</v>
      </c>
      <c r="G340" s="3" t="n"/>
      <c r="H340" s="3" t="n"/>
      <c r="I340" s="3" t="n"/>
      <c r="J340" s="3" t="n"/>
      <c r="K340" s="3" t="n"/>
      <c r="L340" s="3" t="n"/>
      <c r="M340" s="3" t="n"/>
      <c r="N340" s="3" t="n"/>
      <c r="O340" s="3" t="n"/>
      <c r="P340" s="3" t="n"/>
      <c r="Q340" s="3" t="n"/>
      <c r="R340" s="3" t="n"/>
      <c r="S340" s="3" t="n"/>
      <c r="T340" s="3" t="n"/>
      <c r="U340" s="3" t="n"/>
      <c r="V340" s="3" t="n"/>
      <c r="W340" s="3" t="n"/>
      <c r="X340" s="3" t="n"/>
      <c r="Y340" s="4" t="inlineStr">
        <is>
          <t>INFO_10K_FY2018 p9</t>
        </is>
      </c>
    </row>
    <row r="341">
      <c r="A341" s="38" t="inlineStr">
        <is>
          <t>Vehicle systems, sub-systems and components forecast (more than)</t>
        </is>
      </c>
      <c r="B341" s="3" t="n"/>
      <c r="C341" s="3" t="n"/>
      <c r="D341" s="3" t="n"/>
      <c r="E341" s="3" t="n"/>
      <c r="F341" s="40" t="n">
        <v>100</v>
      </c>
      <c r="G341" s="3" t="n"/>
      <c r="H341" s="3" t="n"/>
      <c r="I341" s="3" t="n"/>
      <c r="J341" s="3" t="n"/>
      <c r="K341" s="3" t="n"/>
      <c r="L341" s="3" t="n"/>
      <c r="M341" s="3" t="n"/>
      <c r="N341" s="3" t="n"/>
      <c r="O341" s="3" t="n"/>
      <c r="P341" s="3" t="n"/>
      <c r="Q341" s="3" t="n"/>
      <c r="R341" s="3" t="n"/>
      <c r="S341" s="3" t="n"/>
      <c r="T341" s="3" t="n"/>
      <c r="U341" s="3" t="n"/>
      <c r="V341" s="3" t="n"/>
      <c r="W341" s="3" t="n"/>
      <c r="X341" s="3" t="n"/>
      <c r="Y341" s="4" t="inlineStr">
        <is>
          <t>INFO_10K_FY2018 p9</t>
        </is>
      </c>
    </row>
    <row r="342">
      <c r="A342" s="38" t="inlineStr">
        <is>
          <t>U.S. sales and marketing database - ownership records (more than, billions)</t>
        </is>
      </c>
      <c r="B342" s="3" t="n"/>
      <c r="C342" s="3" t="n"/>
      <c r="D342" s="3" t="n"/>
      <c r="E342" s="3" t="n"/>
      <c r="F342" s="40" t="n">
        <v>7</v>
      </c>
      <c r="G342" s="3" t="n"/>
      <c r="H342" s="3" t="n"/>
      <c r="I342" s="3" t="n"/>
      <c r="J342" s="3" t="n"/>
      <c r="K342" s="3" t="n"/>
      <c r="L342" s="3" t="n"/>
      <c r="M342" s="3" t="n"/>
      <c r="N342" s="3" t="n"/>
      <c r="O342" s="3" t="n"/>
      <c r="P342" s="3" t="n"/>
      <c r="Q342" s="3" t="n"/>
      <c r="R342" s="3" t="n"/>
      <c r="S342" s="3" t="n"/>
      <c r="T342" s="3" t="n"/>
      <c r="U342" s="3" t="n"/>
      <c r="V342" s="3" t="n"/>
      <c r="W342" s="3" t="n"/>
      <c r="X342" s="3" t="n"/>
      <c r="Y342" s="4" t="inlineStr">
        <is>
          <t>INFO_10K_FY2018 p10</t>
        </is>
      </c>
    </row>
    <row r="343">
      <c r="A343" s="38" t="inlineStr">
        <is>
          <t>U.S. ownership database coverage (printed)</t>
        </is>
      </c>
      <c r="B343" s="3" t="n"/>
      <c r="C343" s="3" t="n"/>
      <c r="D343" s="3" t="n"/>
      <c r="E343" s="3" t="n"/>
      <c r="F343" s="42" t="inlineStr">
        <is>
          <t>covering 760 million vehicles and more than 240 million US households over a period of 25 years</t>
        </is>
      </c>
      <c r="G343" s="3" t="n"/>
      <c r="H343" s="3" t="n"/>
      <c r="I343" s="3" t="n"/>
      <c r="J343" s="3" t="n"/>
      <c r="K343" s="3" t="n"/>
      <c r="L343" s="3" t="n"/>
      <c r="M343" s="3" t="n"/>
      <c r="N343" s="3" t="n"/>
      <c r="O343" s="3" t="n"/>
      <c r="P343" s="3" t="n"/>
      <c r="Q343" s="3" t="n"/>
      <c r="R343" s="3" t="n"/>
      <c r="S343" s="3" t="n"/>
      <c r="T343" s="3" t="n"/>
      <c r="U343" s="3" t="n"/>
      <c r="V343" s="3" t="n"/>
      <c r="W343" s="3" t="n"/>
      <c r="X343" s="3" t="n"/>
      <c r="Y343" s="4" t="inlineStr">
        <is>
          <t>INFO_10K_FY2018 p10</t>
        </is>
      </c>
    </row>
    <row r="344">
      <c r="A344" s="38" t="inlineStr">
        <is>
          <t>M&amp;T data coverage (printed)</t>
        </is>
      </c>
      <c r="B344" s="3" t="n"/>
      <c r="C344" s="3" t="n"/>
      <c r="D344" s="3" t="n"/>
      <c r="E344" s="3" t="n"/>
      <c r="F344" s="42" t="inlineStr">
        <is>
          <t>close to 200,000 ships over 100 gross tons; monthly import/export statistics on more than 90 countries; tracking and forecasting more than 90 percent of international trade by value</t>
        </is>
      </c>
      <c r="G344" s="3" t="n"/>
      <c r="H344" s="3" t="n"/>
      <c r="I344" s="3" t="n"/>
      <c r="J344" s="3" t="n"/>
      <c r="K344" s="3" t="n"/>
      <c r="L344" s="3" t="n"/>
      <c r="M344" s="3" t="n"/>
      <c r="N344" s="3" t="n"/>
      <c r="O344" s="3" t="n"/>
      <c r="P344" s="3" t="n"/>
      <c r="Q344" s="3" t="n"/>
      <c r="R344" s="3" t="n"/>
      <c r="S344" s="3" t="n"/>
      <c r="T344" s="3" t="n"/>
      <c r="U344" s="3" t="n"/>
      <c r="V344" s="3" t="n"/>
      <c r="W344" s="3" t="n"/>
      <c r="X344" s="3" t="n"/>
      <c r="Y344" s="4" t="inlineStr">
        <is>
          <t>INFO_10K_FY2018 p10</t>
        </is>
      </c>
    </row>
    <row r="345">
      <c r="A345" s="38" t="inlineStr">
        <is>
          <t>AD&amp;S data coverage (printed)</t>
        </is>
      </c>
      <c r="B345" s="3" t="n"/>
      <c r="C345" s="3" t="n"/>
      <c r="D345" s="3" t="n"/>
      <c r="E345" s="3" t="n"/>
      <c r="F345" s="42" t="inlineStr">
        <is>
          <t>specifications for more than 20,000 military vehicles, naval vessels and aircraft types; budget forecasts cover more than 99 percent of global defense spending; more than 350,000 terrorism-related events analyzed (Jane's offerings)</t>
        </is>
      </c>
      <c r="G345" s="3" t="n"/>
      <c r="H345" s="3" t="n"/>
      <c r="I345" s="3" t="n"/>
      <c r="J345" s="3" t="n"/>
      <c r="K345" s="3" t="n"/>
      <c r="L345" s="3" t="n"/>
      <c r="M345" s="3" t="n"/>
      <c r="N345" s="3" t="n"/>
      <c r="O345" s="3" t="n"/>
      <c r="P345" s="3" t="n"/>
      <c r="Q345" s="3" t="n"/>
      <c r="R345" s="3" t="n"/>
      <c r="S345" s="3" t="n"/>
      <c r="T345" s="3" t="n"/>
      <c r="U345" s="3" t="n"/>
      <c r="V345" s="3" t="n"/>
      <c r="W345" s="3" t="n"/>
      <c r="X345" s="3" t="n"/>
      <c r="Y345" s="4" t="inlineStr">
        <is>
          <t>INFO_10K_FY2018 p10</t>
        </is>
      </c>
    </row>
    <row r="346">
      <c r="A346" s="14" t="inlineStr">
        <is>
          <t>INFO_10K_FY2018 · MD&amp;A Revenue by Segment</t>
        </is>
      </c>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row>
    <row r="347">
      <c r="A347" s="39" t="inlineStr">
        <is>
          <t>Transportation</t>
        </is>
      </c>
      <c r="B347" s="3" t="n"/>
      <c r="C347" s="3" t="n"/>
      <c r="D347" s="18" t="n">
        <v>892.8</v>
      </c>
      <c r="E347" s="18" t="n">
        <v>991.6</v>
      </c>
      <c r="F347" s="18" t="n">
        <v>1160.2</v>
      </c>
      <c r="G347" s="3" t="n"/>
      <c r="H347" s="3" t="n"/>
      <c r="I347" s="3" t="n"/>
      <c r="J347" s="3" t="n"/>
      <c r="K347" s="3" t="n"/>
      <c r="L347" s="3" t="n"/>
      <c r="M347" s="3" t="n"/>
      <c r="N347" s="3" t="n"/>
      <c r="O347" s="3" t="n"/>
      <c r="P347" s="3" t="n"/>
      <c r="Q347" s="3" t="n"/>
      <c r="R347" s="3" t="n"/>
      <c r="S347" s="3" t="n"/>
      <c r="T347" s="3" t="n"/>
      <c r="U347" s="3" t="n"/>
      <c r="V347" s="3" t="n"/>
      <c r="W347" s="3" t="n"/>
      <c r="X347" s="3" t="n"/>
      <c r="Y347" s="4" t="inlineStr">
        <is>
          <t>INFO_10K_FY2018 p42</t>
        </is>
      </c>
    </row>
    <row r="348">
      <c r="A348" s="38" t="inlineStr">
        <is>
          <t>Transportation % Change (vs prior year)</t>
        </is>
      </c>
      <c r="B348" s="3" t="n"/>
      <c r="C348" s="3" t="n"/>
      <c r="D348" s="3" t="n"/>
      <c r="E348" s="41" t="n">
        <v>11</v>
      </c>
      <c r="F348" s="41" t="n">
        <v>17</v>
      </c>
      <c r="G348" s="3" t="n"/>
      <c r="H348" s="3" t="n"/>
      <c r="I348" s="3" t="n"/>
      <c r="J348" s="3" t="n"/>
      <c r="K348" s="3" t="n"/>
      <c r="L348" s="3" t="n"/>
      <c r="M348" s="3" t="n"/>
      <c r="N348" s="3" t="n"/>
      <c r="O348" s="3" t="n"/>
      <c r="P348" s="3" t="n"/>
      <c r="Q348" s="3" t="n"/>
      <c r="R348" s="3" t="n"/>
      <c r="S348" s="3" t="n"/>
      <c r="T348" s="3" t="n"/>
      <c r="U348" s="3" t="n"/>
      <c r="V348" s="3" t="n"/>
      <c r="W348" s="3" t="n"/>
      <c r="X348" s="3" t="n"/>
      <c r="Y348" s="4" t="inlineStr">
        <is>
          <t>INFO_10K_FY2018 p42</t>
        </is>
      </c>
    </row>
    <row r="349">
      <c r="A349" s="39" t="inlineStr">
        <is>
          <t>Total revenue (IHS Markit consolidated)</t>
        </is>
      </c>
      <c r="B349" s="3" t="n"/>
      <c r="C349" s="3" t="n"/>
      <c r="D349" s="18" t="n">
        <v>2734.8</v>
      </c>
      <c r="E349" s="18" t="n">
        <v>3599.7</v>
      </c>
      <c r="F349" s="18" t="n">
        <v>4009.2</v>
      </c>
      <c r="G349" s="3" t="n"/>
      <c r="H349" s="3" t="n"/>
      <c r="I349" s="3" t="n"/>
      <c r="J349" s="3" t="n"/>
      <c r="K349" s="3" t="n"/>
      <c r="L349" s="3" t="n"/>
      <c r="M349" s="3" t="n"/>
      <c r="N349" s="3" t="n"/>
      <c r="O349" s="3" t="n"/>
      <c r="P349" s="3" t="n"/>
      <c r="Q349" s="3" t="n"/>
      <c r="R349" s="3" t="n"/>
      <c r="S349" s="3" t="n"/>
      <c r="T349" s="3" t="n"/>
      <c r="U349" s="3" t="n"/>
      <c r="V349" s="3" t="n"/>
      <c r="W349" s="3" t="n"/>
      <c r="X349" s="3" t="n"/>
      <c r="Y349" s="4" t="inlineStr">
        <is>
          <t>INFO_10K_FY2018 p42</t>
        </is>
      </c>
    </row>
    <row r="350">
      <c r="A350" s="14" t="inlineStr">
        <is>
          <t>INFO_10K_FY2018 · MD&amp;A Revenue growth drivers (percentage points)</t>
        </is>
      </c>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row>
    <row r="351">
      <c r="A351" s="38" t="inlineStr">
        <is>
          <t>Transportation revenue - Organic</t>
        </is>
      </c>
      <c r="B351" s="3" t="n"/>
      <c r="C351" s="3" t="n"/>
      <c r="D351" s="3" t="n"/>
      <c r="E351" s="41" t="n">
        <v>10</v>
      </c>
      <c r="F351" s="41" t="n">
        <v>11</v>
      </c>
      <c r="G351" s="3" t="n"/>
      <c r="H351" s="3" t="n"/>
      <c r="I351" s="3" t="n"/>
      <c r="J351" s="3" t="n"/>
      <c r="K351" s="3" t="n"/>
      <c r="L351" s="3" t="n"/>
      <c r="M351" s="3" t="n"/>
      <c r="N351" s="3" t="n"/>
      <c r="O351" s="3" t="n"/>
      <c r="P351" s="3" t="n"/>
      <c r="Q351" s="3" t="n"/>
      <c r="R351" s="3" t="n"/>
      <c r="S351" s="3" t="n"/>
      <c r="T351" s="3" t="n"/>
      <c r="U351" s="3" t="n"/>
      <c r="V351" s="3" t="n"/>
      <c r="W351" s="3" t="n"/>
      <c r="X351" s="3" t="n"/>
      <c r="Y351" s="4" t="inlineStr">
        <is>
          <t>INFO_10K_FY2018 p42</t>
        </is>
      </c>
    </row>
    <row r="352">
      <c r="A352" s="38" t="inlineStr">
        <is>
          <t>Transportation revenue - Acquisitive</t>
        </is>
      </c>
      <c r="B352" s="3" t="n"/>
      <c r="C352" s="3" t="n"/>
      <c r="D352" s="3" t="n"/>
      <c r="E352" s="41" t="n">
        <v>2</v>
      </c>
      <c r="F352" s="41" t="n">
        <v>6</v>
      </c>
      <c r="G352" s="3" t="n"/>
      <c r="H352" s="3" t="n"/>
      <c r="I352" s="3" t="n"/>
      <c r="J352" s="3" t="n"/>
      <c r="K352" s="3" t="n"/>
      <c r="L352" s="3" t="n"/>
      <c r="M352" s="3" t="n"/>
      <c r="N352" s="3" t="n"/>
      <c r="O352" s="3" t="n"/>
      <c r="P352" s="3" t="n"/>
      <c r="Q352" s="3" t="n"/>
      <c r="R352" s="3" t="n"/>
      <c r="S352" s="3" t="n"/>
      <c r="T352" s="3" t="n"/>
      <c r="U352" s="3" t="n"/>
      <c r="V352" s="3" t="n"/>
      <c r="W352" s="3" t="n"/>
      <c r="X352" s="3" t="n"/>
      <c r="Y352" s="4" t="inlineStr">
        <is>
          <t>INFO_10K_FY2018 p42</t>
        </is>
      </c>
    </row>
    <row r="353">
      <c r="A353" s="38" t="inlineStr">
        <is>
          <t>Transportation revenue - Foreign Currency</t>
        </is>
      </c>
      <c r="B353" s="3" t="n"/>
      <c r="C353" s="3" t="n"/>
      <c r="D353" s="3" t="n"/>
      <c r="E353" s="41" t="n">
        <v>0</v>
      </c>
      <c r="F353" s="41" t="n">
        <v>1</v>
      </c>
      <c r="G353" s="3" t="n"/>
      <c r="H353" s="3" t="n"/>
      <c r="I353" s="3" t="n"/>
      <c r="J353" s="3" t="n"/>
      <c r="K353" s="3" t="n"/>
      <c r="L353" s="3" t="n"/>
      <c r="M353" s="3" t="n"/>
      <c r="N353" s="3" t="n"/>
      <c r="O353" s="3" t="n"/>
      <c r="P353" s="3" t="n"/>
      <c r="Q353" s="3" t="n"/>
      <c r="R353" s="3" t="n"/>
      <c r="S353" s="3" t="n"/>
      <c r="T353" s="3" t="n"/>
      <c r="U353" s="3" t="n"/>
      <c r="V353" s="3" t="n"/>
      <c r="W353" s="3" t="n"/>
      <c r="X353" s="3" t="n"/>
      <c r="Y353" s="4" t="inlineStr">
        <is>
          <t>INFO_10K_FY2018 p42</t>
        </is>
      </c>
    </row>
    <row r="354">
      <c r="A354" s="14" t="inlineStr">
        <is>
          <t>INFO_10K_FY2018 · MD&amp;A Revenue by Transaction Type (narrative)</t>
        </is>
      </c>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row>
    <row r="355">
      <c r="A355" s="38" t="inlineStr">
        <is>
          <t>Transportation recurring revenue organic growth</t>
        </is>
      </c>
      <c r="B355" s="3" t="n"/>
      <c r="C355" s="3" t="n"/>
      <c r="D355" s="3" t="n"/>
      <c r="E355" s="41" t="n">
        <v>10</v>
      </c>
      <c r="F355" s="41" t="n">
        <v>11</v>
      </c>
      <c r="G355" s="3" t="n"/>
      <c r="H355" s="3" t="n"/>
      <c r="I355" s="3" t="n"/>
      <c r="J355" s="3" t="n"/>
      <c r="K355" s="3" t="n"/>
      <c r="L355" s="3" t="n"/>
      <c r="M355" s="3" t="n"/>
      <c r="N355" s="3" t="n"/>
      <c r="O355" s="3" t="n"/>
      <c r="P355" s="3" t="n"/>
      <c r="Q355" s="3" t="n"/>
      <c r="R355" s="3" t="n"/>
      <c r="S355" s="3" t="n"/>
      <c r="T355" s="3" t="n"/>
      <c r="U355" s="3" t="n"/>
      <c r="V355" s="3" t="n"/>
      <c r="W355" s="3" t="n"/>
      <c r="X355" s="3" t="n"/>
      <c r="Y355" s="4" t="inlineStr">
        <is>
          <t>INFO_10K_FY2018 p43</t>
        </is>
      </c>
    </row>
    <row r="356">
      <c r="A356" s="38" t="inlineStr">
        <is>
          <t>Non-recurring narrative (Transportation reference)</t>
        </is>
      </c>
      <c r="B356" s="3" t="n"/>
      <c r="C356" s="3" t="n"/>
      <c r="D356" s="3" t="n"/>
      <c r="E356" s="3" t="n"/>
      <c r="F356" s="42" t="inlineStr">
        <is>
          <t>2018 non-recurring increase primarily driven by automotive and Resources offerings; 2017 increase primarily by automotive and Financial Services offerings.</t>
        </is>
      </c>
      <c r="G356" s="3" t="n"/>
      <c r="H356" s="3" t="n"/>
      <c r="I356" s="3" t="n"/>
      <c r="J356" s="3" t="n"/>
      <c r="K356" s="3" t="n"/>
      <c r="L356" s="3" t="n"/>
      <c r="M356" s="3" t="n"/>
      <c r="N356" s="3" t="n"/>
      <c r="O356" s="3" t="n"/>
      <c r="P356" s="3" t="n"/>
      <c r="Q356" s="3" t="n"/>
      <c r="R356" s="3" t="n"/>
      <c r="S356" s="3" t="n"/>
      <c r="T356" s="3" t="n"/>
      <c r="U356" s="3" t="n"/>
      <c r="V356" s="3" t="n"/>
      <c r="W356" s="3" t="n"/>
      <c r="X356" s="3" t="n"/>
      <c r="Y356" s="4" t="inlineStr">
        <is>
          <t>INFO_10K_FY2018 p43</t>
        </is>
      </c>
    </row>
    <row r="357">
      <c r="A357" s="14" t="inlineStr">
        <is>
          <t>INFO_10K_FY2018 · MD&amp;A Revenue by Segment (narrative)</t>
        </is>
      </c>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row>
    <row r="358">
      <c r="A358" s="38" t="inlineStr">
        <is>
          <t>Transportation narrative</t>
        </is>
      </c>
      <c r="B358" s="3" t="n"/>
      <c r="C358" s="3" t="n"/>
      <c r="D358" s="3" t="n"/>
      <c r="E358" s="3" t="n"/>
      <c r="F358" s="42" t="inlineStr">
        <is>
          <t>2017-2018 growth from organic recurring and non-recurring growth mainly in automotive (used-car offerings, new-car innovation, digital marketing, strong recall activity); aM (Q4 FY2017) contributed acquisitive growth in 2018 and 2017.</t>
        </is>
      </c>
      <c r="G358" s="3" t="n"/>
      <c r="H358" s="3" t="n"/>
      <c r="I358" s="3" t="n"/>
      <c r="J358" s="3" t="n"/>
      <c r="K358" s="3" t="n"/>
      <c r="L358" s="3" t="n"/>
      <c r="M358" s="3" t="n"/>
      <c r="N358" s="3" t="n"/>
      <c r="O358" s="3" t="n"/>
      <c r="P358" s="3" t="n"/>
      <c r="Q358" s="3" t="n"/>
      <c r="R358" s="3" t="n"/>
      <c r="S358" s="3" t="n"/>
      <c r="T358" s="3" t="n"/>
      <c r="U358" s="3" t="n"/>
      <c r="V358" s="3" t="n"/>
      <c r="W358" s="3" t="n"/>
      <c r="X358" s="3" t="n"/>
      <c r="Y358" s="4" t="inlineStr">
        <is>
          <t>INFO_10K_FY2018 p42</t>
        </is>
      </c>
    </row>
    <row r="359">
      <c r="A359" s="38" t="inlineStr">
        <is>
          <t>Transportation drivers 2017-2018 (detail)</t>
        </is>
      </c>
      <c r="B359" s="3" t="n"/>
      <c r="C359" s="3" t="n"/>
      <c r="D359" s="3" t="n"/>
      <c r="E359" s="3" t="n"/>
      <c r="F359" s="42" t="inlineStr">
        <is>
          <t>Strong automotive organic growth from used car offerings and new car innovation (digital marketing, new automotive technologies, global regulatory pressure to curb fuel consumption and emissions), along with strong recall activity; aM (Q4 2017) contributed acquisitive growth in 2018 and 2017.</t>
        </is>
      </c>
      <c r="G359" s="3" t="n"/>
      <c r="H359" s="3" t="n"/>
      <c r="I359" s="3" t="n"/>
      <c r="J359" s="3" t="n"/>
      <c r="K359" s="3" t="n"/>
      <c r="L359" s="3" t="n"/>
      <c r="M359" s="3" t="n"/>
      <c r="N359" s="3" t="n"/>
      <c r="O359" s="3" t="n"/>
      <c r="P359" s="3" t="n"/>
      <c r="Q359" s="3" t="n"/>
      <c r="R359" s="3" t="n"/>
      <c r="S359" s="3" t="n"/>
      <c r="T359" s="3" t="n"/>
      <c r="U359" s="3" t="n"/>
      <c r="V359" s="3" t="n"/>
      <c r="W359" s="3" t="n"/>
      <c r="X359" s="3" t="n"/>
      <c r="Y359" s="4" t="inlineStr">
        <is>
          <t>INFO_10K_FY2018 p42</t>
        </is>
      </c>
    </row>
    <row r="360">
      <c r="A360" s="14" t="inlineStr">
        <is>
          <t>INFO_10K_FY2018 · MD&amp;A Segment Adjusted EBITDA</t>
        </is>
      </c>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row>
    <row r="361">
      <c r="A361" s="39" t="inlineStr">
        <is>
          <t>Transportation Adjusted EBITDA</t>
        </is>
      </c>
      <c r="B361" s="3" t="n"/>
      <c r="C361" s="3" t="n"/>
      <c r="D361" s="18" t="n">
        <v>353.3</v>
      </c>
      <c r="E361" s="18" t="n">
        <v>408.6</v>
      </c>
      <c r="F361" s="18" t="n">
        <v>479.3</v>
      </c>
      <c r="G361" s="3" t="n"/>
      <c r="H361" s="3" t="n"/>
      <c r="I361" s="3" t="n"/>
      <c r="J361" s="3" t="n"/>
      <c r="K361" s="3" t="n"/>
      <c r="L361" s="3" t="n"/>
      <c r="M361" s="3" t="n"/>
      <c r="N361" s="3" t="n"/>
      <c r="O361" s="3" t="n"/>
      <c r="P361" s="3" t="n"/>
      <c r="Q361" s="3" t="n"/>
      <c r="R361" s="3" t="n"/>
      <c r="S361" s="3" t="n"/>
      <c r="T361" s="3" t="n"/>
      <c r="U361" s="3" t="n"/>
      <c r="V361" s="3" t="n"/>
      <c r="W361" s="3" t="n"/>
      <c r="X361" s="3" t="n"/>
      <c r="Y361" s="4" t="inlineStr">
        <is>
          <t>INFO_10K_FY2018 p44</t>
        </is>
      </c>
    </row>
    <row r="362">
      <c r="A362" s="38" t="inlineStr">
        <is>
          <t>Transportation Adjusted EBITDA % Change (vs prior year)</t>
        </is>
      </c>
      <c r="B362" s="3" t="n"/>
      <c r="C362" s="3" t="n"/>
      <c r="D362" s="3" t="n"/>
      <c r="E362" s="41" t="n">
        <v>16</v>
      </c>
      <c r="F362" s="41" t="n">
        <v>17</v>
      </c>
      <c r="G362" s="3" t="n"/>
      <c r="H362" s="3" t="n"/>
      <c r="I362" s="3" t="n"/>
      <c r="J362" s="3" t="n"/>
      <c r="K362" s="3" t="n"/>
      <c r="L362" s="3" t="n"/>
      <c r="M362" s="3" t="n"/>
      <c r="N362" s="3" t="n"/>
      <c r="O362" s="3" t="n"/>
      <c r="P362" s="3" t="n"/>
      <c r="Q362" s="3" t="n"/>
      <c r="R362" s="3" t="n"/>
      <c r="S362" s="3" t="n"/>
      <c r="T362" s="3" t="n"/>
      <c r="U362" s="3" t="n"/>
      <c r="V362" s="3" t="n"/>
      <c r="W362" s="3" t="n"/>
      <c r="X362" s="3" t="n"/>
      <c r="Y362" s="4" t="inlineStr">
        <is>
          <t>INFO_10K_FY2018 p44</t>
        </is>
      </c>
    </row>
    <row r="363">
      <c r="A363" s="38" t="inlineStr">
        <is>
          <t>Transportation Adjusted EBITDA as a percent of segment revenue</t>
        </is>
      </c>
      <c r="B363" s="3" t="n"/>
      <c r="C363" s="3" t="n"/>
      <c r="D363" s="41" t="n">
        <v>40</v>
      </c>
      <c r="E363" s="41" t="n">
        <v>41</v>
      </c>
      <c r="F363" s="41" t="n">
        <v>41</v>
      </c>
      <c r="G363" s="3" t="n"/>
      <c r="H363" s="3" t="n"/>
      <c r="I363" s="3" t="n"/>
      <c r="J363" s="3" t="n"/>
      <c r="K363" s="3" t="n"/>
      <c r="L363" s="3" t="n"/>
      <c r="M363" s="3" t="n"/>
      <c r="N363" s="3" t="n"/>
      <c r="O363" s="3" t="n"/>
      <c r="P363" s="3" t="n"/>
      <c r="Q363" s="3" t="n"/>
      <c r="R363" s="3" t="n"/>
      <c r="S363" s="3" t="n"/>
      <c r="T363" s="3" t="n"/>
      <c r="U363" s="3" t="n"/>
      <c r="V363" s="3" t="n"/>
      <c r="W363" s="3" t="n"/>
      <c r="X363" s="3" t="n"/>
      <c r="Y363" s="4" t="inlineStr">
        <is>
          <t>INFO_10K_FY2018 p44</t>
        </is>
      </c>
    </row>
    <row r="364">
      <c r="A364" s="14" t="inlineStr">
        <is>
          <t>INFO_10K_FY2018 · Note Segment Information</t>
        </is>
      </c>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row>
    <row r="365">
      <c r="A365" s="39" t="inlineStr">
        <is>
          <t>Revenue - Transportation</t>
        </is>
      </c>
      <c r="B365" s="3" t="n"/>
      <c r="C365" s="3" t="n"/>
      <c r="D365" s="18" t="n">
        <v>892.8</v>
      </c>
      <c r="E365" s="18" t="n">
        <v>991.6</v>
      </c>
      <c r="F365" s="18" t="n">
        <v>1160.2</v>
      </c>
      <c r="G365" s="3" t="n"/>
      <c r="H365" s="3" t="n"/>
      <c r="I365" s="3" t="n"/>
      <c r="J365" s="3" t="n"/>
      <c r="K365" s="3" t="n"/>
      <c r="L365" s="3" t="n"/>
      <c r="M365" s="3" t="n"/>
      <c r="N365" s="3" t="n"/>
      <c r="O365" s="3" t="n"/>
      <c r="P365" s="3" t="n"/>
      <c r="Q365" s="3" t="n"/>
      <c r="R365" s="3" t="n"/>
      <c r="S365" s="3" t="n"/>
      <c r="T365" s="3" t="n"/>
      <c r="U365" s="3" t="n"/>
      <c r="V365" s="3" t="n"/>
      <c r="W365" s="3" t="n"/>
      <c r="X365" s="3" t="n"/>
      <c r="Y365" s="4" t="inlineStr">
        <is>
          <t>INFO_10K_FY2018 p84</t>
        </is>
      </c>
    </row>
    <row r="366">
      <c r="A366" s="39" t="inlineStr">
        <is>
          <t>Adjusted EBITDA - Transportation</t>
        </is>
      </c>
      <c r="B366" s="3" t="n"/>
      <c r="C366" s="3" t="n"/>
      <c r="D366" s="18" t="n">
        <v>353.3</v>
      </c>
      <c r="E366" s="18" t="n">
        <v>408.6</v>
      </c>
      <c r="F366" s="18" t="n">
        <v>479.3</v>
      </c>
      <c r="G366" s="3" t="n"/>
      <c r="H366" s="3" t="n"/>
      <c r="I366" s="3" t="n"/>
      <c r="J366" s="3" t="n"/>
      <c r="K366" s="3" t="n"/>
      <c r="L366" s="3" t="n"/>
      <c r="M366" s="3" t="n"/>
      <c r="N366" s="3" t="n"/>
      <c r="O366" s="3" t="n"/>
      <c r="P366" s="3" t="n"/>
      <c r="Q366" s="3" t="n"/>
      <c r="R366" s="3" t="n"/>
      <c r="S366" s="3" t="n"/>
      <c r="T366" s="3" t="n"/>
      <c r="U366" s="3" t="n"/>
      <c r="V366" s="3" t="n"/>
      <c r="W366" s="3" t="n"/>
      <c r="X366" s="3" t="n"/>
      <c r="Y366" s="4" t="inlineStr">
        <is>
          <t>INFO_10K_FY2018 p84</t>
        </is>
      </c>
    </row>
    <row r="367">
      <c r="A367" s="14" t="inlineStr">
        <is>
          <t>INFO_10K_FY2018 · Note Total assets by segment</t>
        </is>
      </c>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row>
    <row r="368">
      <c r="A368" s="38" t="inlineStr">
        <is>
          <t>Total Assets - Transportation</t>
        </is>
      </c>
      <c r="B368" s="3" t="n"/>
      <c r="C368" s="3" t="n"/>
      <c r="D368" s="3" t="n"/>
      <c r="E368" s="30" t="n">
        <v>3152</v>
      </c>
      <c r="F368" s="30" t="n">
        <v>3144.7</v>
      </c>
      <c r="G368" s="3" t="n"/>
      <c r="H368" s="3" t="n"/>
      <c r="I368" s="3" t="n"/>
      <c r="J368" s="3" t="n"/>
      <c r="K368" s="3" t="n"/>
      <c r="L368" s="3" t="n"/>
      <c r="M368" s="3" t="n"/>
      <c r="N368" s="3" t="n"/>
      <c r="O368" s="3" t="n"/>
      <c r="P368" s="3" t="n"/>
      <c r="Q368" s="3" t="n"/>
      <c r="R368" s="3" t="n"/>
      <c r="S368" s="3" t="n"/>
      <c r="T368" s="3" t="n"/>
      <c r="U368" s="3" t="n"/>
      <c r="V368" s="3" t="n"/>
      <c r="W368" s="3" t="n"/>
      <c r="X368" s="3" t="n"/>
      <c r="Y368" s="4" t="inlineStr">
        <is>
          <t>INFO_10K_FY2018 p85</t>
        </is>
      </c>
    </row>
    <row r="369">
      <c r="A369" s="14" t="inlineStr">
        <is>
          <t>INFO_10K_FY2018 · Note Goodwill activity</t>
        </is>
      </c>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row>
    <row r="370">
      <c r="A370" s="38" t="inlineStr">
        <is>
          <t>Goodwill - Transportation - Balance at November 30</t>
        </is>
      </c>
      <c r="B370" s="3" t="n"/>
      <c r="C370" s="3" t="n"/>
      <c r="D370" s="30" t="n">
        <v>1671.1</v>
      </c>
      <c r="E370" s="30" t="n">
        <v>2055.6</v>
      </c>
      <c r="F370" s="30" t="n">
        <v>2031.6</v>
      </c>
      <c r="G370" s="3" t="n"/>
      <c r="H370" s="3" t="n"/>
      <c r="I370" s="3" t="n"/>
      <c r="J370" s="3" t="n"/>
      <c r="K370" s="3" t="n"/>
      <c r="L370" s="3" t="n"/>
      <c r="M370" s="3" t="n"/>
      <c r="N370" s="3" t="n"/>
      <c r="O370" s="3" t="n"/>
      <c r="P370" s="3" t="n"/>
      <c r="Q370" s="3" t="n"/>
      <c r="R370" s="3" t="n"/>
      <c r="S370" s="3" t="n"/>
      <c r="T370" s="3" t="n"/>
      <c r="U370" s="3" t="n"/>
      <c r="V370" s="3" t="n"/>
      <c r="W370" s="3" t="n"/>
      <c r="X370" s="3" t="n"/>
      <c r="Y370" s="4" t="inlineStr">
        <is>
          <t>INFO_10K_FY2018 p85</t>
        </is>
      </c>
    </row>
    <row r="371">
      <c r="A371" s="38" t="inlineStr">
        <is>
          <t>Goodwill - Transportation - Acquisitions</t>
        </is>
      </c>
      <c r="B371" s="3" t="n"/>
      <c r="C371" s="3" t="n"/>
      <c r="D371" s="3" t="n"/>
      <c r="E371" s="30" t="n">
        <v>362.3</v>
      </c>
      <c r="F371" s="3" t="n"/>
      <c r="G371" s="3" t="n"/>
      <c r="H371" s="3" t="n"/>
      <c r="I371" s="3" t="n"/>
      <c r="J371" s="3" t="n"/>
      <c r="K371" s="3" t="n"/>
      <c r="L371" s="3" t="n"/>
      <c r="M371" s="3" t="n"/>
      <c r="N371" s="3" t="n"/>
      <c r="O371" s="3" t="n"/>
      <c r="P371" s="3" t="n"/>
      <c r="Q371" s="3" t="n"/>
      <c r="R371" s="3" t="n"/>
      <c r="S371" s="3" t="n"/>
      <c r="T371" s="3" t="n"/>
      <c r="U371" s="3" t="n"/>
      <c r="V371" s="3" t="n"/>
      <c r="W371" s="3" t="n"/>
      <c r="X371" s="3" t="n"/>
      <c r="Y371" s="4" t="inlineStr">
        <is>
          <t>INFO_10K_FY2018 p85</t>
        </is>
      </c>
    </row>
    <row r="372">
      <c r="A372" s="38" t="inlineStr">
        <is>
          <t>Goodwill - Transportation - Adjustments to purchase price</t>
        </is>
      </c>
      <c r="B372" s="3" t="n"/>
      <c r="C372" s="3" t="n"/>
      <c r="D372" s="3" t="n"/>
      <c r="E372" s="3" t="n"/>
      <c r="F372" s="30" t="n">
        <v>-7.3</v>
      </c>
      <c r="G372" s="3" t="n"/>
      <c r="H372" s="3" t="n"/>
      <c r="I372" s="3" t="n"/>
      <c r="J372" s="3" t="n"/>
      <c r="K372" s="3" t="n"/>
      <c r="L372" s="3" t="n"/>
      <c r="M372" s="3" t="n"/>
      <c r="N372" s="3" t="n"/>
      <c r="O372" s="3" t="n"/>
      <c r="P372" s="3" t="n"/>
      <c r="Q372" s="3" t="n"/>
      <c r="R372" s="3" t="n"/>
      <c r="S372" s="3" t="n"/>
      <c r="T372" s="3" t="n"/>
      <c r="U372" s="3" t="n"/>
      <c r="V372" s="3" t="n"/>
      <c r="W372" s="3" t="n"/>
      <c r="X372" s="3" t="n"/>
      <c r="Y372" s="4" t="inlineStr">
        <is>
          <t>INFO_10K_FY2018 p85</t>
        </is>
      </c>
    </row>
    <row r="373">
      <c r="A373" s="38" t="inlineStr">
        <is>
          <t>Goodwill - Transportation - Foreign currency translation</t>
        </is>
      </c>
      <c r="B373" s="3" t="n"/>
      <c r="C373" s="3" t="n"/>
      <c r="D373" s="3" t="n"/>
      <c r="E373" s="30" t="n">
        <v>22.2</v>
      </c>
      <c r="F373" s="30" t="n">
        <v>-16.7</v>
      </c>
      <c r="G373" s="3" t="n"/>
      <c r="H373" s="3" t="n"/>
      <c r="I373" s="3" t="n"/>
      <c r="J373" s="3" t="n"/>
      <c r="K373" s="3" t="n"/>
      <c r="L373" s="3" t="n"/>
      <c r="M373" s="3" t="n"/>
      <c r="N373" s="3" t="n"/>
      <c r="O373" s="3" t="n"/>
      <c r="P373" s="3" t="n"/>
      <c r="Q373" s="3" t="n"/>
      <c r="R373" s="3" t="n"/>
      <c r="S373" s="3" t="n"/>
      <c r="T373" s="3" t="n"/>
      <c r="U373" s="3" t="n"/>
      <c r="V373" s="3" t="n"/>
      <c r="W373" s="3" t="n"/>
      <c r="X373" s="3" t="n"/>
      <c r="Y373" s="4" t="inlineStr">
        <is>
          <t>INFO_10K_FY2018 p85</t>
        </is>
      </c>
    </row>
    <row r="374">
      <c r="A374" s="14" t="inlineStr">
        <is>
          <t>INFO_10K_FY2018 · Note Acquisitions and Divestitures</t>
        </is>
      </c>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row>
    <row r="375">
      <c r="A375" s="38" t="inlineStr">
        <is>
          <t>Acquisition: automotiveMastermind Inc. (aM) - Sept 25, 2017 (Transportation segment)</t>
        </is>
      </c>
      <c r="B375" s="3" t="n"/>
      <c r="C375" s="3" t="n"/>
      <c r="D375" s="3" t="n"/>
      <c r="E375" s="3" t="n"/>
      <c r="F375" s="42" t="inlineStr">
        <is>
          <t>Initial cash ~$432m for 78% (incl. est. $43m contingent consideration). Remaining 22% via founder/employee equity with put/call over 5 years tied to aM adjusted EBITDA, accounted as compensation expense (acquisition-related costs); estimate reduced in Q3-2018 to $150.0m-$175.0m.</t>
        </is>
      </c>
      <c r="G375" s="3" t="n"/>
      <c r="H375" s="3" t="n"/>
      <c r="I375" s="3" t="n"/>
      <c r="J375" s="3" t="n"/>
      <c r="K375" s="3" t="n"/>
      <c r="L375" s="3" t="n"/>
      <c r="M375" s="3" t="n"/>
      <c r="N375" s="3" t="n"/>
      <c r="O375" s="3" t="n"/>
      <c r="P375" s="3" t="n"/>
      <c r="Q375" s="3" t="n"/>
      <c r="R375" s="3" t="n"/>
      <c r="S375" s="3" t="n"/>
      <c r="T375" s="3" t="n"/>
      <c r="U375" s="3" t="n"/>
      <c r="V375" s="3" t="n"/>
      <c r="W375" s="3" t="n"/>
      <c r="X375" s="3" t="n"/>
      <c r="Y375" s="4" t="inlineStr">
        <is>
          <t>INFO_10K_FY2018 p64</t>
        </is>
      </c>
    </row>
    <row r="376">
      <c r="A376" s="38" t="inlineStr">
        <is>
          <t>aM remaining 22 percent - estimated unrecognized compensation expense range, low (revised Q3 2018)</t>
        </is>
      </c>
      <c r="B376" s="3" t="n"/>
      <c r="C376" s="3" t="n"/>
      <c r="D376" s="3" t="n"/>
      <c r="E376" s="3" t="n"/>
      <c r="F376" s="30" t="n">
        <v>150</v>
      </c>
      <c r="G376" s="3" t="n"/>
      <c r="H376" s="3" t="n"/>
      <c r="I376" s="3" t="n"/>
      <c r="J376" s="3" t="n"/>
      <c r="K376" s="3" t="n"/>
      <c r="L376" s="3" t="n"/>
      <c r="M376" s="3" t="n"/>
      <c r="N376" s="3" t="n"/>
      <c r="O376" s="3" t="n"/>
      <c r="P376" s="3" t="n"/>
      <c r="Q376" s="3" t="n"/>
      <c r="R376" s="3" t="n"/>
      <c r="S376" s="3" t="n"/>
      <c r="T376" s="3" t="n"/>
      <c r="U376" s="3" t="n"/>
      <c r="V376" s="3" t="n"/>
      <c r="W376" s="3" t="n"/>
      <c r="X376" s="3" t="n"/>
      <c r="Y376" s="4" t="inlineStr">
        <is>
          <t>INFO_10K_FY2018 p64</t>
        </is>
      </c>
    </row>
    <row r="377">
      <c r="A377" s="38" t="inlineStr">
        <is>
          <t>aM remaining 22 percent - estimated unrecognized compensation expense range, high (revised Q3 2018)</t>
        </is>
      </c>
      <c r="B377" s="3" t="n"/>
      <c r="C377" s="3" t="n"/>
      <c r="D377" s="3" t="n"/>
      <c r="E377" s="3" t="n"/>
      <c r="F377" s="30" t="n">
        <v>175</v>
      </c>
      <c r="G377" s="3" t="n"/>
      <c r="H377" s="3" t="n"/>
      <c r="I377" s="3" t="n"/>
      <c r="J377" s="3" t="n"/>
      <c r="K377" s="3" t="n"/>
      <c r="L377" s="3" t="n"/>
      <c r="M377" s="3" t="n"/>
      <c r="N377" s="3" t="n"/>
      <c r="O377" s="3" t="n"/>
      <c r="P377" s="3" t="n"/>
      <c r="Q377" s="3" t="n"/>
      <c r="R377" s="3" t="n"/>
      <c r="S377" s="3" t="n"/>
      <c r="T377" s="3" t="n"/>
      <c r="U377" s="3" t="n"/>
      <c r="V377" s="3" t="n"/>
      <c r="W377" s="3" t="n"/>
      <c r="X377" s="3" t="n"/>
      <c r="Y377" s="4" t="inlineStr">
        <is>
          <t>INFO_10K_FY2018 p64</t>
        </is>
      </c>
    </row>
    <row r="378">
      <c r="A378" s="14" t="inlineStr">
        <is>
          <t>INFO_10K_FY2018 · Note Segment Information (reconciliation, consolidated)</t>
        </is>
      </c>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row>
    <row r="379">
      <c r="A379" s="38" t="inlineStr">
        <is>
          <t>Acquisition-related performance compensation (aM)</t>
        </is>
      </c>
      <c r="B379" s="3" t="n"/>
      <c r="C379" s="3" t="n"/>
      <c r="D379" s="3" t="n"/>
      <c r="E379" s="30" t="n">
        <v>-9.9</v>
      </c>
      <c r="F379" s="30" t="n">
        <v>-54.1</v>
      </c>
      <c r="G379" s="3" t="n"/>
      <c r="H379" s="3" t="n"/>
      <c r="I379" s="3" t="n"/>
      <c r="J379" s="3" t="n"/>
      <c r="K379" s="3" t="n"/>
      <c r="L379" s="3" t="n"/>
      <c r="M379" s="3" t="n"/>
      <c r="N379" s="3" t="n"/>
      <c r="O379" s="3" t="n"/>
      <c r="P379" s="3" t="n"/>
      <c r="Q379" s="3" t="n"/>
      <c r="R379" s="3" t="n"/>
      <c r="S379" s="3" t="n"/>
      <c r="T379" s="3" t="n"/>
      <c r="U379" s="3" t="n"/>
      <c r="V379" s="3" t="n"/>
      <c r="W379" s="3" t="n"/>
      <c r="X379" s="3" t="n"/>
      <c r="Y379" s="4" t="inlineStr">
        <is>
          <t>INFO_10K_FY2018 p84</t>
        </is>
      </c>
    </row>
    <row r="380">
      <c r="A380" s="14" t="inlineStr">
        <is>
          <t>INFO_10K_FY2017 · Item 1 Transportation segment description</t>
        </is>
      </c>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row>
    <row r="381">
      <c r="A381" s="38" t="inlineStr">
        <is>
          <t>Segment description (summary)</t>
        </is>
      </c>
      <c r="B381" s="3" t="n"/>
      <c r="C381" s="3" t="n"/>
      <c r="D381" s="3" t="n"/>
      <c r="E381" s="42" t="inlineStr">
        <is>
          <t>Transportation = Automotive (about 80 percent of segment revenue) plus Maritime &amp; Trade and Aerospace, Defense &amp; Security (balance). Automotive: new-car forecasts, sales/marketing tools on more than 7bn US ownership records (Polk heritage), CARFAX used-car products; aM acquired Sept-2017.</t>
        </is>
      </c>
      <c r="F381" s="3" t="n"/>
      <c r="G381" s="3" t="n"/>
      <c r="H381" s="3" t="n"/>
      <c r="I381" s="3" t="n"/>
      <c r="J381" s="3" t="n"/>
      <c r="K381" s="3" t="n"/>
      <c r="L381" s="3" t="n"/>
      <c r="M381" s="3" t="n"/>
      <c r="N381" s="3" t="n"/>
      <c r="O381" s="3" t="n"/>
      <c r="P381" s="3" t="n"/>
      <c r="Q381" s="3" t="n"/>
      <c r="R381" s="3" t="n"/>
      <c r="S381" s="3" t="n"/>
      <c r="T381" s="3" t="n"/>
      <c r="U381" s="3" t="n"/>
      <c r="V381" s="3" t="n"/>
      <c r="W381" s="3" t="n"/>
      <c r="X381" s="3" t="n"/>
      <c r="Y381" s="4" t="inlineStr">
        <is>
          <t>INFO_10K_FY2017 p9</t>
        </is>
      </c>
    </row>
    <row r="382">
      <c r="A382" s="38" t="inlineStr">
        <is>
          <t>Automotive offerings share of segment revenue (about)</t>
        </is>
      </c>
      <c r="B382" s="3" t="n"/>
      <c r="C382" s="3" t="n"/>
      <c r="D382" s="3" t="n"/>
      <c r="E382" s="41" t="n">
        <v>80</v>
      </c>
      <c r="F382" s="3" t="n"/>
      <c r="G382" s="3" t="n"/>
      <c r="H382" s="3" t="n"/>
      <c r="I382" s="3" t="n"/>
      <c r="J382" s="3" t="n"/>
      <c r="K382" s="3" t="n"/>
      <c r="L382" s="3" t="n"/>
      <c r="M382" s="3" t="n"/>
      <c r="N382" s="3" t="n"/>
      <c r="O382" s="3" t="n"/>
      <c r="P382" s="3" t="n"/>
      <c r="Q382" s="3" t="n"/>
      <c r="R382" s="3" t="n"/>
      <c r="S382" s="3" t="n"/>
      <c r="T382" s="3" t="n"/>
      <c r="U382" s="3" t="n"/>
      <c r="V382" s="3" t="n"/>
      <c r="W382" s="3" t="n"/>
      <c r="X382" s="3" t="n"/>
      <c r="Y382" s="4" t="inlineStr">
        <is>
          <t>INFO_10K_FY2017 p9</t>
        </is>
      </c>
    </row>
    <row r="383">
      <c r="A383" s="38" t="inlineStr">
        <is>
          <t>CARFAX data scale (printed)</t>
        </is>
      </c>
      <c r="B383" s="3" t="n"/>
      <c r="C383" s="3" t="n"/>
      <c r="D383" s="3" t="n"/>
      <c r="E383" s="42" t="inlineStr">
        <is>
          <t>CARFAX vehicle history based on more than 19 billion records collected from more than 110,000 data sources (used car offerings: CARFAX (U.S.) and CARPROOF (Canada))</t>
        </is>
      </c>
      <c r="F383" s="3" t="n"/>
      <c r="G383" s="3" t="n"/>
      <c r="H383" s="3" t="n"/>
      <c r="I383" s="3" t="n"/>
      <c r="J383" s="3" t="n"/>
      <c r="K383" s="3" t="n"/>
      <c r="L383" s="3" t="n"/>
      <c r="M383" s="3" t="n"/>
      <c r="N383" s="3" t="n"/>
      <c r="O383" s="3" t="n"/>
      <c r="P383" s="3" t="n"/>
      <c r="Q383" s="3" t="n"/>
      <c r="R383" s="3" t="n"/>
      <c r="S383" s="3" t="n"/>
      <c r="T383" s="3" t="n"/>
      <c r="U383" s="3" t="n"/>
      <c r="V383" s="3" t="n"/>
      <c r="W383" s="3" t="n"/>
      <c r="X383" s="3" t="n"/>
      <c r="Y383" s="4" t="inlineStr">
        <is>
          <t>INFO_10K_FY2017 p10</t>
        </is>
      </c>
    </row>
    <row r="384">
      <c r="A384" s="38" t="inlineStr">
        <is>
          <t>Forecast database coverage of global light vehicle sales and production (percent)</t>
        </is>
      </c>
      <c r="B384" s="3" t="n"/>
      <c r="C384" s="3" t="n"/>
      <c r="D384" s="3" t="n"/>
      <c r="E384" s="41" t="n">
        <v>99</v>
      </c>
      <c r="F384" s="3" t="n"/>
      <c r="G384" s="3" t="n"/>
      <c r="H384" s="3" t="n"/>
      <c r="I384" s="3" t="n"/>
      <c r="J384" s="3" t="n"/>
      <c r="K384" s="3" t="n"/>
      <c r="L384" s="3" t="n"/>
      <c r="M384" s="3" t="n"/>
      <c r="N384" s="3" t="n"/>
      <c r="O384" s="3" t="n"/>
      <c r="P384" s="3" t="n"/>
      <c r="Q384" s="3" t="n"/>
      <c r="R384" s="3" t="n"/>
      <c r="S384" s="3" t="n"/>
      <c r="T384" s="3" t="n"/>
      <c r="U384" s="3" t="n"/>
      <c r="V384" s="3" t="n"/>
      <c r="W384" s="3" t="n"/>
      <c r="X384" s="3" t="n"/>
      <c r="Y384" s="4" t="inlineStr">
        <is>
          <t>INFO_10K_FY2017 p9</t>
        </is>
      </c>
    </row>
    <row r="385">
      <c r="A385" s="38" t="inlineStr">
        <is>
          <t>Unique vehicle model variants forecast (more than)</t>
        </is>
      </c>
      <c r="B385" s="3" t="n"/>
      <c r="C385" s="3" t="n"/>
      <c r="D385" s="3" t="n"/>
      <c r="E385" s="40" t="n">
        <v>50000</v>
      </c>
      <c r="F385" s="3" t="n"/>
      <c r="G385" s="3" t="n"/>
      <c r="H385" s="3" t="n"/>
      <c r="I385" s="3" t="n"/>
      <c r="J385" s="3" t="n"/>
      <c r="K385" s="3" t="n"/>
      <c r="L385" s="3" t="n"/>
      <c r="M385" s="3" t="n"/>
      <c r="N385" s="3" t="n"/>
      <c r="O385" s="3" t="n"/>
      <c r="P385" s="3" t="n"/>
      <c r="Q385" s="3" t="n"/>
      <c r="R385" s="3" t="n"/>
      <c r="S385" s="3" t="n"/>
      <c r="T385" s="3" t="n"/>
      <c r="U385" s="3" t="n"/>
      <c r="V385" s="3" t="n"/>
      <c r="W385" s="3" t="n"/>
      <c r="X385" s="3" t="n"/>
      <c r="Y385" s="4" t="inlineStr">
        <is>
          <t>INFO_10K_FY2017 p9</t>
        </is>
      </c>
    </row>
    <row r="386">
      <c r="A386" s="38" t="inlineStr">
        <is>
          <t>Vehicle systems, sub-systems and components forecast (more than)</t>
        </is>
      </c>
      <c r="B386" s="3" t="n"/>
      <c r="C386" s="3" t="n"/>
      <c r="D386" s="3" t="n"/>
      <c r="E386" s="40" t="n">
        <v>100</v>
      </c>
      <c r="F386" s="3" t="n"/>
      <c r="G386" s="3" t="n"/>
      <c r="H386" s="3" t="n"/>
      <c r="I386" s="3" t="n"/>
      <c r="J386" s="3" t="n"/>
      <c r="K386" s="3" t="n"/>
      <c r="L386" s="3" t="n"/>
      <c r="M386" s="3" t="n"/>
      <c r="N386" s="3" t="n"/>
      <c r="O386" s="3" t="n"/>
      <c r="P386" s="3" t="n"/>
      <c r="Q386" s="3" t="n"/>
      <c r="R386" s="3" t="n"/>
      <c r="S386" s="3" t="n"/>
      <c r="T386" s="3" t="n"/>
      <c r="U386" s="3" t="n"/>
      <c r="V386" s="3" t="n"/>
      <c r="W386" s="3" t="n"/>
      <c r="X386" s="3" t="n"/>
      <c r="Y386" s="4" t="inlineStr">
        <is>
          <t>INFO_10K_FY2017 p9</t>
        </is>
      </c>
    </row>
    <row r="387">
      <c r="A387" s="38" t="inlineStr">
        <is>
          <t>U.S. sales and marketing database - ownership records (more than, billions)</t>
        </is>
      </c>
      <c r="B387" s="3" t="n"/>
      <c r="C387" s="3" t="n"/>
      <c r="D387" s="3" t="n"/>
      <c r="E387" s="40" t="n">
        <v>7</v>
      </c>
      <c r="F387" s="3" t="n"/>
      <c r="G387" s="3" t="n"/>
      <c r="H387" s="3" t="n"/>
      <c r="I387" s="3" t="n"/>
      <c r="J387" s="3" t="n"/>
      <c r="K387" s="3" t="n"/>
      <c r="L387" s="3" t="n"/>
      <c r="M387" s="3" t="n"/>
      <c r="N387" s="3" t="n"/>
      <c r="O387" s="3" t="n"/>
      <c r="P387" s="3" t="n"/>
      <c r="Q387" s="3" t="n"/>
      <c r="R387" s="3" t="n"/>
      <c r="S387" s="3" t="n"/>
      <c r="T387" s="3" t="n"/>
      <c r="U387" s="3" t="n"/>
      <c r="V387" s="3" t="n"/>
      <c r="W387" s="3" t="n"/>
      <c r="X387" s="3" t="n"/>
      <c r="Y387" s="4" t="inlineStr">
        <is>
          <t>INFO_10K_FY2017 p9</t>
        </is>
      </c>
    </row>
    <row r="388">
      <c r="A388" s="38" t="inlineStr">
        <is>
          <t>U.S. ownership database coverage (printed)</t>
        </is>
      </c>
      <c r="B388" s="3" t="n"/>
      <c r="C388" s="3" t="n"/>
      <c r="D388" s="3" t="n"/>
      <c r="E388" s="42" t="inlineStr">
        <is>
          <t>covering 760 million vehicles and more than 240 million US households over a period of 25 years</t>
        </is>
      </c>
      <c r="F388" s="3" t="n"/>
      <c r="G388" s="3" t="n"/>
      <c r="H388" s="3" t="n"/>
      <c r="I388" s="3" t="n"/>
      <c r="J388" s="3" t="n"/>
      <c r="K388" s="3" t="n"/>
      <c r="L388" s="3" t="n"/>
      <c r="M388" s="3" t="n"/>
      <c r="N388" s="3" t="n"/>
      <c r="O388" s="3" t="n"/>
      <c r="P388" s="3" t="n"/>
      <c r="Q388" s="3" t="n"/>
      <c r="R388" s="3" t="n"/>
      <c r="S388" s="3" t="n"/>
      <c r="T388" s="3" t="n"/>
      <c r="U388" s="3" t="n"/>
      <c r="V388" s="3" t="n"/>
      <c r="W388" s="3" t="n"/>
      <c r="X388" s="3" t="n"/>
      <c r="Y388" s="4" t="inlineStr">
        <is>
          <t>INFO_10K_FY2017 p9</t>
        </is>
      </c>
    </row>
    <row r="389">
      <c r="A389" s="38" t="inlineStr">
        <is>
          <t>M&amp;T data coverage (printed)</t>
        </is>
      </c>
      <c r="B389" s="3" t="n"/>
      <c r="C389" s="3" t="n"/>
      <c r="D389" s="3" t="n"/>
      <c r="E389" s="42" t="inlineStr">
        <is>
          <t>close to 200,000 ships over 100 gross tons; monthly import/export statistics on more than 90 countries; tracking and forecasting more than 90 percent of international trade by value</t>
        </is>
      </c>
      <c r="F389" s="3" t="n"/>
      <c r="G389" s="3" t="n"/>
      <c r="H389" s="3" t="n"/>
      <c r="I389" s="3" t="n"/>
      <c r="J389" s="3" t="n"/>
      <c r="K389" s="3" t="n"/>
      <c r="L389" s="3" t="n"/>
      <c r="M389" s="3" t="n"/>
      <c r="N389" s="3" t="n"/>
      <c r="O389" s="3" t="n"/>
      <c r="P389" s="3" t="n"/>
      <c r="Q389" s="3" t="n"/>
      <c r="R389" s="3" t="n"/>
      <c r="S389" s="3" t="n"/>
      <c r="T389" s="3" t="n"/>
      <c r="U389" s="3" t="n"/>
      <c r="V389" s="3" t="n"/>
      <c r="W389" s="3" t="n"/>
      <c r="X389" s="3" t="n"/>
      <c r="Y389" s="4" t="inlineStr">
        <is>
          <t>INFO_10K_FY2017 p10</t>
        </is>
      </c>
    </row>
    <row r="390">
      <c r="A390" s="38" t="inlineStr">
        <is>
          <t>AD&amp;S data coverage (printed)</t>
        </is>
      </c>
      <c r="B390" s="3" t="n"/>
      <c r="C390" s="3" t="n"/>
      <c r="D390" s="3" t="n"/>
      <c r="E390" s="42" t="inlineStr">
        <is>
          <t>specifications for thousands of military vehicles, naval vessels and aircraft types; budget forecasts cover more than 99 percent of global defense spending; more than 300,000 terrorism-related events analyzed</t>
        </is>
      </c>
      <c r="F390" s="3" t="n"/>
      <c r="G390" s="3" t="n"/>
      <c r="H390" s="3" t="n"/>
      <c r="I390" s="3" t="n"/>
      <c r="J390" s="3" t="n"/>
      <c r="K390" s="3" t="n"/>
      <c r="L390" s="3" t="n"/>
      <c r="M390" s="3" t="n"/>
      <c r="N390" s="3" t="n"/>
      <c r="O390" s="3" t="n"/>
      <c r="P390" s="3" t="n"/>
      <c r="Q390" s="3" t="n"/>
      <c r="R390" s="3" t="n"/>
      <c r="S390" s="3" t="n"/>
      <c r="T390" s="3" t="n"/>
      <c r="U390" s="3" t="n"/>
      <c r="V390" s="3" t="n"/>
      <c r="W390" s="3" t="n"/>
      <c r="X390" s="3" t="n"/>
      <c r="Y390" s="4" t="inlineStr">
        <is>
          <t>INFO_10K_FY2017 p10</t>
        </is>
      </c>
    </row>
    <row r="391">
      <c r="A391" s="14" t="inlineStr">
        <is>
          <t>INFO_10K_FY2017 · MD&amp;A Revenue by Segment</t>
        </is>
      </c>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row>
    <row r="392">
      <c r="A392" s="39" t="inlineStr">
        <is>
          <t>Transportation</t>
        </is>
      </c>
      <c r="B392" s="3" t="n"/>
      <c r="C392" s="18" t="n">
        <v>758.4</v>
      </c>
      <c r="D392" s="18" t="n">
        <v>892.8</v>
      </c>
      <c r="E392" s="18" t="n">
        <v>991.6</v>
      </c>
      <c r="F392" s="3" t="n"/>
      <c r="G392" s="3" t="n"/>
      <c r="H392" s="3" t="n"/>
      <c r="I392" s="3" t="n"/>
      <c r="J392" s="3" t="n"/>
      <c r="K392" s="3" t="n"/>
      <c r="L392" s="3" t="n"/>
      <c r="M392" s="3" t="n"/>
      <c r="N392" s="3" t="n"/>
      <c r="O392" s="3" t="n"/>
      <c r="P392" s="3" t="n"/>
      <c r="Q392" s="3" t="n"/>
      <c r="R392" s="3" t="n"/>
      <c r="S392" s="3" t="n"/>
      <c r="T392" s="3" t="n"/>
      <c r="U392" s="3" t="n"/>
      <c r="V392" s="3" t="n"/>
      <c r="W392" s="3" t="n"/>
      <c r="X392" s="3" t="n"/>
      <c r="Y392" s="4" t="inlineStr">
        <is>
          <t>INFO_10K_FY2017 p40</t>
        </is>
      </c>
    </row>
    <row r="393">
      <c r="A393" s="38" t="inlineStr">
        <is>
          <t>Transportation % Change (vs prior year)</t>
        </is>
      </c>
      <c r="B393" s="3" t="n"/>
      <c r="C393" s="3" t="n"/>
      <c r="D393" s="41" t="n">
        <v>18</v>
      </c>
      <c r="E393" s="41" t="n">
        <v>11</v>
      </c>
      <c r="F393" s="3" t="n"/>
      <c r="G393" s="3" t="n"/>
      <c r="H393" s="3" t="n"/>
      <c r="I393" s="3" t="n"/>
      <c r="J393" s="3" t="n"/>
      <c r="K393" s="3" t="n"/>
      <c r="L393" s="3" t="n"/>
      <c r="M393" s="3" t="n"/>
      <c r="N393" s="3" t="n"/>
      <c r="O393" s="3" t="n"/>
      <c r="P393" s="3" t="n"/>
      <c r="Q393" s="3" t="n"/>
      <c r="R393" s="3" t="n"/>
      <c r="S393" s="3" t="n"/>
      <c r="T393" s="3" t="n"/>
      <c r="U393" s="3" t="n"/>
      <c r="V393" s="3" t="n"/>
      <c r="W393" s="3" t="n"/>
      <c r="X393" s="3" t="n"/>
      <c r="Y393" s="4" t="inlineStr">
        <is>
          <t>INFO_10K_FY2017 p40</t>
        </is>
      </c>
    </row>
    <row r="394">
      <c r="A394" s="39" t="inlineStr">
        <is>
          <t>Total revenue (IHS Markit consolidated)</t>
        </is>
      </c>
      <c r="B394" s="3" t="n"/>
      <c r="C394" s="18" t="n">
        <v>2184.3</v>
      </c>
      <c r="D394" s="18" t="n">
        <v>2734.8</v>
      </c>
      <c r="E394" s="18" t="n">
        <v>3599.7</v>
      </c>
      <c r="F394" s="3" t="n"/>
      <c r="G394" s="3" t="n"/>
      <c r="H394" s="3" t="n"/>
      <c r="I394" s="3" t="n"/>
      <c r="J394" s="3" t="n"/>
      <c r="K394" s="3" t="n"/>
      <c r="L394" s="3" t="n"/>
      <c r="M394" s="3" t="n"/>
      <c r="N394" s="3" t="n"/>
      <c r="O394" s="3" t="n"/>
      <c r="P394" s="3" t="n"/>
      <c r="Q394" s="3" t="n"/>
      <c r="R394" s="3" t="n"/>
      <c r="S394" s="3" t="n"/>
      <c r="T394" s="3" t="n"/>
      <c r="U394" s="3" t="n"/>
      <c r="V394" s="3" t="n"/>
      <c r="W394" s="3" t="n"/>
      <c r="X394" s="3" t="n"/>
      <c r="Y394" s="4" t="inlineStr">
        <is>
          <t>INFO_10K_FY2017 p40</t>
        </is>
      </c>
    </row>
    <row r="395">
      <c r="A395" s="14" t="inlineStr">
        <is>
          <t>INFO_10K_FY2017 · MD&amp;A Revenue growth drivers (percentage points)</t>
        </is>
      </c>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row>
    <row r="396">
      <c r="A396" s="38" t="inlineStr">
        <is>
          <t>Transportation revenue - Organic</t>
        </is>
      </c>
      <c r="B396" s="3" t="n"/>
      <c r="C396" s="3" t="n"/>
      <c r="D396" s="41" t="n">
        <v>10</v>
      </c>
      <c r="E396" s="41" t="n">
        <v>10</v>
      </c>
      <c r="F396" s="3" t="n"/>
      <c r="G396" s="3" t="n"/>
      <c r="H396" s="3" t="n"/>
      <c r="I396" s="3" t="n"/>
      <c r="J396" s="3" t="n"/>
      <c r="K396" s="3" t="n"/>
      <c r="L396" s="3" t="n"/>
      <c r="M396" s="3" t="n"/>
      <c r="N396" s="3" t="n"/>
      <c r="O396" s="3" t="n"/>
      <c r="P396" s="3" t="n"/>
      <c r="Q396" s="3" t="n"/>
      <c r="R396" s="3" t="n"/>
      <c r="S396" s="3" t="n"/>
      <c r="T396" s="3" t="n"/>
      <c r="U396" s="3" t="n"/>
      <c r="V396" s="3" t="n"/>
      <c r="W396" s="3" t="n"/>
      <c r="X396" s="3" t="n"/>
      <c r="Y396" s="4" t="inlineStr">
        <is>
          <t>INFO_10K_FY2017 p40</t>
        </is>
      </c>
    </row>
    <row r="397">
      <c r="A397" s="38" t="inlineStr">
        <is>
          <t>Transportation revenue - Acquisitive</t>
        </is>
      </c>
      <c r="B397" s="3" t="n"/>
      <c r="C397" s="3" t="n"/>
      <c r="D397" s="41" t="n">
        <v>8</v>
      </c>
      <c r="E397" s="41" t="n">
        <v>2</v>
      </c>
      <c r="F397" s="3" t="n"/>
      <c r="G397" s="3" t="n"/>
      <c r="H397" s="3" t="n"/>
      <c r="I397" s="3" t="n"/>
      <c r="J397" s="3" t="n"/>
      <c r="K397" s="3" t="n"/>
      <c r="L397" s="3" t="n"/>
      <c r="M397" s="3" t="n"/>
      <c r="N397" s="3" t="n"/>
      <c r="O397" s="3" t="n"/>
      <c r="P397" s="3" t="n"/>
      <c r="Q397" s="3" t="n"/>
      <c r="R397" s="3" t="n"/>
      <c r="S397" s="3" t="n"/>
      <c r="T397" s="3" t="n"/>
      <c r="U397" s="3" t="n"/>
      <c r="V397" s="3" t="n"/>
      <c r="W397" s="3" t="n"/>
      <c r="X397" s="3" t="n"/>
      <c r="Y397" s="4" t="inlineStr">
        <is>
          <t>INFO_10K_FY2017 p40</t>
        </is>
      </c>
    </row>
    <row r="398">
      <c r="A398" s="38" t="inlineStr">
        <is>
          <t>Transportation revenue - Foreign Currency</t>
        </is>
      </c>
      <c r="B398" s="3" t="n"/>
      <c r="C398" s="3" t="n"/>
      <c r="D398" s="41" t="n">
        <v>-1</v>
      </c>
      <c r="E398" s="41" t="n">
        <v>0</v>
      </c>
      <c r="F398" s="3" t="n"/>
      <c r="G398" s="3" t="n"/>
      <c r="H398" s="3" t="n"/>
      <c r="I398" s="3" t="n"/>
      <c r="J398" s="3" t="n"/>
      <c r="K398" s="3" t="n"/>
      <c r="L398" s="3" t="n"/>
      <c r="M398" s="3" t="n"/>
      <c r="N398" s="3" t="n"/>
      <c r="O398" s="3" t="n"/>
      <c r="P398" s="3" t="n"/>
      <c r="Q398" s="3" t="n"/>
      <c r="R398" s="3" t="n"/>
      <c r="S398" s="3" t="n"/>
      <c r="T398" s="3" t="n"/>
      <c r="U398" s="3" t="n"/>
      <c r="V398" s="3" t="n"/>
      <c r="W398" s="3" t="n"/>
      <c r="X398" s="3" t="n"/>
      <c r="Y398" s="4" t="inlineStr">
        <is>
          <t>INFO_10K_FY2017 p40</t>
        </is>
      </c>
    </row>
    <row r="399">
      <c r="A399" s="14" t="inlineStr">
        <is>
          <t>INFO_10K_FY2017 · MD&amp;A Revenue by Transaction Type (narrative)</t>
        </is>
      </c>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row>
    <row r="400">
      <c r="A400" s="38" t="inlineStr">
        <is>
          <t>Transportation recurring revenue organic growth</t>
        </is>
      </c>
      <c r="B400" s="3" t="n"/>
      <c r="C400" s="3" t="n"/>
      <c r="D400" s="41" t="n">
        <v>10</v>
      </c>
      <c r="E400" s="41" t="n">
        <v>10</v>
      </c>
      <c r="F400" s="3" t="n"/>
      <c r="G400" s="3" t="n"/>
      <c r="H400" s="3" t="n"/>
      <c r="I400" s="3" t="n"/>
      <c r="J400" s="3" t="n"/>
      <c r="K400" s="3" t="n"/>
      <c r="L400" s="3" t="n"/>
      <c r="M400" s="3" t="n"/>
      <c r="N400" s="3" t="n"/>
      <c r="O400" s="3" t="n"/>
      <c r="P400" s="3" t="n"/>
      <c r="Q400" s="3" t="n"/>
      <c r="R400" s="3" t="n"/>
      <c r="S400" s="3" t="n"/>
      <c r="T400" s="3" t="n"/>
      <c r="U400" s="3" t="n"/>
      <c r="V400" s="3" t="n"/>
      <c r="W400" s="3" t="n"/>
      <c r="X400" s="3" t="n"/>
      <c r="Y400" s="4" t="inlineStr">
        <is>
          <t>INFO_10K_FY2017 p41</t>
        </is>
      </c>
    </row>
    <row r="401">
      <c r="A401" s="38" t="inlineStr">
        <is>
          <t>Non-recurring narrative (Transportation reference)</t>
        </is>
      </c>
      <c r="B401" s="3" t="n"/>
      <c r="C401" s="3" t="n"/>
      <c r="D401" s="42" t="inlineStr">
        <is>
          <t>2016 non-recurring decline (-3%) partially offset by the strength of the Transportation segment results; 2017 increase primarily driven by automotive and financial services offerings.</t>
        </is>
      </c>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4" t="inlineStr">
        <is>
          <t>INFO_10K_FY2017 p41</t>
        </is>
      </c>
    </row>
    <row r="402">
      <c r="A402" s="14" t="inlineStr">
        <is>
          <t>INFO_10K_FY2017 · MD&amp;A Revenue by Segment (narrative)</t>
        </is>
      </c>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row>
    <row r="403">
      <c r="A403" s="38" t="inlineStr">
        <is>
          <t>Transportation narrative</t>
        </is>
      </c>
      <c r="B403" s="3" t="n"/>
      <c r="C403" s="3" t="n"/>
      <c r="D403" s="3" t="n"/>
      <c r="E403" s="42" t="inlineStr">
        <is>
          <t>2016-2017 growth from organic recurring and non-recurring growth led by automotive (used-car penetration, strong recall offerings/activity, new-car innovation). Acquisitive growth 2016-2017 includes CARPROOF (Q1 FY2016) run-out; aM (Q4 FY2017) minimal.</t>
        </is>
      </c>
      <c r="F403" s="3" t="n"/>
      <c r="G403" s="3" t="n"/>
      <c r="H403" s="3" t="n"/>
      <c r="I403" s="3" t="n"/>
      <c r="J403" s="3" t="n"/>
      <c r="K403" s="3" t="n"/>
      <c r="L403" s="3" t="n"/>
      <c r="M403" s="3" t="n"/>
      <c r="N403" s="3" t="n"/>
      <c r="O403" s="3" t="n"/>
      <c r="P403" s="3" t="n"/>
      <c r="Q403" s="3" t="n"/>
      <c r="R403" s="3" t="n"/>
      <c r="S403" s="3" t="n"/>
      <c r="T403" s="3" t="n"/>
      <c r="U403" s="3" t="n"/>
      <c r="V403" s="3" t="n"/>
      <c r="W403" s="3" t="n"/>
      <c r="X403" s="3" t="n"/>
      <c r="Y403" s="4" t="inlineStr">
        <is>
          <t>INFO_10K_FY2017 p40</t>
        </is>
      </c>
    </row>
    <row r="404">
      <c r="A404" s="38" t="inlineStr">
        <is>
          <t>Transportation drivers 2016-2017 (detail)</t>
        </is>
      </c>
      <c r="B404" s="3" t="n"/>
      <c r="C404" s="3" t="n"/>
      <c r="D404" s="3" t="n"/>
      <c r="E404" s="42" t="inlineStr">
        <is>
          <t>Automotive organic growth from continued penetration and new products in used car offerings, strong recall product offerings and activity, and new car innovation (digital marketing, new automotive technologies, regulatory pressure on fuel consumption and emissions).</t>
        </is>
      </c>
      <c r="F404" s="3" t="n"/>
      <c r="G404" s="3" t="n"/>
      <c r="H404" s="3" t="n"/>
      <c r="I404" s="3" t="n"/>
      <c r="J404" s="3" t="n"/>
      <c r="K404" s="3" t="n"/>
      <c r="L404" s="3" t="n"/>
      <c r="M404" s="3" t="n"/>
      <c r="N404" s="3" t="n"/>
      <c r="O404" s="3" t="n"/>
      <c r="P404" s="3" t="n"/>
      <c r="Q404" s="3" t="n"/>
      <c r="R404" s="3" t="n"/>
      <c r="S404" s="3" t="n"/>
      <c r="T404" s="3" t="n"/>
      <c r="U404" s="3" t="n"/>
      <c r="V404" s="3" t="n"/>
      <c r="W404" s="3" t="n"/>
      <c r="X404" s="3" t="n"/>
      <c r="Y404" s="4" t="inlineStr">
        <is>
          <t>INFO_10K_FY2017 p40</t>
        </is>
      </c>
    </row>
    <row r="405">
      <c r="A405" s="14" t="inlineStr">
        <is>
          <t>INFO_10K_FY2017 · MD&amp;A Segment Adjusted EBITDA</t>
        </is>
      </c>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row>
    <row r="406">
      <c r="A406" s="39" t="inlineStr">
        <is>
          <t>Transportation Adjusted EBITDA</t>
        </is>
      </c>
      <c r="B406" s="3" t="n"/>
      <c r="C406" s="18" t="n">
        <v>282.7</v>
      </c>
      <c r="D406" s="18" t="n">
        <v>353.3</v>
      </c>
      <c r="E406" s="18" t="n">
        <v>408.6</v>
      </c>
      <c r="F406" s="3" t="n"/>
      <c r="G406" s="3" t="n"/>
      <c r="H406" s="3" t="n"/>
      <c r="I406" s="3" t="n"/>
      <c r="J406" s="3" t="n"/>
      <c r="K406" s="3" t="n"/>
      <c r="L406" s="3" t="n"/>
      <c r="M406" s="3" t="n"/>
      <c r="N406" s="3" t="n"/>
      <c r="O406" s="3" t="n"/>
      <c r="P406" s="3" t="n"/>
      <c r="Q406" s="3" t="n"/>
      <c r="R406" s="3" t="n"/>
      <c r="S406" s="3" t="n"/>
      <c r="T406" s="3" t="n"/>
      <c r="U406" s="3" t="n"/>
      <c r="V406" s="3" t="n"/>
      <c r="W406" s="3" t="n"/>
      <c r="X406" s="3" t="n"/>
      <c r="Y406" s="4" t="inlineStr">
        <is>
          <t>INFO_10K_FY2017 p43</t>
        </is>
      </c>
    </row>
    <row r="407">
      <c r="A407" s="38" t="inlineStr">
        <is>
          <t>Transportation Adjusted EBITDA % Change (vs prior year)</t>
        </is>
      </c>
      <c r="B407" s="3" t="n"/>
      <c r="C407" s="3" t="n"/>
      <c r="D407" s="41" t="n">
        <v>25</v>
      </c>
      <c r="E407" s="41" t="n">
        <v>16</v>
      </c>
      <c r="F407" s="3" t="n"/>
      <c r="G407" s="3" t="n"/>
      <c r="H407" s="3" t="n"/>
      <c r="I407" s="3" t="n"/>
      <c r="J407" s="3" t="n"/>
      <c r="K407" s="3" t="n"/>
      <c r="L407" s="3" t="n"/>
      <c r="M407" s="3" t="n"/>
      <c r="N407" s="3" t="n"/>
      <c r="O407" s="3" t="n"/>
      <c r="P407" s="3" t="n"/>
      <c r="Q407" s="3" t="n"/>
      <c r="R407" s="3" t="n"/>
      <c r="S407" s="3" t="n"/>
      <c r="T407" s="3" t="n"/>
      <c r="U407" s="3" t="n"/>
      <c r="V407" s="3" t="n"/>
      <c r="W407" s="3" t="n"/>
      <c r="X407" s="3" t="n"/>
      <c r="Y407" s="4" t="inlineStr">
        <is>
          <t>INFO_10K_FY2017 p43</t>
        </is>
      </c>
    </row>
    <row r="408">
      <c r="A408" s="38" t="inlineStr">
        <is>
          <t>Transportation Adjusted EBITDA as a percent of segment revenue</t>
        </is>
      </c>
      <c r="B408" s="3" t="n"/>
      <c r="C408" s="41" t="n">
        <v>37</v>
      </c>
      <c r="D408" s="41" t="n">
        <v>40</v>
      </c>
      <c r="E408" s="41" t="n">
        <v>41</v>
      </c>
      <c r="F408" s="3" t="n"/>
      <c r="G408" s="3" t="n"/>
      <c r="H408" s="3" t="n"/>
      <c r="I408" s="3" t="n"/>
      <c r="J408" s="3" t="n"/>
      <c r="K408" s="3" t="n"/>
      <c r="L408" s="3" t="n"/>
      <c r="M408" s="3" t="n"/>
      <c r="N408" s="3" t="n"/>
      <c r="O408" s="3" t="n"/>
      <c r="P408" s="3" t="n"/>
      <c r="Q408" s="3" t="n"/>
      <c r="R408" s="3" t="n"/>
      <c r="S408" s="3" t="n"/>
      <c r="T408" s="3" t="n"/>
      <c r="U408" s="3" t="n"/>
      <c r="V408" s="3" t="n"/>
      <c r="W408" s="3" t="n"/>
      <c r="X408" s="3" t="n"/>
      <c r="Y408" s="4" t="inlineStr">
        <is>
          <t>INFO_10K_FY2017 p43</t>
        </is>
      </c>
    </row>
    <row r="409">
      <c r="A409" s="14" t="inlineStr">
        <is>
          <t>INFO_10K_FY2017 · Note Total assets by segment</t>
        </is>
      </c>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row>
    <row r="410">
      <c r="A410" s="38" t="inlineStr">
        <is>
          <t>Total Assets - Transportation</t>
        </is>
      </c>
      <c r="B410" s="3" t="n"/>
      <c r="C410" s="30" t="n">
        <v>2310.9</v>
      </c>
      <c r="D410" s="30" t="n">
        <v>2721.3</v>
      </c>
      <c r="E410" s="30" t="n">
        <v>3152</v>
      </c>
      <c r="F410" s="3" t="n"/>
      <c r="G410" s="3" t="n"/>
      <c r="H410" s="3" t="n"/>
      <c r="I410" s="3" t="n"/>
      <c r="J410" s="3" t="n"/>
      <c r="K410" s="3" t="n"/>
      <c r="L410" s="3" t="n"/>
      <c r="M410" s="3" t="n"/>
      <c r="N410" s="3" t="n"/>
      <c r="O410" s="3" t="n"/>
      <c r="P410" s="3" t="n"/>
      <c r="Q410" s="3" t="n"/>
      <c r="R410" s="3" t="n"/>
      <c r="S410" s="3" t="n"/>
      <c r="T410" s="3" t="n"/>
      <c r="U410" s="3" t="n"/>
      <c r="V410" s="3" t="n"/>
      <c r="W410" s="3" t="n"/>
      <c r="X410" s="3" t="n"/>
      <c r="Y410" s="4" t="inlineStr">
        <is>
          <t>INFO_10K_FY2017 p83</t>
        </is>
      </c>
    </row>
    <row r="411">
      <c r="A411" s="39" t="inlineStr">
        <is>
          <t>Total assets</t>
        </is>
      </c>
      <c r="B411" s="3" t="n"/>
      <c r="C411" s="18" t="n">
        <v>5577.5</v>
      </c>
      <c r="D411" s="18" t="n">
        <v>13936.6</v>
      </c>
      <c r="E411" s="18" t="n">
        <v>14554.4</v>
      </c>
      <c r="F411" s="3" t="n"/>
      <c r="G411" s="3" t="n"/>
      <c r="H411" s="3" t="n"/>
      <c r="I411" s="3" t="n"/>
      <c r="J411" s="3" t="n"/>
      <c r="K411" s="3" t="n"/>
      <c r="L411" s="3" t="n"/>
      <c r="M411" s="3" t="n"/>
      <c r="N411" s="3" t="n"/>
      <c r="O411" s="3" t="n"/>
      <c r="P411" s="3" t="n"/>
      <c r="Q411" s="3" t="n"/>
      <c r="R411" s="3" t="n"/>
      <c r="S411" s="3" t="n"/>
      <c r="T411" s="3" t="n"/>
      <c r="U411" s="3" t="n"/>
      <c r="V411" s="3" t="n"/>
      <c r="W411" s="3" t="n"/>
      <c r="X411" s="3" t="n"/>
      <c r="Y411" s="4" t="inlineStr">
        <is>
          <t>INFO_10K_FY2017 p83</t>
        </is>
      </c>
    </row>
    <row r="412">
      <c r="A412" s="14" t="inlineStr">
        <is>
          <t>INFO_10K_FY2017 · Note Goodwill activity</t>
        </is>
      </c>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row>
    <row r="413">
      <c r="A413" s="38" t="inlineStr">
        <is>
          <t>Goodwill - Transportation - Balance at November 30</t>
        </is>
      </c>
      <c r="B413" s="3" t="n"/>
      <c r="C413" s="30" t="n">
        <v>1361.4</v>
      </c>
      <c r="D413" s="30" t="n">
        <v>1671.1</v>
      </c>
      <c r="E413" s="30" t="n">
        <v>2055.6</v>
      </c>
      <c r="F413" s="3" t="n"/>
      <c r="G413" s="3" t="n"/>
      <c r="H413" s="3" t="n"/>
      <c r="I413" s="3" t="n"/>
      <c r="J413" s="3" t="n"/>
      <c r="K413" s="3" t="n"/>
      <c r="L413" s="3" t="n"/>
      <c r="M413" s="3" t="n"/>
      <c r="N413" s="3" t="n"/>
      <c r="O413" s="3" t="n"/>
      <c r="P413" s="3" t="n"/>
      <c r="Q413" s="3" t="n"/>
      <c r="R413" s="3" t="n"/>
      <c r="S413" s="3" t="n"/>
      <c r="T413" s="3" t="n"/>
      <c r="U413" s="3" t="n"/>
      <c r="V413" s="3" t="n"/>
      <c r="W413" s="3" t="n"/>
      <c r="X413" s="3" t="n"/>
      <c r="Y413" s="4" t="inlineStr">
        <is>
          <t>INFO_10K_FY2017 p83</t>
        </is>
      </c>
    </row>
    <row r="414">
      <c r="A414" s="38" t="inlineStr">
        <is>
          <t>Goodwill - Transportation - Acquisitions</t>
        </is>
      </c>
      <c r="B414" s="3" t="n"/>
      <c r="C414" s="3" t="n"/>
      <c r="D414" s="30" t="n">
        <v>332.9</v>
      </c>
      <c r="E414" s="30" t="n">
        <v>362.3</v>
      </c>
      <c r="F414" s="3" t="n"/>
      <c r="G414" s="3" t="n"/>
      <c r="H414" s="3" t="n"/>
      <c r="I414" s="3" t="n"/>
      <c r="J414" s="3" t="n"/>
      <c r="K414" s="3" t="n"/>
      <c r="L414" s="3" t="n"/>
      <c r="M414" s="3" t="n"/>
      <c r="N414" s="3" t="n"/>
      <c r="O414" s="3" t="n"/>
      <c r="P414" s="3" t="n"/>
      <c r="Q414" s="3" t="n"/>
      <c r="R414" s="3" t="n"/>
      <c r="S414" s="3" t="n"/>
      <c r="T414" s="3" t="n"/>
      <c r="U414" s="3" t="n"/>
      <c r="V414" s="3" t="n"/>
      <c r="W414" s="3" t="n"/>
      <c r="X414" s="3" t="n"/>
      <c r="Y414" s="4" t="inlineStr">
        <is>
          <t>INFO_10K_FY2017 p83</t>
        </is>
      </c>
    </row>
    <row r="415">
      <c r="A415" s="38" t="inlineStr">
        <is>
          <t>Goodwill - Transportation - Adjustments to purchase price</t>
        </is>
      </c>
      <c r="B415" s="3" t="n"/>
      <c r="C415" s="3" t="n"/>
      <c r="D415" s="30" t="n">
        <v>0.7</v>
      </c>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4" t="inlineStr">
        <is>
          <t>INFO_10K_FY2017 p83</t>
        </is>
      </c>
    </row>
    <row r="416">
      <c r="A416" s="38" t="inlineStr">
        <is>
          <t>Goodwill - Transportation - Foreign currency translation</t>
        </is>
      </c>
      <c r="B416" s="3" t="n"/>
      <c r="C416" s="3" t="n"/>
      <c r="D416" s="30" t="n">
        <v>-23.9</v>
      </c>
      <c r="E416" s="30" t="n">
        <v>22.2</v>
      </c>
      <c r="F416" s="3" t="n"/>
      <c r="G416" s="3" t="n"/>
      <c r="H416" s="3" t="n"/>
      <c r="I416" s="3" t="n"/>
      <c r="J416" s="3" t="n"/>
      <c r="K416" s="3" t="n"/>
      <c r="L416" s="3" t="n"/>
      <c r="M416" s="3" t="n"/>
      <c r="N416" s="3" t="n"/>
      <c r="O416" s="3" t="n"/>
      <c r="P416" s="3" t="n"/>
      <c r="Q416" s="3" t="n"/>
      <c r="R416" s="3" t="n"/>
      <c r="S416" s="3" t="n"/>
      <c r="T416" s="3" t="n"/>
      <c r="U416" s="3" t="n"/>
      <c r="V416" s="3" t="n"/>
      <c r="W416" s="3" t="n"/>
      <c r="X416" s="3" t="n"/>
      <c r="Y416" s="4" t="inlineStr">
        <is>
          <t>INFO_10K_FY2017 p83</t>
        </is>
      </c>
    </row>
    <row r="417">
      <c r="A417" s="14" t="inlineStr">
        <is>
          <t>INFO_10K_FY2016 · Item 1 Transportation segment description</t>
        </is>
      </c>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row>
    <row r="418">
      <c r="A418" s="38" t="inlineStr">
        <is>
          <t>Segment description (summary)</t>
        </is>
      </c>
      <c r="B418" s="3" t="n"/>
      <c r="C418" s="3" t="n"/>
      <c r="D418" s="42" t="inlineStr">
        <is>
          <t>Transportation = Automotive (about 80 percent of segment revenue) plus Maritime &amp; Trade and Aerospace, Defense &amp; Security (balance). Automotive: new-car forecasts, sales/marketing on more than 5bn US ownership records (Polk heritage), CARFAX (U.S.) and CARPROOF (Canada) used-car products. First 10-K after IHS/Markit merger (July 12, 2016).</t>
        </is>
      </c>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4" t="inlineStr">
        <is>
          <t>INFO_10K_FY2016 p9</t>
        </is>
      </c>
    </row>
    <row r="419">
      <c r="A419" s="38" t="inlineStr">
        <is>
          <t>Automotive offerings share of segment revenue (about)</t>
        </is>
      </c>
      <c r="B419" s="3" t="n"/>
      <c r="C419" s="3" t="n"/>
      <c r="D419" s="41" t="n">
        <v>80</v>
      </c>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4" t="inlineStr">
        <is>
          <t>INFO_10K_FY2016 p9</t>
        </is>
      </c>
    </row>
    <row r="420">
      <c r="A420" s="38" t="inlineStr">
        <is>
          <t>CARFAX data scale (printed)</t>
        </is>
      </c>
      <c r="B420" s="3" t="n"/>
      <c r="C420" s="3" t="n"/>
      <c r="D420" s="42" t="inlineStr">
        <is>
          <t>CARFAX vehicle history based on more than 17 billion records collected from more than 100,000 data sources</t>
        </is>
      </c>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4" t="inlineStr">
        <is>
          <t>INFO_10K_FY2016 p10</t>
        </is>
      </c>
    </row>
    <row r="421">
      <c r="A421" s="38" t="inlineStr">
        <is>
          <t>Forecast database coverage of global light vehicle sales and production (more than, percent)</t>
        </is>
      </c>
      <c r="B421" s="3" t="n"/>
      <c r="C421" s="3" t="n"/>
      <c r="D421" s="41" t="n">
        <v>98</v>
      </c>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4" t="inlineStr">
        <is>
          <t>INFO_10K_FY2016 p9</t>
        </is>
      </c>
    </row>
    <row r="422">
      <c r="A422" s="38" t="inlineStr">
        <is>
          <t>Unique vehicle model variants forecast (nearly)</t>
        </is>
      </c>
      <c r="B422" s="3" t="n"/>
      <c r="C422" s="3" t="n"/>
      <c r="D422" s="40" t="n">
        <v>40000</v>
      </c>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4" t="inlineStr">
        <is>
          <t>INFO_10K_FY2016 p9</t>
        </is>
      </c>
    </row>
    <row r="423">
      <c r="A423" s="38" t="inlineStr">
        <is>
          <t>Vehicle systems, sub-systems and components forecast (more than)</t>
        </is>
      </c>
      <c r="B423" s="3" t="n"/>
      <c r="C423" s="3" t="n"/>
      <c r="D423" s="40" t="n">
        <v>100</v>
      </c>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4" t="inlineStr">
        <is>
          <t>INFO_10K_FY2016 p9</t>
        </is>
      </c>
    </row>
    <row r="424">
      <c r="A424" s="38" t="inlineStr">
        <is>
          <t>U.S. sales and marketing database - ownership records (more than, billions)</t>
        </is>
      </c>
      <c r="B424" s="3" t="n"/>
      <c r="C424" s="3" t="n"/>
      <c r="D424" s="40" t="n">
        <v>5</v>
      </c>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4" t="inlineStr">
        <is>
          <t>INFO_10K_FY2016 p10</t>
        </is>
      </c>
    </row>
    <row r="425">
      <c r="A425" s="38" t="inlineStr">
        <is>
          <t>U.S. ownership database coverage (printed)</t>
        </is>
      </c>
      <c r="B425" s="3" t="n"/>
      <c r="C425" s="3" t="n"/>
      <c r="D425" s="42" t="inlineStr">
        <is>
          <t>covering 740 million vehicles and more than 200 million US households over a period of 25 years</t>
        </is>
      </c>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4" t="inlineStr">
        <is>
          <t>INFO_10K_FY2016 p10</t>
        </is>
      </c>
    </row>
    <row r="426">
      <c r="A426" s="38" t="inlineStr">
        <is>
          <t>M&amp;T data coverage (printed)</t>
        </is>
      </c>
      <c r="B426" s="3" t="n"/>
      <c r="C426" s="3" t="n"/>
      <c r="D426" s="42" t="inlineStr">
        <is>
          <t>close to 200,000 ships over 100 gross tons; monthly import/export statistics on more than 80 countries; tracking and forecasting more than 90 percent of international trade by value</t>
        </is>
      </c>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4" t="inlineStr">
        <is>
          <t>INFO_10K_FY2016 p10</t>
        </is>
      </c>
    </row>
    <row r="427">
      <c r="A427" s="38" t="inlineStr">
        <is>
          <t>AD&amp;S data coverage (printed)</t>
        </is>
      </c>
      <c r="B427" s="3" t="n"/>
      <c r="C427" s="3" t="n"/>
      <c r="D427" s="42" t="inlineStr">
        <is>
          <t>specifications for thousands of military vehicles, naval vessels and aircraft types; budget forecasts cover more than 95 percent of global defense spending; more than 150,000 terrorism-related events analyzed</t>
        </is>
      </c>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4" t="inlineStr">
        <is>
          <t>INFO_10K_FY2016 p10</t>
        </is>
      </c>
    </row>
    <row r="428">
      <c r="A428" s="14" t="inlineStr">
        <is>
          <t>INFO_10K_FY2016 · MD&amp;A Revenue by Segment</t>
        </is>
      </c>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row>
    <row r="429">
      <c r="A429" s="39" t="inlineStr">
        <is>
          <t>Transportation</t>
        </is>
      </c>
      <c r="B429" s="18" t="n">
        <v>662.6</v>
      </c>
      <c r="C429" s="18" t="n">
        <v>758.4</v>
      </c>
      <c r="D429" s="18" t="n">
        <v>892.8</v>
      </c>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4" t="inlineStr">
        <is>
          <t>INFO_10K_FY2016 p37</t>
        </is>
      </c>
    </row>
    <row r="430">
      <c r="A430" s="38" t="inlineStr">
        <is>
          <t>Transportation % Change (vs prior year)</t>
        </is>
      </c>
      <c r="B430" s="3" t="n"/>
      <c r="C430" s="41" t="n">
        <v>14</v>
      </c>
      <c r="D430" s="41" t="n">
        <v>18</v>
      </c>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4" t="inlineStr">
        <is>
          <t>INFO_10K_FY2016 p37</t>
        </is>
      </c>
    </row>
    <row r="431">
      <c r="A431" s="39" t="inlineStr">
        <is>
          <t>Total revenue (IHS Markit consolidated)</t>
        </is>
      </c>
      <c r="B431" s="18" t="n">
        <v>2079.8</v>
      </c>
      <c r="C431" s="18" t="n">
        <v>2184.3</v>
      </c>
      <c r="D431" s="18" t="n">
        <v>2734.8</v>
      </c>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4" t="inlineStr">
        <is>
          <t>INFO_10K_FY2016 p37</t>
        </is>
      </c>
    </row>
    <row r="432">
      <c r="A432" s="14" t="inlineStr">
        <is>
          <t>INFO_10K_FY2016 · MD&amp;A Revenue growth drivers (percentage points)</t>
        </is>
      </c>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row>
    <row r="433">
      <c r="A433" s="38" t="inlineStr">
        <is>
          <t>Transportation revenue - Organic</t>
        </is>
      </c>
      <c r="B433" s="3" t="n"/>
      <c r="C433" s="41" t="n">
        <v>9</v>
      </c>
      <c r="D433" s="41" t="n">
        <v>10</v>
      </c>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4" t="inlineStr">
        <is>
          <t>INFO_10K_FY2016 p38</t>
        </is>
      </c>
    </row>
    <row r="434">
      <c r="A434" s="38" t="inlineStr">
        <is>
          <t>Transportation revenue - Acquisitive</t>
        </is>
      </c>
      <c r="B434" s="3" t="n"/>
      <c r="C434" s="41" t="n">
        <v>7</v>
      </c>
      <c r="D434" s="41" t="n">
        <v>8</v>
      </c>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4" t="inlineStr">
        <is>
          <t>INFO_10K_FY2016 p38</t>
        </is>
      </c>
    </row>
    <row r="435">
      <c r="A435" s="38" t="inlineStr">
        <is>
          <t>Transportation revenue - Foreign Currency</t>
        </is>
      </c>
      <c r="B435" s="3" t="n"/>
      <c r="C435" s="41" t="n">
        <v>-2</v>
      </c>
      <c r="D435" s="41" t="n">
        <v>-1</v>
      </c>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4" t="inlineStr">
        <is>
          <t>INFO_10K_FY2016 p38</t>
        </is>
      </c>
    </row>
    <row r="436">
      <c r="A436" s="14" t="inlineStr">
        <is>
          <t>INFO_10K_FY2016 · MD&amp;A Revenue by Transaction Type (narrative)</t>
        </is>
      </c>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row>
    <row r="437">
      <c r="A437" s="38" t="inlineStr">
        <is>
          <t>Transportation recurring revenue organic growth</t>
        </is>
      </c>
      <c r="B437" s="3" t="n"/>
      <c r="C437" s="41" t="n">
        <v>11</v>
      </c>
      <c r="D437" s="41" t="n">
        <v>10</v>
      </c>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4" t="inlineStr">
        <is>
          <t>INFO_10K_FY2016 p39</t>
        </is>
      </c>
    </row>
    <row r="438">
      <c r="A438" s="38" t="inlineStr">
        <is>
          <t>Non-recurring narrative (Transportation reference)</t>
        </is>
      </c>
      <c r="B438" s="3" t="n"/>
      <c r="C438" s="3" t="n"/>
      <c r="D438" s="42" t="inlineStr">
        <is>
          <t>2016 non-recurring organic decline (-3%) partially offset by the strength of Transportation results; 2015 decline (-9%) primarily Resources, partially offset by Transportation organic growth.</t>
        </is>
      </c>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4" t="inlineStr">
        <is>
          <t>INFO_10K_FY2016 p39</t>
        </is>
      </c>
    </row>
    <row r="439">
      <c r="A439" s="14" t="inlineStr">
        <is>
          <t>INFO_10K_FY2016 · MD&amp;A Revenue by Segment (narrative)</t>
        </is>
      </c>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row>
    <row r="440">
      <c r="A440" s="38" t="inlineStr">
        <is>
          <t>Transportation narrative</t>
        </is>
      </c>
      <c r="B440" s="3" t="n"/>
      <c r="C440" s="3" t="n"/>
      <c r="D440" s="42" t="inlineStr">
        <is>
          <t>2015-2016 growth from organic recurring and non-recurring growth led by automotive (used-car penetration, new-car technology/regulatory/digital-marketing demand, recall activity), stable growth in other transportation categories; acquisitive growth from CARPROOF (Dec-2015) and 2015 acquisitions run-out.</t>
        </is>
      </c>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4" t="inlineStr">
        <is>
          <t>INFO_10K_FY2016 p38</t>
        </is>
      </c>
    </row>
    <row r="441">
      <c r="A441" s="38" t="inlineStr">
        <is>
          <t>Transportation drivers 2015-2016 (detail)</t>
        </is>
      </c>
      <c r="B441" s="3" t="n"/>
      <c r="C441" s="3" t="n"/>
      <c r="D441" s="42" t="inlineStr">
        <is>
          <t>Automotive-led organic recurring and non-recurring growth with stable growth in other transportation categories; drivers: used car penetration and new products, new automotive technologies, regulatory pressure on fuel consumption and emissions, digital marketing, and recall activity.</t>
        </is>
      </c>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4" t="inlineStr">
        <is>
          <t>INFO_10K_FY2016 p38</t>
        </is>
      </c>
    </row>
    <row r="442">
      <c r="A442" s="14" t="inlineStr">
        <is>
          <t>INFO_10K_FY2016 · MD&amp;A Segment Adjusted EBITDA</t>
        </is>
      </c>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row>
    <row r="443">
      <c r="A443" s="39" t="inlineStr">
        <is>
          <t>Transportation Adjusted EBITDA</t>
        </is>
      </c>
      <c r="B443" s="18" t="n">
        <v>234.3</v>
      </c>
      <c r="C443" s="18" t="n">
        <v>282.7</v>
      </c>
      <c r="D443" s="18" t="n">
        <v>353.3</v>
      </c>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4" t="inlineStr">
        <is>
          <t>INFO_10K_FY2016 p40</t>
        </is>
      </c>
    </row>
    <row r="444">
      <c r="A444" s="38" t="inlineStr">
        <is>
          <t>Transportation Adjusted EBITDA % Change (vs prior year)</t>
        </is>
      </c>
      <c r="B444" s="3" t="n"/>
      <c r="C444" s="41" t="n">
        <v>21</v>
      </c>
      <c r="D444" s="41" t="n">
        <v>25</v>
      </c>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4" t="inlineStr">
        <is>
          <t>INFO_10K_FY2016 p40</t>
        </is>
      </c>
    </row>
    <row r="445">
      <c r="A445" s="38" t="inlineStr">
        <is>
          <t>Transportation Adjusted EBITDA as a percent of segment revenue</t>
        </is>
      </c>
      <c r="B445" s="41" t="n">
        <v>35</v>
      </c>
      <c r="C445" s="41" t="n">
        <v>37</v>
      </c>
      <c r="D445" s="41" t="n">
        <v>40</v>
      </c>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4" t="inlineStr">
        <is>
          <t>INFO_10K_FY2016 p40</t>
        </is>
      </c>
    </row>
    <row r="446">
      <c r="A446" s="14" t="inlineStr">
        <is>
          <t>INFO_10K_FY2016 · Note Segment Information</t>
        </is>
      </c>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row>
    <row r="447">
      <c r="A447" s="39" t="inlineStr">
        <is>
          <t>Revenue - Transportation</t>
        </is>
      </c>
      <c r="B447" s="18" t="n">
        <v>662.6</v>
      </c>
      <c r="C447" s="18" t="n">
        <v>758.4</v>
      </c>
      <c r="D447" s="18" t="n">
        <v>892.8</v>
      </c>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4" t="inlineStr">
        <is>
          <t>INFO_10K_FY2016 p83</t>
        </is>
      </c>
    </row>
    <row r="448">
      <c r="A448" s="39" t="inlineStr">
        <is>
          <t>Adjusted EBITDA - Transportation</t>
        </is>
      </c>
      <c r="B448" s="18" t="n">
        <v>234.3</v>
      </c>
      <c r="C448" s="18" t="n">
        <v>282.7</v>
      </c>
      <c r="D448" s="18" t="n">
        <v>353.3</v>
      </c>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4" t="inlineStr">
        <is>
          <t>INFO_10K_FY2016 p83</t>
        </is>
      </c>
    </row>
    <row r="449">
      <c r="A449" s="14" t="inlineStr">
        <is>
          <t>INFO_10K_FY2016 · Note Total assets by segment</t>
        </is>
      </c>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row>
    <row r="450">
      <c r="A450" s="38" t="inlineStr">
        <is>
          <t>Total Assets - Transportation</t>
        </is>
      </c>
      <c r="B450" s="30" t="n">
        <v>2237.7</v>
      </c>
      <c r="C450" s="30" t="n">
        <v>2310.9</v>
      </c>
      <c r="D450" s="30" t="n">
        <v>2721.3</v>
      </c>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4" t="inlineStr">
        <is>
          <t>INFO_10K_FY2016 p84</t>
        </is>
      </c>
    </row>
    <row r="451">
      <c r="A451" s="14" t="inlineStr">
        <is>
          <t>INFO_10K_FY2016 · Note Goodwill activity</t>
        </is>
      </c>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row>
    <row r="452">
      <c r="A452" s="38" t="inlineStr">
        <is>
          <t>Goodwill - Transportation - Balance at November 30</t>
        </is>
      </c>
      <c r="B452" s="30" t="n">
        <v>1299.1</v>
      </c>
      <c r="C452" s="30" t="n">
        <v>1361.4</v>
      </c>
      <c r="D452" s="30" t="n">
        <v>1671.1</v>
      </c>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4" t="inlineStr">
        <is>
          <t>INFO_10K_FY2016 p84</t>
        </is>
      </c>
    </row>
    <row r="453">
      <c r="A453" s="38" t="inlineStr">
        <is>
          <t>Goodwill - Transportation - Acquisitions</t>
        </is>
      </c>
      <c r="B453" s="3" t="n"/>
      <c r="C453" s="30" t="n">
        <v>81.5</v>
      </c>
      <c r="D453" s="30" t="n">
        <v>332.9</v>
      </c>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4" t="inlineStr">
        <is>
          <t>INFO_10K_FY2016 p84</t>
        </is>
      </c>
    </row>
    <row r="454">
      <c r="A454" s="38" t="inlineStr">
        <is>
          <t>Goodwill - Transportation - Adjustments to purchase price</t>
        </is>
      </c>
      <c r="B454" s="3" t="n"/>
      <c r="C454" s="30" t="n">
        <v>-0.8</v>
      </c>
      <c r="D454" s="30" t="n">
        <v>0.7</v>
      </c>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4" t="inlineStr">
        <is>
          <t>INFO_10K_FY2016 p84</t>
        </is>
      </c>
    </row>
    <row r="455">
      <c r="A455" s="38" t="inlineStr">
        <is>
          <t>Goodwill - Transportation - Foreign currency translation</t>
        </is>
      </c>
      <c r="B455" s="3" t="n"/>
      <c r="C455" s="30" t="n">
        <v>-18.4</v>
      </c>
      <c r="D455" s="30" t="n">
        <v>-23.9</v>
      </c>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4" t="inlineStr">
        <is>
          <t>INFO_10K_FY2016 p84</t>
        </is>
      </c>
    </row>
    <row r="456">
      <c r="A456" s="14" t="inlineStr">
        <is>
          <t>INFO_10K_FY2016 · Note 3 Business Combinations</t>
        </is>
      </c>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row>
    <row r="457">
      <c r="A457" s="38" t="inlineStr">
        <is>
          <t>Acquisition: CARPROOF (Dec 24, 2015; Transportation segment)</t>
        </is>
      </c>
      <c r="B457" s="3" t="n"/>
      <c r="C457" s="3" t="n"/>
      <c r="D457" s="42" t="inlineStr">
        <is>
          <t>Canada-based vehicle history, appraisal and valuation provider acquired for approximately $459.2 million net of cash acquired, to expand vehicle history report services into Canada; included in Transportation.</t>
        </is>
      </c>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4" t="inlineStr">
        <is>
          <t>INFO_10K_FY2016 p60</t>
        </is>
      </c>
    </row>
    <row r="458">
      <c r="A458" s="38" t="inlineStr">
        <is>
          <t>CARPROOF purchase price, net of cash acquired (approximately)</t>
        </is>
      </c>
      <c r="B458" s="3" t="n"/>
      <c r="C458" s="3" t="n"/>
      <c r="D458" s="30" t="n">
        <v>459.2</v>
      </c>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4" t="inlineStr">
        <is>
          <t>INFO_10K_FY2016 p60</t>
        </is>
      </c>
    </row>
    <row r="459">
      <c r="A459" s="14" t="inlineStr">
        <is>
          <t>INFO_10K_FY2016 · Note Commitments and Contingencies - Litigation</t>
        </is>
      </c>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row>
    <row r="460">
      <c r="A460" s="38" t="inlineStr">
        <is>
          <t>CARFAX antitrust litigation (filed April 23, 2013, prior to acquisition of R.L. Polk &amp; Co.)</t>
        </is>
      </c>
      <c r="B460" s="3" t="n"/>
      <c r="C460" s="3" t="n"/>
      <c r="D460" s="42" t="inlineStr">
        <is>
          <t>Dealer antitrust complaint (S.D.N.Y.) re CARFAX exclusive arrangements; second amended complaint named approx. 469 dealers; summary judgment for CARFAX Sept 30, 2016, appealed Oct 28, 2016; new dealer complaint filed Jan 13, 2017. Only Polk acquisition reference in 10-K; no Polk deal figures printed.</t>
        </is>
      </c>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4" t="inlineStr">
        <is>
          <t>INFO_10K_FY2016 p80</t>
        </is>
      </c>
    </row>
    <row r="461">
      <c r="A461" s="38" t="inlineStr">
        <is>
          <t>CARFAX litigation - auto dealers named as plaintiffs in second amended complaint (approximately)</t>
        </is>
      </c>
      <c r="B461" s="3" t="n"/>
      <c r="C461" s="3" t="n"/>
      <c r="D461" s="40" t="n">
        <v>469</v>
      </c>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4" t="inlineStr">
        <is>
          <t>INFO_10K_FY2016 p80</t>
        </is>
      </c>
    </row>
    <row r="462">
      <c r="A462" s="14" t="inlineStr">
        <is>
          <t>INFO_10K_FY2016 · MD&amp;A Liquidity (narrative)</t>
        </is>
      </c>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row>
    <row r="463">
      <c r="A463" s="38" t="inlineStr">
        <is>
          <t>Polk acquisition financing reference</t>
        </is>
      </c>
      <c r="B463" s="3" t="n"/>
      <c r="C463" s="3" t="n"/>
      <c r="D463" s="42" t="inlineStr">
        <is>
          <t>In 2014 began repaying the significant borrowings used to fund the Polk acquisition (no amount printed on this page).</t>
        </is>
      </c>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4" t="inlineStr">
        <is>
          <t>INFO_10K_FY2016 p43</t>
        </is>
      </c>
    </row>
    <row r="464">
      <c r="A464" s="14" t="inlineStr">
        <is>
          <t>INFO_8K_Q2-FY2021 · Supplemental Revenue Disclosure - Recurring revenue (recurring fixed) by segment</t>
        </is>
      </c>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row>
    <row r="465">
      <c r="A465" s="38" t="inlineStr">
        <is>
          <t>Financial Services</t>
        </is>
      </c>
      <c r="B465" s="3" t="n"/>
      <c r="C465" s="3" t="n"/>
      <c r="D465" s="3" t="n"/>
      <c r="E465" s="3" t="n"/>
      <c r="F465" s="3" t="n"/>
      <c r="G465" s="3" t="n"/>
      <c r="H465" s="3" t="n"/>
      <c r="I465" s="3" t="n"/>
      <c r="J465" s="3" t="n"/>
      <c r="K465" s="3" t="n"/>
      <c r="L465" s="3" t="n"/>
      <c r="M465" s="3" t="n"/>
      <c r="N465" s="30" t="n">
        <v>529.5</v>
      </c>
      <c r="O465" s="30" t="n">
        <v>563.6</v>
      </c>
      <c r="P465" s="3" t="n"/>
      <c r="Q465" s="3" t="n"/>
      <c r="R465" s="3" t="n"/>
      <c r="S465" s="3" t="n"/>
      <c r="T465" s="30" t="n">
        <v>262.2</v>
      </c>
      <c r="U465" s="30" t="n">
        <v>278.3</v>
      </c>
      <c r="V465" s="3" t="n"/>
      <c r="W465" s="3" t="n"/>
      <c r="X465" s="3" t="n"/>
      <c r="Y465" s="4" t="inlineStr">
        <is>
          <t>INFO_8K_Q2-FY2021 p8</t>
        </is>
      </c>
    </row>
    <row r="466">
      <c r="A466" s="38" t="inlineStr">
        <is>
          <t>Financial Services - Percent change Total</t>
        </is>
      </c>
      <c r="B466" s="3" t="n"/>
      <c r="C466" s="3" t="n"/>
      <c r="D466" s="3" t="n"/>
      <c r="E466" s="3" t="n"/>
      <c r="F466" s="3" t="n"/>
      <c r="G466" s="3" t="n"/>
      <c r="H466" s="3" t="n"/>
      <c r="I466" s="3" t="n"/>
      <c r="J466" s="3" t="n"/>
      <c r="K466" s="3" t="n"/>
      <c r="L466" s="3" t="n"/>
      <c r="M466" s="3" t="n"/>
      <c r="N466" s="3" t="n"/>
      <c r="O466" s="41" t="n">
        <v>6</v>
      </c>
      <c r="P466" s="3" t="n"/>
      <c r="Q466" s="3" t="n"/>
      <c r="R466" s="3" t="n"/>
      <c r="S466" s="3" t="n"/>
      <c r="T466" s="3" t="n"/>
      <c r="U466" s="41" t="n">
        <v>6</v>
      </c>
      <c r="V466" s="3" t="n"/>
      <c r="W466" s="3" t="n"/>
      <c r="X466" s="3" t="n"/>
      <c r="Y466" s="4" t="inlineStr">
        <is>
          <t>INFO_8K_Q2-FY2021 p8</t>
        </is>
      </c>
    </row>
    <row r="467">
      <c r="A467" s="38" t="inlineStr">
        <is>
          <t>Financial Services - Percent change Organic</t>
        </is>
      </c>
      <c r="B467" s="3" t="n"/>
      <c r="C467" s="3" t="n"/>
      <c r="D467" s="3" t="n"/>
      <c r="E467" s="3" t="n"/>
      <c r="F467" s="3" t="n"/>
      <c r="G467" s="3" t="n"/>
      <c r="H467" s="3" t="n"/>
      <c r="I467" s="3" t="n"/>
      <c r="J467" s="3" t="n"/>
      <c r="K467" s="3" t="n"/>
      <c r="L467" s="3" t="n"/>
      <c r="M467" s="3" t="n"/>
      <c r="N467" s="3" t="n"/>
      <c r="O467" s="41" t="n">
        <v>5</v>
      </c>
      <c r="P467" s="3" t="n"/>
      <c r="Q467" s="3" t="n"/>
      <c r="R467" s="3" t="n"/>
      <c r="S467" s="3" t="n"/>
      <c r="T467" s="3" t="n"/>
      <c r="U467" s="41" t="n">
        <v>5</v>
      </c>
      <c r="V467" s="3" t="n"/>
      <c r="W467" s="3" t="n"/>
      <c r="X467" s="3" t="n"/>
      <c r="Y467" s="4" t="inlineStr">
        <is>
          <t>INFO_8K_Q2-FY2021 p8</t>
        </is>
      </c>
    </row>
    <row r="468">
      <c r="A468" s="38" t="inlineStr">
        <is>
          <t>Transportation</t>
        </is>
      </c>
      <c r="B468" s="3" t="n"/>
      <c r="C468" s="3" t="n"/>
      <c r="D468" s="3" t="n"/>
      <c r="E468" s="3" t="n"/>
      <c r="F468" s="3" t="n"/>
      <c r="G468" s="3" t="n"/>
      <c r="H468" s="3" t="n"/>
      <c r="I468" s="3" t="n"/>
      <c r="J468" s="3" t="n"/>
      <c r="K468" s="3" t="n"/>
      <c r="L468" s="3" t="n"/>
      <c r="M468" s="3" t="n"/>
      <c r="N468" s="30" t="n">
        <v>414.5</v>
      </c>
      <c r="O468" s="30" t="n">
        <v>508.2</v>
      </c>
      <c r="P468" s="3" t="n"/>
      <c r="Q468" s="3" t="n"/>
      <c r="R468" s="3" t="n"/>
      <c r="S468" s="3" t="n"/>
      <c r="T468" s="30" t="n">
        <v>186.8</v>
      </c>
      <c r="U468" s="30" t="n">
        <v>261.6</v>
      </c>
      <c r="V468" s="3" t="n"/>
      <c r="W468" s="3" t="n"/>
      <c r="X468" s="3" t="n"/>
      <c r="Y468" s="4" t="inlineStr">
        <is>
          <t>INFO_8K_Q2-FY2021 p8</t>
        </is>
      </c>
    </row>
    <row r="469">
      <c r="A469" s="38" t="inlineStr">
        <is>
          <t>Transportation - Percent change Total</t>
        </is>
      </c>
      <c r="B469" s="3" t="n"/>
      <c r="C469" s="3" t="n"/>
      <c r="D469" s="3" t="n"/>
      <c r="E469" s="3" t="n"/>
      <c r="F469" s="3" t="n"/>
      <c r="G469" s="3" t="n"/>
      <c r="H469" s="3" t="n"/>
      <c r="I469" s="3" t="n"/>
      <c r="J469" s="3" t="n"/>
      <c r="K469" s="3" t="n"/>
      <c r="L469" s="3" t="n"/>
      <c r="M469" s="3" t="n"/>
      <c r="N469" s="3" t="n"/>
      <c r="O469" s="41" t="n">
        <v>23</v>
      </c>
      <c r="P469" s="3" t="n"/>
      <c r="Q469" s="3" t="n"/>
      <c r="R469" s="3" t="n"/>
      <c r="S469" s="3" t="n"/>
      <c r="T469" s="3" t="n"/>
      <c r="U469" s="41" t="n">
        <v>40</v>
      </c>
      <c r="V469" s="3" t="n"/>
      <c r="W469" s="3" t="n"/>
      <c r="X469" s="3" t="n"/>
      <c r="Y469" s="4" t="inlineStr">
        <is>
          <t>INFO_8K_Q2-FY2021 p8</t>
        </is>
      </c>
    </row>
    <row r="470">
      <c r="A470" s="38" t="inlineStr">
        <is>
          <t>Transportation - Percent change Organic</t>
        </is>
      </c>
      <c r="B470" s="3" t="n"/>
      <c r="C470" s="3" t="n"/>
      <c r="D470" s="3" t="n"/>
      <c r="E470" s="3" t="n"/>
      <c r="F470" s="3" t="n"/>
      <c r="G470" s="3" t="n"/>
      <c r="H470" s="3" t="n"/>
      <c r="I470" s="3" t="n"/>
      <c r="J470" s="3" t="n"/>
      <c r="K470" s="3" t="n"/>
      <c r="L470" s="3" t="n"/>
      <c r="M470" s="3" t="n"/>
      <c r="N470" s="3" t="n"/>
      <c r="O470" s="41" t="n">
        <v>21</v>
      </c>
      <c r="P470" s="3" t="n"/>
      <c r="Q470" s="3" t="n"/>
      <c r="R470" s="3" t="n"/>
      <c r="S470" s="3" t="n"/>
      <c r="T470" s="3" t="n"/>
      <c r="U470" s="41" t="n">
        <v>38</v>
      </c>
      <c r="V470" s="3" t="n"/>
      <c r="W470" s="3" t="n"/>
      <c r="X470" s="3" t="n"/>
      <c r="Y470" s="4" t="inlineStr">
        <is>
          <t>INFO_8K_Q2-FY2021 p8</t>
        </is>
      </c>
    </row>
    <row r="471">
      <c r="A471" s="38" t="inlineStr">
        <is>
          <t>Resources</t>
        </is>
      </c>
      <c r="B471" s="3" t="n"/>
      <c r="C471" s="3" t="n"/>
      <c r="D471" s="3" t="n"/>
      <c r="E471" s="3" t="n"/>
      <c r="F471" s="3" t="n"/>
      <c r="G471" s="3" t="n"/>
      <c r="H471" s="3" t="n"/>
      <c r="I471" s="3" t="n"/>
      <c r="J471" s="3" t="n"/>
      <c r="K471" s="3" t="n"/>
      <c r="L471" s="3" t="n"/>
      <c r="M471" s="3" t="n"/>
      <c r="N471" s="30" t="n">
        <v>398</v>
      </c>
      <c r="O471" s="30" t="n">
        <v>366.1</v>
      </c>
      <c r="P471" s="3" t="n"/>
      <c r="Q471" s="3" t="n"/>
      <c r="R471" s="3" t="n"/>
      <c r="S471" s="3" t="n"/>
      <c r="T471" s="30" t="n">
        <v>197.5</v>
      </c>
      <c r="U471" s="30" t="n">
        <v>183.5</v>
      </c>
      <c r="V471" s="3" t="n"/>
      <c r="W471" s="3" t="n"/>
      <c r="X471" s="3" t="n"/>
      <c r="Y471" s="4" t="inlineStr">
        <is>
          <t>INFO_8K_Q2-FY2021 p8</t>
        </is>
      </c>
    </row>
    <row r="472">
      <c r="A472" s="38" t="inlineStr">
        <is>
          <t>Resources - Percent change Total</t>
        </is>
      </c>
      <c r="B472" s="3" t="n"/>
      <c r="C472" s="3" t="n"/>
      <c r="D472" s="3" t="n"/>
      <c r="E472" s="3" t="n"/>
      <c r="F472" s="3" t="n"/>
      <c r="G472" s="3" t="n"/>
      <c r="H472" s="3" t="n"/>
      <c r="I472" s="3" t="n"/>
      <c r="J472" s="3" t="n"/>
      <c r="K472" s="3" t="n"/>
      <c r="L472" s="3" t="n"/>
      <c r="M472" s="3" t="n"/>
      <c r="N472" s="3" t="n"/>
      <c r="O472" s="41" t="n">
        <v>-8</v>
      </c>
      <c r="P472" s="3" t="n"/>
      <c r="Q472" s="3" t="n"/>
      <c r="R472" s="3" t="n"/>
      <c r="S472" s="3" t="n"/>
      <c r="T472" s="3" t="n"/>
      <c r="U472" s="41" t="n">
        <v>-7</v>
      </c>
      <c r="V472" s="3" t="n"/>
      <c r="W472" s="3" t="n"/>
      <c r="X472" s="3" t="n"/>
      <c r="Y472" s="4" t="inlineStr">
        <is>
          <t>INFO_8K_Q2-FY2021 p8</t>
        </is>
      </c>
    </row>
    <row r="473">
      <c r="A473" s="38" t="inlineStr">
        <is>
          <t>Resources - Percent change Organic</t>
        </is>
      </c>
      <c r="B473" s="3" t="n"/>
      <c r="C473" s="3" t="n"/>
      <c r="D473" s="3" t="n"/>
      <c r="E473" s="3" t="n"/>
      <c r="F473" s="3" t="n"/>
      <c r="G473" s="3" t="n"/>
      <c r="H473" s="3" t="n"/>
      <c r="I473" s="3" t="n"/>
      <c r="J473" s="3" t="n"/>
      <c r="K473" s="3" t="n"/>
      <c r="L473" s="3" t="n"/>
      <c r="M473" s="3" t="n"/>
      <c r="N473" s="3" t="n"/>
      <c r="O473" s="41" t="n">
        <v>-8</v>
      </c>
      <c r="P473" s="3" t="n"/>
      <c r="Q473" s="3" t="n"/>
      <c r="R473" s="3" t="n"/>
      <c r="S473" s="3" t="n"/>
      <c r="T473" s="3" t="n"/>
      <c r="U473" s="41" t="n">
        <v>-8</v>
      </c>
      <c r="V473" s="3" t="n"/>
      <c r="W473" s="3" t="n"/>
      <c r="X473" s="3" t="n"/>
      <c r="Y473" s="4" t="inlineStr">
        <is>
          <t>INFO_8K_Q2-FY2021 p8</t>
        </is>
      </c>
    </row>
    <row r="474">
      <c r="A474" s="38" t="inlineStr">
        <is>
          <t>CMS</t>
        </is>
      </c>
      <c r="B474" s="3" t="n"/>
      <c r="C474" s="3" t="n"/>
      <c r="D474" s="3" t="n"/>
      <c r="E474" s="3" t="n"/>
      <c r="F474" s="3" t="n"/>
      <c r="G474" s="3" t="n"/>
      <c r="H474" s="3" t="n"/>
      <c r="I474" s="3" t="n"/>
      <c r="J474" s="3" t="n"/>
      <c r="K474" s="3" t="n"/>
      <c r="L474" s="3" t="n"/>
      <c r="M474" s="3" t="n"/>
      <c r="N474" s="30" t="n">
        <v>217.3</v>
      </c>
      <c r="O474" s="30" t="n">
        <v>223.7</v>
      </c>
      <c r="P474" s="3" t="n"/>
      <c r="Q474" s="3" t="n"/>
      <c r="R474" s="3" t="n"/>
      <c r="S474" s="3" t="n"/>
      <c r="T474" s="30" t="n">
        <v>108.7</v>
      </c>
      <c r="U474" s="30" t="n">
        <v>112.6</v>
      </c>
      <c r="V474" s="3" t="n"/>
      <c r="W474" s="3" t="n"/>
      <c r="X474" s="3" t="n"/>
      <c r="Y474" s="4" t="inlineStr">
        <is>
          <t>INFO_8K_Q2-FY2021 p8</t>
        </is>
      </c>
    </row>
    <row r="475">
      <c r="A475" s="38" t="inlineStr">
        <is>
          <t>CMS - Percent change Total</t>
        </is>
      </c>
      <c r="B475" s="3" t="n"/>
      <c r="C475" s="3" t="n"/>
      <c r="D475" s="3" t="n"/>
      <c r="E475" s="3" t="n"/>
      <c r="F475" s="3" t="n"/>
      <c r="G475" s="3" t="n"/>
      <c r="H475" s="3" t="n"/>
      <c r="I475" s="3" t="n"/>
      <c r="J475" s="3" t="n"/>
      <c r="K475" s="3" t="n"/>
      <c r="L475" s="3" t="n"/>
      <c r="M475" s="3" t="n"/>
      <c r="N475" s="3" t="n"/>
      <c r="O475" s="41" t="n">
        <v>3</v>
      </c>
      <c r="P475" s="3" t="n"/>
      <c r="Q475" s="3" t="n"/>
      <c r="R475" s="3" t="n"/>
      <c r="S475" s="3" t="n"/>
      <c r="T475" s="3" t="n"/>
      <c r="U475" s="41" t="n">
        <v>4</v>
      </c>
      <c r="V475" s="3" t="n"/>
      <c r="W475" s="3" t="n"/>
      <c r="X475" s="3" t="n"/>
      <c r="Y475" s="4" t="inlineStr">
        <is>
          <t>INFO_8K_Q2-FY2021 p8</t>
        </is>
      </c>
    </row>
    <row r="476">
      <c r="A476" s="38" t="inlineStr">
        <is>
          <t>CMS - Percent change Organic</t>
        </is>
      </c>
      <c r="B476" s="3" t="n"/>
      <c r="C476" s="3" t="n"/>
      <c r="D476" s="3" t="n"/>
      <c r="E476" s="3" t="n"/>
      <c r="F476" s="3" t="n"/>
      <c r="G476" s="3" t="n"/>
      <c r="H476" s="3" t="n"/>
      <c r="I476" s="3" t="n"/>
      <c r="J476" s="3" t="n"/>
      <c r="K476" s="3" t="n"/>
      <c r="L476" s="3" t="n"/>
      <c r="M476" s="3" t="n"/>
      <c r="N476" s="3" t="n"/>
      <c r="O476" s="41" t="n">
        <v>2</v>
      </c>
      <c r="P476" s="3" t="n"/>
      <c r="Q476" s="3" t="n"/>
      <c r="R476" s="3" t="n"/>
      <c r="S476" s="3" t="n"/>
      <c r="T476" s="3" t="n"/>
      <c r="U476" s="41" t="n">
        <v>2</v>
      </c>
      <c r="V476" s="3" t="n"/>
      <c r="W476" s="3" t="n"/>
      <c r="X476" s="3" t="n"/>
      <c r="Y476" s="4" t="inlineStr">
        <is>
          <t>INFO_8K_Q2-FY2021 p8</t>
        </is>
      </c>
    </row>
    <row r="477">
      <c r="A477" s="39" t="inlineStr">
        <is>
          <t>Total recurring fixed revenue</t>
        </is>
      </c>
      <c r="B477" s="3" t="n"/>
      <c r="C477" s="3" t="n"/>
      <c r="D477" s="3" t="n"/>
      <c r="E477" s="3" t="n"/>
      <c r="F477" s="3" t="n"/>
      <c r="G477" s="3" t="n"/>
      <c r="H477" s="3" t="n"/>
      <c r="I477" s="3" t="n"/>
      <c r="J477" s="3" t="n"/>
      <c r="K477" s="3" t="n"/>
      <c r="L477" s="3" t="n"/>
      <c r="M477" s="3" t="n"/>
      <c r="N477" s="18" t="n">
        <v>1559.3</v>
      </c>
      <c r="O477" s="18" t="n">
        <v>1661.6</v>
      </c>
      <c r="P477" s="3" t="n"/>
      <c r="Q477" s="3" t="n"/>
      <c r="R477" s="3" t="n"/>
      <c r="S477" s="3" t="n"/>
      <c r="T477" s="18" t="n">
        <v>755.2</v>
      </c>
      <c r="U477" s="18" t="n">
        <v>836</v>
      </c>
      <c r="V477" s="3" t="n"/>
      <c r="W477" s="3" t="n"/>
      <c r="X477" s="3" t="n"/>
      <c r="Y477" s="4" t="inlineStr">
        <is>
          <t>INFO_8K_Q2-FY2021 p8</t>
        </is>
      </c>
    </row>
    <row r="478">
      <c r="A478" s="38" t="inlineStr">
        <is>
          <t>Total recurring fixed revenue - Percent change Total</t>
        </is>
      </c>
      <c r="B478" s="3" t="n"/>
      <c r="C478" s="3" t="n"/>
      <c r="D478" s="3" t="n"/>
      <c r="E478" s="3" t="n"/>
      <c r="F478" s="3" t="n"/>
      <c r="G478" s="3" t="n"/>
      <c r="H478" s="3" t="n"/>
      <c r="I478" s="3" t="n"/>
      <c r="J478" s="3" t="n"/>
      <c r="K478" s="3" t="n"/>
      <c r="L478" s="3" t="n"/>
      <c r="M478" s="3" t="n"/>
      <c r="N478" s="3" t="n"/>
      <c r="O478" s="41" t="n">
        <v>7</v>
      </c>
      <c r="P478" s="3" t="n"/>
      <c r="Q478" s="3" t="n"/>
      <c r="R478" s="3" t="n"/>
      <c r="S478" s="3" t="n"/>
      <c r="T478" s="3" t="n"/>
      <c r="U478" s="41" t="n">
        <v>11</v>
      </c>
      <c r="V478" s="3" t="n"/>
      <c r="W478" s="3" t="n"/>
      <c r="X478" s="3" t="n"/>
      <c r="Y478" s="4" t="inlineStr">
        <is>
          <t>INFO_8K_Q2-FY2021 p8</t>
        </is>
      </c>
    </row>
    <row r="479">
      <c r="A479" s="38" t="inlineStr">
        <is>
          <t>Total recurring fixed revenue - Percent change Organic</t>
        </is>
      </c>
      <c r="B479" s="3" t="n"/>
      <c r="C479" s="3" t="n"/>
      <c r="D479" s="3" t="n"/>
      <c r="E479" s="3" t="n"/>
      <c r="F479" s="3" t="n"/>
      <c r="G479" s="3" t="n"/>
      <c r="H479" s="3" t="n"/>
      <c r="I479" s="3" t="n"/>
      <c r="J479" s="3" t="n"/>
      <c r="K479" s="3" t="n"/>
      <c r="L479" s="3" t="n"/>
      <c r="M479" s="3" t="n"/>
      <c r="N479" s="3" t="n"/>
      <c r="O479" s="41" t="n">
        <v>6</v>
      </c>
      <c r="P479" s="3" t="n"/>
      <c r="Q479" s="3" t="n"/>
      <c r="R479" s="3" t="n"/>
      <c r="S479" s="3" t="n"/>
      <c r="T479" s="3" t="n"/>
      <c r="U479" s="41" t="n">
        <v>9</v>
      </c>
      <c r="V479" s="3" t="n"/>
      <c r="W479" s="3" t="n"/>
      <c r="X479" s="3" t="n"/>
      <c r="Y479" s="4" t="inlineStr">
        <is>
          <t>INFO_8K_Q2-FY2021 p8</t>
        </is>
      </c>
    </row>
    <row r="480">
      <c r="A480" s="14" t="inlineStr">
        <is>
          <t>INFO_8K_Q2-FY2021 · Supplemental Revenue Disclosure - Recurring variable and total recurring</t>
        </is>
      </c>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row>
    <row r="481">
      <c r="A481" s="38" t="inlineStr">
        <is>
          <t>Financial Services - variable</t>
        </is>
      </c>
      <c r="B481" s="3" t="n"/>
      <c r="C481" s="3" t="n"/>
      <c r="D481" s="3" t="n"/>
      <c r="E481" s="3" t="n"/>
      <c r="F481" s="3" t="n"/>
      <c r="G481" s="3" t="n"/>
      <c r="H481" s="3" t="n"/>
      <c r="I481" s="3" t="n"/>
      <c r="J481" s="3" t="n"/>
      <c r="K481" s="3" t="n"/>
      <c r="L481" s="3" t="n"/>
      <c r="M481" s="3" t="n"/>
      <c r="N481" s="30" t="n">
        <v>304.8</v>
      </c>
      <c r="O481" s="30" t="n">
        <v>355.5</v>
      </c>
      <c r="P481" s="3" t="n"/>
      <c r="Q481" s="3" t="n"/>
      <c r="R481" s="3" t="n"/>
      <c r="S481" s="3" t="n"/>
      <c r="T481" s="30" t="n">
        <v>158</v>
      </c>
      <c r="U481" s="30" t="n">
        <v>182.6</v>
      </c>
      <c r="V481" s="3" t="n"/>
      <c r="W481" s="3" t="n"/>
      <c r="X481" s="3" t="n"/>
      <c r="Y481" s="4" t="inlineStr">
        <is>
          <t>INFO_8K_Q2-FY2021 p8</t>
        </is>
      </c>
    </row>
    <row r="482">
      <c r="A482" s="38" t="inlineStr">
        <is>
          <t>Financial Services - variable - Percent change Total</t>
        </is>
      </c>
      <c r="B482" s="3" t="n"/>
      <c r="C482" s="3" t="n"/>
      <c r="D482" s="3" t="n"/>
      <c r="E482" s="3" t="n"/>
      <c r="F482" s="3" t="n"/>
      <c r="G482" s="3" t="n"/>
      <c r="H482" s="3" t="n"/>
      <c r="I482" s="3" t="n"/>
      <c r="J482" s="3" t="n"/>
      <c r="K482" s="3" t="n"/>
      <c r="L482" s="3" t="n"/>
      <c r="M482" s="3" t="n"/>
      <c r="N482" s="3" t="n"/>
      <c r="O482" s="41" t="n">
        <v>17</v>
      </c>
      <c r="P482" s="3" t="n"/>
      <c r="Q482" s="3" t="n"/>
      <c r="R482" s="3" t="n"/>
      <c r="S482" s="3" t="n"/>
      <c r="T482" s="3" t="n"/>
      <c r="U482" s="41" t="n">
        <v>16</v>
      </c>
      <c r="V482" s="3" t="n"/>
      <c r="W482" s="3" t="n"/>
      <c r="X482" s="3" t="n"/>
      <c r="Y482" s="4" t="inlineStr">
        <is>
          <t>INFO_8K_Q2-FY2021 p8</t>
        </is>
      </c>
    </row>
    <row r="483">
      <c r="A483" s="38" t="inlineStr">
        <is>
          <t>Financial Services - variable - Percent change Organic</t>
        </is>
      </c>
      <c r="B483" s="3" t="n"/>
      <c r="C483" s="3" t="n"/>
      <c r="D483" s="3" t="n"/>
      <c r="E483" s="3" t="n"/>
      <c r="F483" s="3" t="n"/>
      <c r="G483" s="3" t="n"/>
      <c r="H483" s="3" t="n"/>
      <c r="I483" s="3" t="n"/>
      <c r="J483" s="3" t="n"/>
      <c r="K483" s="3" t="n"/>
      <c r="L483" s="3" t="n"/>
      <c r="M483" s="3" t="n"/>
      <c r="N483" s="3" t="n"/>
      <c r="O483" s="41" t="n">
        <v>14</v>
      </c>
      <c r="P483" s="3" t="n"/>
      <c r="Q483" s="3" t="n"/>
      <c r="R483" s="3" t="n"/>
      <c r="S483" s="3" t="n"/>
      <c r="T483" s="3" t="n"/>
      <c r="U483" s="41" t="n">
        <v>11</v>
      </c>
      <c r="V483" s="3" t="n"/>
      <c r="W483" s="3" t="n"/>
      <c r="X483" s="3" t="n"/>
      <c r="Y483" s="4" t="inlineStr">
        <is>
          <t>INFO_8K_Q2-FY2021 p8</t>
        </is>
      </c>
    </row>
    <row r="484">
      <c r="A484" s="39" t="inlineStr">
        <is>
          <t>Total recurring revenue</t>
        </is>
      </c>
      <c r="B484" s="3" t="n"/>
      <c r="C484" s="3" t="n"/>
      <c r="D484" s="3" t="n"/>
      <c r="E484" s="3" t="n"/>
      <c r="F484" s="3" t="n"/>
      <c r="G484" s="3" t="n"/>
      <c r="H484" s="3" t="n"/>
      <c r="I484" s="3" t="n"/>
      <c r="J484" s="3" t="n"/>
      <c r="K484" s="3" t="n"/>
      <c r="L484" s="3" t="n"/>
      <c r="M484" s="3" t="n"/>
      <c r="N484" s="18" t="n">
        <v>1864.1</v>
      </c>
      <c r="O484" s="18" t="n">
        <v>2017.1</v>
      </c>
      <c r="P484" s="3" t="n"/>
      <c r="Q484" s="3" t="n"/>
      <c r="R484" s="3" t="n"/>
      <c r="S484" s="3" t="n"/>
      <c r="T484" s="18" t="n">
        <v>913.2</v>
      </c>
      <c r="U484" s="18" t="n">
        <v>1018.6</v>
      </c>
      <c r="V484" s="3" t="n"/>
      <c r="W484" s="3" t="n"/>
      <c r="X484" s="3" t="n"/>
      <c r="Y484" s="4" t="inlineStr">
        <is>
          <t>INFO_8K_Q2-FY2021 p8</t>
        </is>
      </c>
    </row>
    <row r="485">
      <c r="A485" s="38" t="inlineStr">
        <is>
          <t>Total recurring revenue - Percent change Total</t>
        </is>
      </c>
      <c r="B485" s="3" t="n"/>
      <c r="C485" s="3" t="n"/>
      <c r="D485" s="3" t="n"/>
      <c r="E485" s="3" t="n"/>
      <c r="F485" s="3" t="n"/>
      <c r="G485" s="3" t="n"/>
      <c r="H485" s="3" t="n"/>
      <c r="I485" s="3" t="n"/>
      <c r="J485" s="3" t="n"/>
      <c r="K485" s="3" t="n"/>
      <c r="L485" s="3" t="n"/>
      <c r="M485" s="3" t="n"/>
      <c r="N485" s="3" t="n"/>
      <c r="O485" s="41" t="n">
        <v>8</v>
      </c>
      <c r="P485" s="3" t="n"/>
      <c r="Q485" s="3" t="n"/>
      <c r="R485" s="3" t="n"/>
      <c r="S485" s="3" t="n"/>
      <c r="T485" s="3" t="n"/>
      <c r="U485" s="41" t="n">
        <v>12</v>
      </c>
      <c r="V485" s="3" t="n"/>
      <c r="W485" s="3" t="n"/>
      <c r="X485" s="3" t="n"/>
      <c r="Y485" s="4" t="inlineStr">
        <is>
          <t>INFO_8K_Q2-FY2021 p8</t>
        </is>
      </c>
    </row>
    <row r="486">
      <c r="A486" s="38" t="inlineStr">
        <is>
          <t>Total recurring revenue - Percent change Organic</t>
        </is>
      </c>
      <c r="B486" s="3" t="n"/>
      <c r="C486" s="3" t="n"/>
      <c r="D486" s="3" t="n"/>
      <c r="E486" s="3" t="n"/>
      <c r="F486" s="3" t="n"/>
      <c r="G486" s="3" t="n"/>
      <c r="H486" s="3" t="n"/>
      <c r="I486" s="3" t="n"/>
      <c r="J486" s="3" t="n"/>
      <c r="K486" s="3" t="n"/>
      <c r="L486" s="3" t="n"/>
      <c r="M486" s="3" t="n"/>
      <c r="N486" s="3" t="n"/>
      <c r="O486" s="41" t="n">
        <v>7</v>
      </c>
      <c r="P486" s="3" t="n"/>
      <c r="Q486" s="3" t="n"/>
      <c r="R486" s="3" t="n"/>
      <c r="S486" s="3" t="n"/>
      <c r="T486" s="3" t="n"/>
      <c r="U486" s="41" t="n">
        <v>10</v>
      </c>
      <c r="V486" s="3" t="n"/>
      <c r="W486" s="3" t="n"/>
      <c r="X486" s="3" t="n"/>
      <c r="Y486" s="4" t="inlineStr">
        <is>
          <t>INFO_8K_Q2-FY2021 p8</t>
        </is>
      </c>
    </row>
    <row r="487">
      <c r="A487" s="14" t="inlineStr">
        <is>
          <t>INFO_8K_Q2-FY2021 · Supplemental Revenue Disclosure - Non-recurring revenue by segment</t>
        </is>
      </c>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row>
    <row r="488">
      <c r="A488" s="38" t="inlineStr">
        <is>
          <t>Financial Services</t>
        </is>
      </c>
      <c r="B488" s="3" t="n"/>
      <c r="C488" s="3" t="n"/>
      <c r="D488" s="3" t="n"/>
      <c r="E488" s="3" t="n"/>
      <c r="F488" s="3" t="n"/>
      <c r="G488" s="3" t="n"/>
      <c r="H488" s="3" t="n"/>
      <c r="I488" s="3" t="n"/>
      <c r="J488" s="3" t="n"/>
      <c r="K488" s="3" t="n"/>
      <c r="L488" s="3" t="n"/>
      <c r="M488" s="3" t="n"/>
      <c r="N488" s="30" t="n">
        <v>45.2</v>
      </c>
      <c r="O488" s="30" t="n">
        <v>58.8</v>
      </c>
      <c r="P488" s="3" t="n"/>
      <c r="Q488" s="3" t="n"/>
      <c r="R488" s="3" t="n"/>
      <c r="S488" s="3" t="n"/>
      <c r="T488" s="30" t="n">
        <v>23.3</v>
      </c>
      <c r="U488" s="30" t="n">
        <v>32.5</v>
      </c>
      <c r="V488" s="3" t="n"/>
      <c r="W488" s="3" t="n"/>
      <c r="X488" s="3" t="n"/>
      <c r="Y488" s="4" t="inlineStr">
        <is>
          <t>INFO_8K_Q2-FY2021 p8</t>
        </is>
      </c>
    </row>
    <row r="489">
      <c r="A489" s="38" t="inlineStr">
        <is>
          <t>Financial Services - Percent change Total</t>
        </is>
      </c>
      <c r="B489" s="3" t="n"/>
      <c r="C489" s="3" t="n"/>
      <c r="D489" s="3" t="n"/>
      <c r="E489" s="3" t="n"/>
      <c r="F489" s="3" t="n"/>
      <c r="G489" s="3" t="n"/>
      <c r="H489" s="3" t="n"/>
      <c r="I489" s="3" t="n"/>
      <c r="J489" s="3" t="n"/>
      <c r="K489" s="3" t="n"/>
      <c r="L489" s="3" t="n"/>
      <c r="M489" s="3" t="n"/>
      <c r="N489" s="3" t="n"/>
      <c r="O489" s="41" t="n">
        <v>30</v>
      </c>
      <c r="P489" s="3" t="n"/>
      <c r="Q489" s="3" t="n"/>
      <c r="R489" s="3" t="n"/>
      <c r="S489" s="3" t="n"/>
      <c r="T489" s="3" t="n"/>
      <c r="U489" s="41" t="n">
        <v>39</v>
      </c>
      <c r="V489" s="3" t="n"/>
      <c r="W489" s="3" t="n"/>
      <c r="X489" s="3" t="n"/>
      <c r="Y489" s="4" t="inlineStr">
        <is>
          <t>INFO_8K_Q2-FY2021 p8</t>
        </is>
      </c>
    </row>
    <row r="490">
      <c r="A490" s="38" t="inlineStr">
        <is>
          <t>Financial Services - Percent change Organic</t>
        </is>
      </c>
      <c r="B490" s="3" t="n"/>
      <c r="C490" s="3" t="n"/>
      <c r="D490" s="3" t="n"/>
      <c r="E490" s="3" t="n"/>
      <c r="F490" s="3" t="n"/>
      <c r="G490" s="3" t="n"/>
      <c r="H490" s="3" t="n"/>
      <c r="I490" s="3" t="n"/>
      <c r="J490" s="3" t="n"/>
      <c r="K490" s="3" t="n"/>
      <c r="L490" s="3" t="n"/>
      <c r="M490" s="3" t="n"/>
      <c r="N490" s="3" t="n"/>
      <c r="O490" s="41" t="n">
        <v>27</v>
      </c>
      <c r="P490" s="3" t="n"/>
      <c r="Q490" s="3" t="n"/>
      <c r="R490" s="3" t="n"/>
      <c r="S490" s="3" t="n"/>
      <c r="T490" s="3" t="n"/>
      <c r="U490" s="41" t="n">
        <v>36</v>
      </c>
      <c r="V490" s="3" t="n"/>
      <c r="W490" s="3" t="n"/>
      <c r="X490" s="3" t="n"/>
      <c r="Y490" s="4" t="inlineStr">
        <is>
          <t>INFO_8K_Q2-FY2021 p8</t>
        </is>
      </c>
    </row>
    <row r="491">
      <c r="A491" s="38" t="inlineStr">
        <is>
          <t>Transportation</t>
        </is>
      </c>
      <c r="B491" s="3" t="n"/>
      <c r="C491" s="3" t="n"/>
      <c r="D491" s="3" t="n"/>
      <c r="E491" s="3" t="n"/>
      <c r="F491" s="3" t="n"/>
      <c r="G491" s="3" t="n"/>
      <c r="H491" s="3" t="n"/>
      <c r="I491" s="3" t="n"/>
      <c r="J491" s="3" t="n"/>
      <c r="K491" s="3" t="n"/>
      <c r="L491" s="3" t="n"/>
      <c r="M491" s="3" t="n"/>
      <c r="N491" s="30" t="n">
        <v>125.9</v>
      </c>
      <c r="O491" s="30" t="n">
        <v>147.6</v>
      </c>
      <c r="P491" s="3" t="n"/>
      <c r="Q491" s="3" t="n"/>
      <c r="R491" s="3" t="n"/>
      <c r="S491" s="3" t="n"/>
      <c r="T491" s="30" t="n">
        <v>56.4</v>
      </c>
      <c r="U491" s="30" t="n">
        <v>82.5</v>
      </c>
      <c r="V491" s="3" t="n"/>
      <c r="W491" s="3" t="n"/>
      <c r="X491" s="3" t="n"/>
      <c r="Y491" s="4" t="inlineStr">
        <is>
          <t>INFO_8K_Q2-FY2021 p8</t>
        </is>
      </c>
    </row>
    <row r="492">
      <c r="A492" s="38" t="inlineStr">
        <is>
          <t>Transportation - Percent change Total</t>
        </is>
      </c>
      <c r="B492" s="3" t="n"/>
      <c r="C492" s="3" t="n"/>
      <c r="D492" s="3" t="n"/>
      <c r="E492" s="3" t="n"/>
      <c r="F492" s="3" t="n"/>
      <c r="G492" s="3" t="n"/>
      <c r="H492" s="3" t="n"/>
      <c r="I492" s="3" t="n"/>
      <c r="J492" s="3" t="n"/>
      <c r="K492" s="3" t="n"/>
      <c r="L492" s="3" t="n"/>
      <c r="M492" s="3" t="n"/>
      <c r="N492" s="3" t="n"/>
      <c r="O492" s="41" t="n">
        <v>17</v>
      </c>
      <c r="P492" s="3" t="n"/>
      <c r="Q492" s="3" t="n"/>
      <c r="R492" s="3" t="n"/>
      <c r="S492" s="3" t="n"/>
      <c r="T492" s="3" t="n"/>
      <c r="U492" s="41" t="n">
        <v>46</v>
      </c>
      <c r="V492" s="3" t="n"/>
      <c r="W492" s="3" t="n"/>
      <c r="X492" s="3" t="n"/>
      <c r="Y492" s="4" t="inlineStr">
        <is>
          <t>INFO_8K_Q2-FY2021 p8</t>
        </is>
      </c>
    </row>
    <row r="493">
      <c r="A493" s="38" t="inlineStr">
        <is>
          <t>Transportation - Percent change Organic</t>
        </is>
      </c>
      <c r="B493" s="3" t="n"/>
      <c r="C493" s="3" t="n"/>
      <c r="D493" s="3" t="n"/>
      <c r="E493" s="3" t="n"/>
      <c r="F493" s="3" t="n"/>
      <c r="G493" s="3" t="n"/>
      <c r="H493" s="3" t="n"/>
      <c r="I493" s="3" t="n"/>
      <c r="J493" s="3" t="n"/>
      <c r="K493" s="3" t="n"/>
      <c r="L493" s="3" t="n"/>
      <c r="M493" s="3" t="n"/>
      <c r="N493" s="3" t="n"/>
      <c r="O493" s="41" t="n">
        <v>14</v>
      </c>
      <c r="P493" s="3" t="n"/>
      <c r="Q493" s="3" t="n"/>
      <c r="R493" s="3" t="n"/>
      <c r="S493" s="3" t="n"/>
      <c r="T493" s="3" t="n"/>
      <c r="U493" s="41" t="n">
        <v>41</v>
      </c>
      <c r="V493" s="3" t="n"/>
      <c r="W493" s="3" t="n"/>
      <c r="X493" s="3" t="n"/>
      <c r="Y493" s="4" t="inlineStr">
        <is>
          <t>INFO_8K_Q2-FY2021 p8</t>
        </is>
      </c>
    </row>
    <row r="494">
      <c r="A494" s="38" t="inlineStr">
        <is>
          <t>Resources</t>
        </is>
      </c>
      <c r="B494" s="3" t="n"/>
      <c r="C494" s="3" t="n"/>
      <c r="D494" s="3" t="n"/>
      <c r="E494" s="3" t="n"/>
      <c r="F494" s="3" t="n"/>
      <c r="G494" s="3" t="n"/>
      <c r="H494" s="3" t="n"/>
      <c r="I494" s="3" t="n"/>
      <c r="J494" s="3" t="n"/>
      <c r="K494" s="3" t="n"/>
      <c r="L494" s="3" t="n"/>
      <c r="M494" s="3" t="n"/>
      <c r="N494" s="30" t="n">
        <v>46.6</v>
      </c>
      <c r="O494" s="30" t="n">
        <v>57.4</v>
      </c>
      <c r="P494" s="3" t="n"/>
      <c r="Q494" s="3" t="n"/>
      <c r="R494" s="3" t="n"/>
      <c r="S494" s="3" t="n"/>
      <c r="T494" s="30" t="n">
        <v>21.5</v>
      </c>
      <c r="U494" s="30" t="n">
        <v>37.3</v>
      </c>
      <c r="V494" s="3" t="n"/>
      <c r="W494" s="3" t="n"/>
      <c r="X494" s="3" t="n"/>
      <c r="Y494" s="4" t="inlineStr">
        <is>
          <t>INFO_8K_Q2-FY2021 p8</t>
        </is>
      </c>
    </row>
    <row r="495">
      <c r="A495" s="38" t="inlineStr">
        <is>
          <t>Resources - Percent change Total</t>
        </is>
      </c>
      <c r="B495" s="3" t="n"/>
      <c r="C495" s="3" t="n"/>
      <c r="D495" s="3" t="n"/>
      <c r="E495" s="3" t="n"/>
      <c r="F495" s="3" t="n"/>
      <c r="G495" s="3" t="n"/>
      <c r="H495" s="3" t="n"/>
      <c r="I495" s="3" t="n"/>
      <c r="J495" s="3" t="n"/>
      <c r="K495" s="3" t="n"/>
      <c r="L495" s="3" t="n"/>
      <c r="M495" s="3" t="n"/>
      <c r="N495" s="3" t="n"/>
      <c r="O495" s="41" t="n">
        <v>23</v>
      </c>
      <c r="P495" s="3" t="n"/>
      <c r="Q495" s="3" t="n"/>
      <c r="R495" s="3" t="n"/>
      <c r="S495" s="3" t="n"/>
      <c r="T495" s="3" t="n"/>
      <c r="U495" s="41" t="n">
        <v>73</v>
      </c>
      <c r="V495" s="3" t="n"/>
      <c r="W495" s="3" t="n"/>
      <c r="X495" s="3" t="n"/>
      <c r="Y495" s="4" t="inlineStr">
        <is>
          <t>INFO_8K_Q2-FY2021 p8</t>
        </is>
      </c>
    </row>
    <row r="496">
      <c r="A496" s="38" t="inlineStr">
        <is>
          <t>Resources - Percent change Organic</t>
        </is>
      </c>
      <c r="B496" s="3" t="n"/>
      <c r="C496" s="3" t="n"/>
      <c r="D496" s="3" t="n"/>
      <c r="E496" s="3" t="n"/>
      <c r="F496" s="3" t="n"/>
      <c r="G496" s="3" t="n"/>
      <c r="H496" s="3" t="n"/>
      <c r="I496" s="3" t="n"/>
      <c r="J496" s="3" t="n"/>
      <c r="K496" s="3" t="n"/>
      <c r="L496" s="3" t="n"/>
      <c r="M496" s="3" t="n"/>
      <c r="N496" s="3" t="n"/>
      <c r="O496" s="41" t="n">
        <v>23</v>
      </c>
      <c r="P496" s="3" t="n"/>
      <c r="Q496" s="3" t="n"/>
      <c r="R496" s="3" t="n"/>
      <c r="S496" s="3" t="n"/>
      <c r="T496" s="3" t="n"/>
      <c r="U496" s="41" t="n">
        <v>73</v>
      </c>
      <c r="V496" s="3" t="n"/>
      <c r="W496" s="3" t="n"/>
      <c r="X496" s="3" t="n"/>
      <c r="Y496" s="4" t="inlineStr">
        <is>
          <t>INFO_8K_Q2-FY2021 p8</t>
        </is>
      </c>
    </row>
    <row r="497">
      <c r="A497" s="38" t="inlineStr">
        <is>
          <t>CMS</t>
        </is>
      </c>
      <c r="B497" s="3" t="n"/>
      <c r="C497" s="3" t="n"/>
      <c r="D497" s="3" t="n"/>
      <c r="E497" s="3" t="n"/>
      <c r="F497" s="3" t="n"/>
      <c r="G497" s="3" t="n"/>
      <c r="H497" s="3" t="n"/>
      <c r="I497" s="3" t="n"/>
      <c r="J497" s="3" t="n"/>
      <c r="K497" s="3" t="n"/>
      <c r="L497" s="3" t="n"/>
      <c r="M497" s="3" t="n"/>
      <c r="N497" s="30" t="n">
        <v>25.6</v>
      </c>
      <c r="O497" s="30" t="n">
        <v>20.4</v>
      </c>
      <c r="P497" s="3" t="n"/>
      <c r="Q497" s="3" t="n"/>
      <c r="R497" s="3" t="n"/>
      <c r="S497" s="3" t="n"/>
      <c r="T497" s="30" t="n">
        <v>12.2</v>
      </c>
      <c r="U497" s="30" t="n">
        <v>10.5</v>
      </c>
      <c r="V497" s="3" t="n"/>
      <c r="W497" s="3" t="n"/>
      <c r="X497" s="3" t="n"/>
      <c r="Y497" s="4" t="inlineStr">
        <is>
          <t>INFO_8K_Q2-FY2021 p8</t>
        </is>
      </c>
    </row>
    <row r="498">
      <c r="A498" s="38" t="inlineStr">
        <is>
          <t>CMS - Percent change Total</t>
        </is>
      </c>
      <c r="B498" s="3" t="n"/>
      <c r="C498" s="3" t="n"/>
      <c r="D498" s="3" t="n"/>
      <c r="E498" s="3" t="n"/>
      <c r="F498" s="3" t="n"/>
      <c r="G498" s="3" t="n"/>
      <c r="H498" s="3" t="n"/>
      <c r="I498" s="3" t="n"/>
      <c r="J498" s="3" t="n"/>
      <c r="K498" s="3" t="n"/>
      <c r="L498" s="3" t="n"/>
      <c r="M498" s="3" t="n"/>
      <c r="N498" s="3" t="n"/>
      <c r="O498" s="41" t="n">
        <v>-20</v>
      </c>
      <c r="P498" s="3" t="n"/>
      <c r="Q498" s="3" t="n"/>
      <c r="R498" s="3" t="n"/>
      <c r="S498" s="3" t="n"/>
      <c r="T498" s="3" t="n"/>
      <c r="U498" s="41" t="n">
        <v>-14</v>
      </c>
      <c r="V498" s="3" t="n"/>
      <c r="W498" s="3" t="n"/>
      <c r="X498" s="3" t="n"/>
      <c r="Y498" s="4" t="inlineStr">
        <is>
          <t>INFO_8K_Q2-FY2021 p8</t>
        </is>
      </c>
    </row>
    <row r="499">
      <c r="A499" s="38" t="inlineStr">
        <is>
          <t>CMS - Percent change Organic</t>
        </is>
      </c>
      <c r="B499" s="3" t="n"/>
      <c r="C499" s="3" t="n"/>
      <c r="D499" s="3" t="n"/>
      <c r="E499" s="3" t="n"/>
      <c r="F499" s="3" t="n"/>
      <c r="G499" s="3" t="n"/>
      <c r="H499" s="3" t="n"/>
      <c r="I499" s="3" t="n"/>
      <c r="J499" s="3" t="n"/>
      <c r="K499" s="3" t="n"/>
      <c r="L499" s="3" t="n"/>
      <c r="M499" s="3" t="n"/>
      <c r="N499" s="3" t="n"/>
      <c r="O499" s="41" t="n">
        <v>-18</v>
      </c>
      <c r="P499" s="3" t="n"/>
      <c r="Q499" s="3" t="n"/>
      <c r="R499" s="3" t="n"/>
      <c r="S499" s="3" t="n"/>
      <c r="T499" s="3" t="n"/>
      <c r="U499" s="41" t="n">
        <v>-10</v>
      </c>
      <c r="V499" s="3" t="n"/>
      <c r="W499" s="3" t="n"/>
      <c r="X499" s="3" t="n"/>
      <c r="Y499" s="4" t="inlineStr">
        <is>
          <t>INFO_8K_Q2-FY2021 p8</t>
        </is>
      </c>
    </row>
    <row r="500">
      <c r="A500" s="39" t="inlineStr">
        <is>
          <t>Total non-recurring revenue (caption not printed on Quartr p9; row values only)</t>
        </is>
      </c>
      <c r="B500" s="3" t="n"/>
      <c r="C500" s="3" t="n"/>
      <c r="D500" s="3" t="n"/>
      <c r="E500" s="3" t="n"/>
      <c r="F500" s="3" t="n"/>
      <c r="G500" s="3" t="n"/>
      <c r="H500" s="3" t="n"/>
      <c r="I500" s="3" t="n"/>
      <c r="J500" s="3" t="n"/>
      <c r="K500" s="3" t="n"/>
      <c r="L500" s="3" t="n"/>
      <c r="M500" s="3" t="n"/>
      <c r="N500" s="18" t="n">
        <v>243.3</v>
      </c>
      <c r="O500" s="18" t="n">
        <v>284.2</v>
      </c>
      <c r="P500" s="3" t="n"/>
      <c r="Q500" s="3" t="n"/>
      <c r="R500" s="3" t="n"/>
      <c r="S500" s="3" t="n"/>
      <c r="T500" s="18" t="n">
        <v>113.4</v>
      </c>
      <c r="U500" s="18" t="n">
        <v>162.8</v>
      </c>
      <c r="V500" s="3" t="n"/>
      <c r="W500" s="3" t="n"/>
      <c r="X500" s="3" t="n"/>
      <c r="Y500" s="4" t="inlineStr">
        <is>
          <t>INFO_8K_Q2-FY2021 p9</t>
        </is>
      </c>
    </row>
    <row r="501">
      <c r="A501" s="38" t="inlineStr">
        <is>
          <t>Total non-recurring revenue (caption not printed on Quartr p9; row values only) - Percent change Total</t>
        </is>
      </c>
      <c r="B501" s="3" t="n"/>
      <c r="C501" s="3" t="n"/>
      <c r="D501" s="3" t="n"/>
      <c r="E501" s="3" t="n"/>
      <c r="F501" s="3" t="n"/>
      <c r="G501" s="3" t="n"/>
      <c r="H501" s="3" t="n"/>
      <c r="I501" s="3" t="n"/>
      <c r="J501" s="3" t="n"/>
      <c r="K501" s="3" t="n"/>
      <c r="L501" s="3" t="n"/>
      <c r="M501" s="3" t="n"/>
      <c r="N501" s="3" t="n"/>
      <c r="O501" s="41" t="n">
        <v>17</v>
      </c>
      <c r="P501" s="3" t="n"/>
      <c r="Q501" s="3" t="n"/>
      <c r="R501" s="3" t="n"/>
      <c r="S501" s="3" t="n"/>
      <c r="T501" s="3" t="n"/>
      <c r="U501" s="41" t="n">
        <v>44</v>
      </c>
      <c r="V501" s="3" t="n"/>
      <c r="W501" s="3" t="n"/>
      <c r="X501" s="3" t="n"/>
      <c r="Y501" s="4" t="inlineStr">
        <is>
          <t>INFO_8K_Q2-FY2021 p9</t>
        </is>
      </c>
    </row>
    <row r="502">
      <c r="A502" s="38" t="inlineStr">
        <is>
          <t>Total non-recurring revenue (caption not printed on Quartr p9; row values only) - Percent change Organic</t>
        </is>
      </c>
      <c r="B502" s="3" t="n"/>
      <c r="C502" s="3" t="n"/>
      <c r="D502" s="3" t="n"/>
      <c r="E502" s="3" t="n"/>
      <c r="F502" s="3" t="n"/>
      <c r="G502" s="3" t="n"/>
      <c r="H502" s="3" t="n"/>
      <c r="I502" s="3" t="n"/>
      <c r="J502" s="3" t="n"/>
      <c r="K502" s="3" t="n"/>
      <c r="L502" s="3" t="n"/>
      <c r="M502" s="3" t="n"/>
      <c r="N502" s="3" t="n"/>
      <c r="O502" s="41" t="n">
        <v>15</v>
      </c>
      <c r="P502" s="3" t="n"/>
      <c r="Q502" s="3" t="n"/>
      <c r="R502" s="3" t="n"/>
      <c r="S502" s="3" t="n"/>
      <c r="T502" s="3" t="n"/>
      <c r="U502" s="41" t="n">
        <v>41</v>
      </c>
      <c r="V502" s="3" t="n"/>
      <c r="W502" s="3" t="n"/>
      <c r="X502" s="3" t="n"/>
      <c r="Y502" s="4" t="inlineStr">
        <is>
          <t>INFO_8K_Q2-FY2021 p9</t>
        </is>
      </c>
    </row>
    <row r="503">
      <c r="A503" s="14" t="inlineStr">
        <is>
          <t>INFO_8K_Q2-FY2021 · Supplemental Revenue Disclosure - Total revenue by segment</t>
        </is>
      </c>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row>
    <row r="504">
      <c r="A504" s="38" t="inlineStr">
        <is>
          <t>Financial Services</t>
        </is>
      </c>
      <c r="B504" s="3" t="n"/>
      <c r="C504" s="3" t="n"/>
      <c r="D504" s="3" t="n"/>
      <c r="E504" s="3" t="n"/>
      <c r="F504" s="3" t="n"/>
      <c r="G504" s="3" t="n"/>
      <c r="H504" s="3" t="n"/>
      <c r="I504" s="3" t="n"/>
      <c r="J504" s="3" t="n"/>
      <c r="K504" s="3" t="n"/>
      <c r="L504" s="3" t="n"/>
      <c r="M504" s="3" t="n"/>
      <c r="N504" s="30" t="n">
        <v>879.5</v>
      </c>
      <c r="O504" s="30" t="n">
        <v>977.9</v>
      </c>
      <c r="P504" s="3" t="n"/>
      <c r="Q504" s="3" t="n"/>
      <c r="R504" s="3" t="n"/>
      <c r="S504" s="3" t="n"/>
      <c r="T504" s="30" t="n">
        <v>443.5</v>
      </c>
      <c r="U504" s="30" t="n">
        <v>493.4</v>
      </c>
      <c r="V504" s="3" t="n"/>
      <c r="W504" s="3" t="n"/>
      <c r="X504" s="3" t="n"/>
      <c r="Y504" s="4" t="inlineStr">
        <is>
          <t>INFO_8K_Q2-FY2021 p9</t>
        </is>
      </c>
    </row>
    <row r="505">
      <c r="A505" s="38" t="inlineStr">
        <is>
          <t>Financial Services - Percent change Total</t>
        </is>
      </c>
      <c r="B505" s="3" t="n"/>
      <c r="C505" s="3" t="n"/>
      <c r="D505" s="3" t="n"/>
      <c r="E505" s="3" t="n"/>
      <c r="F505" s="3" t="n"/>
      <c r="G505" s="3" t="n"/>
      <c r="H505" s="3" t="n"/>
      <c r="I505" s="3" t="n"/>
      <c r="J505" s="3" t="n"/>
      <c r="K505" s="3" t="n"/>
      <c r="L505" s="3" t="n"/>
      <c r="M505" s="3" t="n"/>
      <c r="N505" s="3" t="n"/>
      <c r="O505" s="41" t="n">
        <v>11</v>
      </c>
      <c r="P505" s="3" t="n"/>
      <c r="Q505" s="3" t="n"/>
      <c r="R505" s="3" t="n"/>
      <c r="S505" s="3" t="n"/>
      <c r="T505" s="3" t="n"/>
      <c r="U505" s="41" t="n">
        <v>11</v>
      </c>
      <c r="V505" s="3" t="n"/>
      <c r="W505" s="3" t="n"/>
      <c r="X505" s="3" t="n"/>
      <c r="Y505" s="4" t="inlineStr">
        <is>
          <t>INFO_8K_Q2-FY2021 p9</t>
        </is>
      </c>
    </row>
    <row r="506">
      <c r="A506" s="38" t="inlineStr">
        <is>
          <t>Financial Services - Percent change Organic</t>
        </is>
      </c>
      <c r="B506" s="3" t="n"/>
      <c r="C506" s="3" t="n"/>
      <c r="D506" s="3" t="n"/>
      <c r="E506" s="3" t="n"/>
      <c r="F506" s="3" t="n"/>
      <c r="G506" s="3" t="n"/>
      <c r="H506" s="3" t="n"/>
      <c r="I506" s="3" t="n"/>
      <c r="J506" s="3" t="n"/>
      <c r="K506" s="3" t="n"/>
      <c r="L506" s="3" t="n"/>
      <c r="M506" s="3" t="n"/>
      <c r="N506" s="3" t="n"/>
      <c r="O506" s="41" t="n">
        <v>9</v>
      </c>
      <c r="P506" s="3" t="n"/>
      <c r="Q506" s="3" t="n"/>
      <c r="R506" s="3" t="n"/>
      <c r="S506" s="3" t="n"/>
      <c r="T506" s="3" t="n"/>
      <c r="U506" s="41" t="n">
        <v>9</v>
      </c>
      <c r="V506" s="3" t="n"/>
      <c r="W506" s="3" t="n"/>
      <c r="X506" s="3" t="n"/>
      <c r="Y506" s="4" t="inlineStr">
        <is>
          <t>INFO_8K_Q2-FY2021 p9</t>
        </is>
      </c>
    </row>
    <row r="507">
      <c r="A507" s="38" t="inlineStr">
        <is>
          <t>Transportation</t>
        </is>
      </c>
      <c r="B507" s="3" t="n"/>
      <c r="C507" s="3" t="n"/>
      <c r="D507" s="3" t="n"/>
      <c r="E507" s="3" t="n"/>
      <c r="F507" s="3" t="n"/>
      <c r="G507" s="3" t="n"/>
      <c r="H507" s="3" t="n"/>
      <c r="I507" s="3" t="n"/>
      <c r="J507" s="3" t="n"/>
      <c r="K507" s="3" t="n"/>
      <c r="L507" s="3" t="n"/>
      <c r="M507" s="3" t="n"/>
      <c r="N507" s="30" t="n">
        <v>540.4</v>
      </c>
      <c r="O507" s="30" t="n">
        <v>655.8</v>
      </c>
      <c r="P507" s="3" t="n"/>
      <c r="Q507" s="3" t="n"/>
      <c r="R507" s="3" t="n"/>
      <c r="S507" s="3" t="n"/>
      <c r="T507" s="30" t="n">
        <v>243.2</v>
      </c>
      <c r="U507" s="30" t="n">
        <v>344.1</v>
      </c>
      <c r="V507" s="3" t="n"/>
      <c r="W507" s="3" t="n"/>
      <c r="X507" s="3" t="n"/>
      <c r="Y507" s="4" t="inlineStr">
        <is>
          <t>INFO_8K_Q2-FY2021 p9</t>
        </is>
      </c>
    </row>
    <row r="508">
      <c r="A508" s="38" t="inlineStr">
        <is>
          <t>Transportation - Percent change Total</t>
        </is>
      </c>
      <c r="B508" s="3" t="n"/>
      <c r="C508" s="3" t="n"/>
      <c r="D508" s="3" t="n"/>
      <c r="E508" s="3" t="n"/>
      <c r="F508" s="3" t="n"/>
      <c r="G508" s="3" t="n"/>
      <c r="H508" s="3" t="n"/>
      <c r="I508" s="3" t="n"/>
      <c r="J508" s="3" t="n"/>
      <c r="K508" s="3" t="n"/>
      <c r="L508" s="3" t="n"/>
      <c r="M508" s="3" t="n"/>
      <c r="N508" s="3" t="n"/>
      <c r="O508" s="41" t="n">
        <v>21</v>
      </c>
      <c r="P508" s="3" t="n"/>
      <c r="Q508" s="3" t="n"/>
      <c r="R508" s="3" t="n"/>
      <c r="S508" s="3" t="n"/>
      <c r="T508" s="3" t="n"/>
      <c r="U508" s="41" t="n">
        <v>41</v>
      </c>
      <c r="V508" s="3" t="n"/>
      <c r="W508" s="3" t="n"/>
      <c r="X508" s="3" t="n"/>
      <c r="Y508" s="4" t="inlineStr">
        <is>
          <t>INFO_8K_Q2-FY2021 p9</t>
        </is>
      </c>
    </row>
    <row r="509">
      <c r="A509" s="38" t="inlineStr">
        <is>
          <t>Transportation - Percent change Organic</t>
        </is>
      </c>
      <c r="B509" s="3" t="n"/>
      <c r="C509" s="3" t="n"/>
      <c r="D509" s="3" t="n"/>
      <c r="E509" s="3" t="n"/>
      <c r="F509" s="3" t="n"/>
      <c r="G509" s="3" t="n"/>
      <c r="H509" s="3" t="n"/>
      <c r="I509" s="3" t="n"/>
      <c r="J509" s="3" t="n"/>
      <c r="K509" s="3" t="n"/>
      <c r="L509" s="3" t="n"/>
      <c r="M509" s="3" t="n"/>
      <c r="N509" s="3" t="n"/>
      <c r="O509" s="41" t="n">
        <v>20</v>
      </c>
      <c r="P509" s="3" t="n"/>
      <c r="Q509" s="3" t="n"/>
      <c r="R509" s="3" t="n"/>
      <c r="S509" s="3" t="n"/>
      <c r="T509" s="3" t="n"/>
      <c r="U509" s="41" t="n">
        <v>39</v>
      </c>
      <c r="V509" s="3" t="n"/>
      <c r="W509" s="3" t="n"/>
      <c r="X509" s="3" t="n"/>
      <c r="Y509" s="4" t="inlineStr">
        <is>
          <t>INFO_8K_Q2-FY2021 p9</t>
        </is>
      </c>
    </row>
    <row r="510">
      <c r="A510" s="38" t="inlineStr">
        <is>
          <t>Resources</t>
        </is>
      </c>
      <c r="B510" s="3" t="n"/>
      <c r="C510" s="3" t="n"/>
      <c r="D510" s="3" t="n"/>
      <c r="E510" s="3" t="n"/>
      <c r="F510" s="3" t="n"/>
      <c r="G510" s="3" t="n"/>
      <c r="H510" s="3" t="n"/>
      <c r="I510" s="3" t="n"/>
      <c r="J510" s="3" t="n"/>
      <c r="K510" s="3" t="n"/>
      <c r="L510" s="3" t="n"/>
      <c r="M510" s="3" t="n"/>
      <c r="N510" s="30" t="n">
        <v>444.6</v>
      </c>
      <c r="O510" s="30" t="n">
        <v>423.5</v>
      </c>
      <c r="P510" s="3" t="n"/>
      <c r="Q510" s="3" t="n"/>
      <c r="R510" s="3" t="n"/>
      <c r="S510" s="3" t="n"/>
      <c r="T510" s="30" t="n">
        <v>219</v>
      </c>
      <c r="U510" s="30" t="n">
        <v>220.8</v>
      </c>
      <c r="V510" s="3" t="n"/>
      <c r="W510" s="3" t="n"/>
      <c r="X510" s="3" t="n"/>
      <c r="Y510" s="4" t="inlineStr">
        <is>
          <t>INFO_8K_Q2-FY2021 p9</t>
        </is>
      </c>
    </row>
    <row r="511">
      <c r="A511" s="38" t="inlineStr">
        <is>
          <t>Resources - Percent change Total</t>
        </is>
      </c>
      <c r="B511" s="3" t="n"/>
      <c r="C511" s="3" t="n"/>
      <c r="D511" s="3" t="n"/>
      <c r="E511" s="3" t="n"/>
      <c r="F511" s="3" t="n"/>
      <c r="G511" s="3" t="n"/>
      <c r="H511" s="3" t="n"/>
      <c r="I511" s="3" t="n"/>
      <c r="J511" s="3" t="n"/>
      <c r="K511" s="3" t="n"/>
      <c r="L511" s="3" t="n"/>
      <c r="M511" s="3" t="n"/>
      <c r="N511" s="3" t="n"/>
      <c r="O511" s="41" t="n">
        <v>-5</v>
      </c>
      <c r="P511" s="3" t="n"/>
      <c r="Q511" s="3" t="n"/>
      <c r="R511" s="3" t="n"/>
      <c r="S511" s="3" t="n"/>
      <c r="T511" s="3" t="n"/>
      <c r="U511" s="41" t="n">
        <v>1</v>
      </c>
      <c r="V511" s="3" t="n"/>
      <c r="W511" s="3" t="n"/>
      <c r="X511" s="3" t="n"/>
      <c r="Y511" s="4" t="inlineStr">
        <is>
          <t>INFO_8K_Q2-FY2021 p9</t>
        </is>
      </c>
    </row>
    <row r="512">
      <c r="A512" s="38" t="inlineStr">
        <is>
          <t>Resources - Percent change Organic</t>
        </is>
      </c>
      <c r="B512" s="3" t="n"/>
      <c r="C512" s="3" t="n"/>
      <c r="D512" s="3" t="n"/>
      <c r="E512" s="3" t="n"/>
      <c r="F512" s="3" t="n"/>
      <c r="G512" s="3" t="n"/>
      <c r="H512" s="3" t="n"/>
      <c r="I512" s="3" t="n"/>
      <c r="J512" s="3" t="n"/>
      <c r="K512" s="3" t="n"/>
      <c r="L512" s="3" t="n"/>
      <c r="M512" s="3" t="n"/>
      <c r="N512" s="3" t="n"/>
      <c r="O512" s="41" t="n">
        <v>-5</v>
      </c>
      <c r="P512" s="3" t="n"/>
      <c r="Q512" s="3" t="n"/>
      <c r="R512" s="3" t="n"/>
      <c r="S512" s="3" t="n"/>
      <c r="T512" s="3" t="n"/>
      <c r="U512" s="41" t="n">
        <v>0</v>
      </c>
      <c r="V512" s="3" t="n"/>
      <c r="W512" s="3" t="n"/>
      <c r="X512" s="3" t="n"/>
      <c r="Y512" s="4" t="inlineStr">
        <is>
          <t>INFO_8K_Q2-FY2021 p9</t>
        </is>
      </c>
    </row>
    <row r="513">
      <c r="A513" s="38" t="inlineStr">
        <is>
          <t>CMS</t>
        </is>
      </c>
      <c r="B513" s="3" t="n"/>
      <c r="C513" s="3" t="n"/>
      <c r="D513" s="3" t="n"/>
      <c r="E513" s="3" t="n"/>
      <c r="F513" s="3" t="n"/>
      <c r="G513" s="3" t="n"/>
      <c r="H513" s="3" t="n"/>
      <c r="I513" s="3" t="n"/>
      <c r="J513" s="3" t="n"/>
      <c r="K513" s="3" t="n"/>
      <c r="L513" s="3" t="n"/>
      <c r="M513" s="3" t="n"/>
      <c r="N513" s="30" t="n">
        <v>242.9</v>
      </c>
      <c r="O513" s="30" t="n">
        <v>244.1</v>
      </c>
      <c r="P513" s="3" t="n"/>
      <c r="Q513" s="3" t="n"/>
      <c r="R513" s="3" t="n"/>
      <c r="S513" s="3" t="n"/>
      <c r="T513" s="30" t="n">
        <v>120.9</v>
      </c>
      <c r="U513" s="30" t="n">
        <v>123.1</v>
      </c>
      <c r="V513" s="3" t="n"/>
      <c r="W513" s="3" t="n"/>
      <c r="X513" s="3" t="n"/>
      <c r="Y513" s="4" t="inlineStr">
        <is>
          <t>INFO_8K_Q2-FY2021 p9</t>
        </is>
      </c>
    </row>
    <row r="514">
      <c r="A514" s="38" t="inlineStr">
        <is>
          <t>CMS - Percent change Total</t>
        </is>
      </c>
      <c r="B514" s="3" t="n"/>
      <c r="C514" s="3" t="n"/>
      <c r="D514" s="3" t="n"/>
      <c r="E514" s="3" t="n"/>
      <c r="F514" s="3" t="n"/>
      <c r="G514" s="3" t="n"/>
      <c r="H514" s="3" t="n"/>
      <c r="I514" s="3" t="n"/>
      <c r="J514" s="3" t="n"/>
      <c r="K514" s="3" t="n"/>
      <c r="L514" s="3" t="n"/>
      <c r="M514" s="3" t="n"/>
      <c r="N514" s="3" t="n"/>
      <c r="O514" s="41" t="n">
        <v>0</v>
      </c>
      <c r="P514" s="3" t="n"/>
      <c r="Q514" s="3" t="n"/>
      <c r="R514" s="3" t="n"/>
      <c r="S514" s="3" t="n"/>
      <c r="T514" s="3" t="n"/>
      <c r="U514" s="41" t="n">
        <v>2</v>
      </c>
      <c r="V514" s="3" t="n"/>
      <c r="W514" s="3" t="n"/>
      <c r="X514" s="3" t="n"/>
      <c r="Y514" s="4" t="inlineStr">
        <is>
          <t>INFO_8K_Q2-FY2021 p9</t>
        </is>
      </c>
    </row>
    <row r="515">
      <c r="A515" s="38" t="inlineStr">
        <is>
          <t>CMS - Percent change Organic</t>
        </is>
      </c>
      <c r="B515" s="3" t="n"/>
      <c r="C515" s="3" t="n"/>
      <c r="D515" s="3" t="n"/>
      <c r="E515" s="3" t="n"/>
      <c r="F515" s="3" t="n"/>
      <c r="G515" s="3" t="n"/>
      <c r="H515" s="3" t="n"/>
      <c r="I515" s="3" t="n"/>
      <c r="J515" s="3" t="n"/>
      <c r="K515" s="3" t="n"/>
      <c r="L515" s="3" t="n"/>
      <c r="M515" s="3" t="n"/>
      <c r="N515" s="3" t="n"/>
      <c r="O515" s="41" t="n">
        <v>0</v>
      </c>
      <c r="P515" s="3" t="n"/>
      <c r="Q515" s="3" t="n"/>
      <c r="R515" s="3" t="n"/>
      <c r="S515" s="3" t="n"/>
      <c r="T515" s="3" t="n"/>
      <c r="U515" s="41" t="n">
        <v>1</v>
      </c>
      <c r="V515" s="3" t="n"/>
      <c r="W515" s="3" t="n"/>
      <c r="X515" s="3" t="n"/>
      <c r="Y515" s="4" t="inlineStr">
        <is>
          <t>INFO_8K_Q2-FY2021 p9</t>
        </is>
      </c>
    </row>
    <row r="516">
      <c r="A516" s="39" t="inlineStr">
        <is>
          <t>Total revenue</t>
        </is>
      </c>
      <c r="B516" s="3" t="n"/>
      <c r="C516" s="3" t="n"/>
      <c r="D516" s="3" t="n"/>
      <c r="E516" s="3" t="n"/>
      <c r="F516" s="3" t="n"/>
      <c r="G516" s="3" t="n"/>
      <c r="H516" s="3" t="n"/>
      <c r="I516" s="3" t="n"/>
      <c r="J516" s="3" t="n"/>
      <c r="K516" s="3" t="n"/>
      <c r="L516" s="3" t="n"/>
      <c r="M516" s="3" t="n"/>
      <c r="N516" s="18" t="n">
        <v>2107.4</v>
      </c>
      <c r="O516" s="18" t="n">
        <v>2301.3</v>
      </c>
      <c r="P516" s="3" t="n"/>
      <c r="Q516" s="3" t="n"/>
      <c r="R516" s="3" t="n"/>
      <c r="S516" s="3" t="n"/>
      <c r="T516" s="18" t="n">
        <v>1026.6</v>
      </c>
      <c r="U516" s="18" t="n">
        <v>1181.4</v>
      </c>
      <c r="V516" s="3" t="n"/>
      <c r="W516" s="3" t="n"/>
      <c r="X516" s="3" t="n"/>
      <c r="Y516" s="4" t="inlineStr">
        <is>
          <t>INFO_8K_Q2-FY2021 p9</t>
        </is>
      </c>
    </row>
    <row r="517">
      <c r="A517" s="38" t="inlineStr">
        <is>
          <t>Total revenue - Percent change Total</t>
        </is>
      </c>
      <c r="B517" s="3" t="n"/>
      <c r="C517" s="3" t="n"/>
      <c r="D517" s="3" t="n"/>
      <c r="E517" s="3" t="n"/>
      <c r="F517" s="3" t="n"/>
      <c r="G517" s="3" t="n"/>
      <c r="H517" s="3" t="n"/>
      <c r="I517" s="3" t="n"/>
      <c r="J517" s="3" t="n"/>
      <c r="K517" s="3" t="n"/>
      <c r="L517" s="3" t="n"/>
      <c r="M517" s="3" t="n"/>
      <c r="N517" s="3" t="n"/>
      <c r="O517" s="41" t="n">
        <v>9</v>
      </c>
      <c r="P517" s="3" t="n"/>
      <c r="Q517" s="3" t="n"/>
      <c r="R517" s="3" t="n"/>
      <c r="S517" s="3" t="n"/>
      <c r="T517" s="3" t="n"/>
      <c r="U517" s="41" t="n">
        <v>15</v>
      </c>
      <c r="V517" s="3" t="n"/>
      <c r="W517" s="3" t="n"/>
      <c r="X517" s="3" t="n"/>
      <c r="Y517" s="4" t="inlineStr">
        <is>
          <t>INFO_8K_Q2-FY2021 p9</t>
        </is>
      </c>
    </row>
    <row r="518">
      <c r="A518" s="38" t="inlineStr">
        <is>
          <t>Total revenue - Percent change Organic</t>
        </is>
      </c>
      <c r="B518" s="3" t="n"/>
      <c r="C518" s="3" t="n"/>
      <c r="D518" s="3" t="n"/>
      <c r="E518" s="3" t="n"/>
      <c r="F518" s="3" t="n"/>
      <c r="G518" s="3" t="n"/>
      <c r="H518" s="3" t="n"/>
      <c r="I518" s="3" t="n"/>
      <c r="J518" s="3" t="n"/>
      <c r="K518" s="3" t="n"/>
      <c r="L518" s="3" t="n"/>
      <c r="M518" s="3" t="n"/>
      <c r="N518" s="3" t="n"/>
      <c r="O518" s="41" t="n">
        <v>8</v>
      </c>
      <c r="P518" s="3" t="n"/>
      <c r="Q518" s="3" t="n"/>
      <c r="R518" s="3" t="n"/>
      <c r="S518" s="3" t="n"/>
      <c r="T518" s="3" t="n"/>
      <c r="U518" s="41" t="n">
        <v>13</v>
      </c>
      <c r="V518" s="3" t="n"/>
      <c r="W518" s="3" t="n"/>
      <c r="X518" s="3" t="n"/>
      <c r="Y518" s="4" t="inlineStr">
        <is>
          <t>INFO_8K_Q2-FY2021 p9</t>
        </is>
      </c>
    </row>
    <row r="519">
      <c r="A519" s="14" t="inlineStr">
        <is>
          <t>INFO_8K_Q2-FY2021 · Supplemental Segment Operating Profit Measure - Adjusted EBITDA by segment</t>
        </is>
      </c>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row>
    <row r="520">
      <c r="A520" s="38" t="inlineStr">
        <is>
          <t>Financial Services</t>
        </is>
      </c>
      <c r="B520" s="3" t="n"/>
      <c r="C520" s="3" t="n"/>
      <c r="D520" s="3" t="n"/>
      <c r="E520" s="3" t="n"/>
      <c r="F520" s="3" t="n"/>
      <c r="G520" s="3" t="n"/>
      <c r="H520" s="3" t="n"/>
      <c r="I520" s="3" t="n"/>
      <c r="J520" s="3" t="n"/>
      <c r="K520" s="3" t="n"/>
      <c r="L520" s="3" t="n"/>
      <c r="M520" s="3" t="n"/>
      <c r="N520" s="30" t="n">
        <v>436.7</v>
      </c>
      <c r="O520" s="30" t="n">
        <v>470.7</v>
      </c>
      <c r="P520" s="3" t="n"/>
      <c r="Q520" s="3" t="n"/>
      <c r="R520" s="3" t="n"/>
      <c r="S520" s="3" t="n"/>
      <c r="T520" s="30" t="n">
        <v>231.3</v>
      </c>
      <c r="U520" s="30" t="n">
        <v>237.8</v>
      </c>
      <c r="V520" s="3" t="n"/>
      <c r="W520" s="3" t="n"/>
      <c r="X520" s="3" t="n"/>
      <c r="Y520" s="4" t="inlineStr">
        <is>
          <t>INFO_8K_Q2-FY2021 p11</t>
        </is>
      </c>
    </row>
    <row r="521">
      <c r="A521" s="38" t="inlineStr">
        <is>
          <t>Transportation</t>
        </is>
      </c>
      <c r="B521" s="3" t="n"/>
      <c r="C521" s="3" t="n"/>
      <c r="D521" s="3" t="n"/>
      <c r="E521" s="3" t="n"/>
      <c r="F521" s="3" t="n"/>
      <c r="G521" s="3" t="n"/>
      <c r="H521" s="3" t="n"/>
      <c r="I521" s="3" t="n"/>
      <c r="J521" s="3" t="n"/>
      <c r="K521" s="3" t="n"/>
      <c r="L521" s="3" t="n"/>
      <c r="M521" s="3" t="n"/>
      <c r="N521" s="30" t="n">
        <v>219.6</v>
      </c>
      <c r="O521" s="30" t="n">
        <v>317.4</v>
      </c>
      <c r="P521" s="3" t="n"/>
      <c r="Q521" s="3" t="n"/>
      <c r="R521" s="3" t="n"/>
      <c r="S521" s="3" t="n"/>
      <c r="T521" s="30" t="n">
        <v>101.6</v>
      </c>
      <c r="U521" s="30" t="n">
        <v>170.7</v>
      </c>
      <c r="V521" s="3" t="n"/>
      <c r="W521" s="3" t="n"/>
      <c r="X521" s="3" t="n"/>
      <c r="Y521" s="4" t="inlineStr">
        <is>
          <t>INFO_8K_Q2-FY2021 p11</t>
        </is>
      </c>
    </row>
    <row r="522">
      <c r="A522" s="38" t="inlineStr">
        <is>
          <t>Resources</t>
        </is>
      </c>
      <c r="B522" s="3" t="n"/>
      <c r="C522" s="3" t="n"/>
      <c r="D522" s="3" t="n"/>
      <c r="E522" s="3" t="n"/>
      <c r="F522" s="3" t="n"/>
      <c r="G522" s="3" t="n"/>
      <c r="H522" s="3" t="n"/>
      <c r="I522" s="3" t="n"/>
      <c r="J522" s="3" t="n"/>
      <c r="K522" s="3" t="n"/>
      <c r="L522" s="3" t="n"/>
      <c r="M522" s="3" t="n"/>
      <c r="N522" s="30" t="n">
        <v>186.4</v>
      </c>
      <c r="O522" s="30" t="n">
        <v>165.6</v>
      </c>
      <c r="P522" s="3" t="n"/>
      <c r="Q522" s="3" t="n"/>
      <c r="R522" s="3" t="n"/>
      <c r="S522" s="3" t="n"/>
      <c r="T522" s="30" t="n">
        <v>96.2</v>
      </c>
      <c r="U522" s="30" t="n">
        <v>91.40000000000001</v>
      </c>
      <c r="V522" s="3" t="n"/>
      <c r="W522" s="3" t="n"/>
      <c r="X522" s="3" t="n"/>
      <c r="Y522" s="4" t="inlineStr">
        <is>
          <t>INFO_8K_Q2-FY2021 p11</t>
        </is>
      </c>
    </row>
    <row r="523">
      <c r="A523" s="38" t="inlineStr">
        <is>
          <t>CMS</t>
        </is>
      </c>
      <c r="B523" s="3" t="n"/>
      <c r="C523" s="3" t="n"/>
      <c r="D523" s="3" t="n"/>
      <c r="E523" s="3" t="n"/>
      <c r="F523" s="3" t="n"/>
      <c r="G523" s="3" t="n"/>
      <c r="H523" s="3" t="n"/>
      <c r="I523" s="3" t="n"/>
      <c r="J523" s="3" t="n"/>
      <c r="K523" s="3" t="n"/>
      <c r="L523" s="3" t="n"/>
      <c r="M523" s="3" t="n"/>
      <c r="N523" s="30" t="n">
        <v>64.40000000000001</v>
      </c>
      <c r="O523" s="30" t="n">
        <v>54.8</v>
      </c>
      <c r="P523" s="3" t="n"/>
      <c r="Q523" s="3" t="n"/>
      <c r="R523" s="3" t="n"/>
      <c r="S523" s="3" t="n"/>
      <c r="T523" s="30" t="n">
        <v>35</v>
      </c>
      <c r="U523" s="30" t="n">
        <v>28.7</v>
      </c>
      <c r="V523" s="3" t="n"/>
      <c r="W523" s="3" t="n"/>
      <c r="X523" s="3" t="n"/>
      <c r="Y523" s="4" t="inlineStr">
        <is>
          <t>INFO_8K_Q2-FY2021 p11</t>
        </is>
      </c>
    </row>
    <row r="524">
      <c r="A524" s="38" t="inlineStr">
        <is>
          <t>Shared services</t>
        </is>
      </c>
      <c r="B524" s="3" t="n"/>
      <c r="C524" s="3" t="n"/>
      <c r="D524" s="3" t="n"/>
      <c r="E524" s="3" t="n"/>
      <c r="F524" s="3" t="n"/>
      <c r="G524" s="3" t="n"/>
      <c r="H524" s="3" t="n"/>
      <c r="I524" s="3" t="n"/>
      <c r="J524" s="3" t="n"/>
      <c r="K524" s="3" t="n"/>
      <c r="L524" s="3" t="n"/>
      <c r="M524" s="3" t="n"/>
      <c r="N524" s="30" t="n">
        <v>-21.5</v>
      </c>
      <c r="O524" s="30" t="n">
        <v>-24.3</v>
      </c>
      <c r="P524" s="3" t="n"/>
      <c r="Q524" s="3" t="n"/>
      <c r="R524" s="3" t="n"/>
      <c r="S524" s="3" t="n"/>
      <c r="T524" s="30" t="n">
        <v>-10.1</v>
      </c>
      <c r="U524" s="30" t="n">
        <v>-11.2</v>
      </c>
      <c r="V524" s="3" t="n"/>
      <c r="W524" s="3" t="n"/>
      <c r="X524" s="3" t="n"/>
      <c r="Y524" s="4" t="inlineStr">
        <is>
          <t>INFO_8K_Q2-FY2021 p11</t>
        </is>
      </c>
    </row>
    <row r="525">
      <c r="A525" s="39" t="inlineStr">
        <is>
          <t>Total Adjusted EBITDA</t>
        </is>
      </c>
      <c r="B525" s="3" t="n"/>
      <c r="C525" s="3" t="n"/>
      <c r="D525" s="3" t="n"/>
      <c r="E525" s="3" t="n"/>
      <c r="F525" s="3" t="n"/>
      <c r="G525" s="3" t="n"/>
      <c r="H525" s="3" t="n"/>
      <c r="I525" s="3" t="n"/>
      <c r="J525" s="3" t="n"/>
      <c r="K525" s="3" t="n"/>
      <c r="L525" s="3" t="n"/>
      <c r="M525" s="3" t="n"/>
      <c r="N525" s="18" t="n">
        <v>885.6</v>
      </c>
      <c r="O525" s="18" t="n">
        <v>984.2</v>
      </c>
      <c r="P525" s="3" t="n"/>
      <c r="Q525" s="3" t="n"/>
      <c r="R525" s="3" t="n"/>
      <c r="S525" s="3" t="n"/>
      <c r="T525" s="18" t="n">
        <v>454</v>
      </c>
      <c r="U525" s="18" t="n">
        <v>517.4</v>
      </c>
      <c r="V525" s="3" t="n"/>
      <c r="W525" s="3" t="n"/>
      <c r="X525" s="3" t="n"/>
      <c r="Y525" s="4" t="inlineStr">
        <is>
          <t>INFO_8K_Q2-FY2021 p11</t>
        </is>
      </c>
    </row>
    <row r="526">
      <c r="A526" s="14" t="inlineStr">
        <is>
          <t>INFO_8K_Q2-FY2021 · Supplemental Segment Operating Profit Measure - Adjusted EBITDA margin by segment</t>
        </is>
      </c>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row>
    <row r="527">
      <c r="A527" s="38" t="inlineStr">
        <is>
          <t>Financial Services</t>
        </is>
      </c>
      <c r="B527" s="3" t="n"/>
      <c r="C527" s="3" t="n"/>
      <c r="D527" s="3" t="n"/>
      <c r="E527" s="3" t="n"/>
      <c r="F527" s="3" t="n"/>
      <c r="G527" s="3" t="n"/>
      <c r="H527" s="3" t="n"/>
      <c r="I527" s="3" t="n"/>
      <c r="J527" s="3" t="n"/>
      <c r="K527" s="3" t="n"/>
      <c r="L527" s="3" t="n"/>
      <c r="M527" s="3" t="n"/>
      <c r="N527" s="41" t="n">
        <v>49.7</v>
      </c>
      <c r="O527" s="41" t="n">
        <v>48.1</v>
      </c>
      <c r="P527" s="3" t="n"/>
      <c r="Q527" s="3" t="n"/>
      <c r="R527" s="3" t="n"/>
      <c r="S527" s="3" t="n"/>
      <c r="T527" s="41" t="n">
        <v>52.2</v>
      </c>
      <c r="U527" s="41" t="n">
        <v>48.2</v>
      </c>
      <c r="V527" s="3" t="n"/>
      <c r="W527" s="3" t="n"/>
      <c r="X527" s="3" t="n"/>
      <c r="Y527" s="4" t="inlineStr">
        <is>
          <t>INFO_8K_Q2-FY2021 p11</t>
        </is>
      </c>
    </row>
    <row r="528">
      <c r="A528" s="38" t="inlineStr">
        <is>
          <t>Transportation</t>
        </is>
      </c>
      <c r="B528" s="3" t="n"/>
      <c r="C528" s="3" t="n"/>
      <c r="D528" s="3" t="n"/>
      <c r="E528" s="3" t="n"/>
      <c r="F528" s="3" t="n"/>
      <c r="G528" s="3" t="n"/>
      <c r="H528" s="3" t="n"/>
      <c r="I528" s="3" t="n"/>
      <c r="J528" s="3" t="n"/>
      <c r="K528" s="3" t="n"/>
      <c r="L528" s="3" t="n"/>
      <c r="M528" s="3" t="n"/>
      <c r="N528" s="41" t="n">
        <v>40.6</v>
      </c>
      <c r="O528" s="41" t="n">
        <v>48.4</v>
      </c>
      <c r="P528" s="3" t="n"/>
      <c r="Q528" s="3" t="n"/>
      <c r="R528" s="3" t="n"/>
      <c r="S528" s="3" t="n"/>
      <c r="T528" s="41" t="n">
        <v>41.8</v>
      </c>
      <c r="U528" s="41" t="n">
        <v>49.6</v>
      </c>
      <c r="V528" s="3" t="n"/>
      <c r="W528" s="3" t="n"/>
      <c r="X528" s="3" t="n"/>
      <c r="Y528" s="4" t="inlineStr">
        <is>
          <t>INFO_8K_Q2-FY2021 p11</t>
        </is>
      </c>
    </row>
    <row r="529">
      <c r="A529" s="38" t="inlineStr">
        <is>
          <t>Resources</t>
        </is>
      </c>
      <c r="B529" s="3" t="n"/>
      <c r="C529" s="3" t="n"/>
      <c r="D529" s="3" t="n"/>
      <c r="E529" s="3" t="n"/>
      <c r="F529" s="3" t="n"/>
      <c r="G529" s="3" t="n"/>
      <c r="H529" s="3" t="n"/>
      <c r="I529" s="3" t="n"/>
      <c r="J529" s="3" t="n"/>
      <c r="K529" s="3" t="n"/>
      <c r="L529" s="3" t="n"/>
      <c r="M529" s="3" t="n"/>
      <c r="N529" s="41" t="n">
        <v>41.9</v>
      </c>
      <c r="O529" s="41" t="n">
        <v>39.1</v>
      </c>
      <c r="P529" s="3" t="n"/>
      <c r="Q529" s="3" t="n"/>
      <c r="R529" s="3" t="n"/>
      <c r="S529" s="3" t="n"/>
      <c r="T529" s="41" t="n">
        <v>43.9</v>
      </c>
      <c r="U529" s="41" t="n">
        <v>41.4</v>
      </c>
      <c r="V529" s="3" t="n"/>
      <c r="W529" s="3" t="n"/>
      <c r="X529" s="3" t="n"/>
      <c r="Y529" s="4" t="inlineStr">
        <is>
          <t>INFO_8K_Q2-FY2021 p11</t>
        </is>
      </c>
    </row>
    <row r="530">
      <c r="A530" s="38" t="inlineStr">
        <is>
          <t>CMS</t>
        </is>
      </c>
      <c r="B530" s="3" t="n"/>
      <c r="C530" s="3" t="n"/>
      <c r="D530" s="3" t="n"/>
      <c r="E530" s="3" t="n"/>
      <c r="F530" s="3" t="n"/>
      <c r="G530" s="3" t="n"/>
      <c r="H530" s="3" t="n"/>
      <c r="I530" s="3" t="n"/>
      <c r="J530" s="3" t="n"/>
      <c r="K530" s="3" t="n"/>
      <c r="L530" s="3" t="n"/>
      <c r="M530" s="3" t="n"/>
      <c r="N530" s="41" t="n">
        <v>26.5</v>
      </c>
      <c r="O530" s="41" t="n">
        <v>22.4</v>
      </c>
      <c r="P530" s="3" t="n"/>
      <c r="Q530" s="3" t="n"/>
      <c r="R530" s="3" t="n"/>
      <c r="S530" s="3" t="n"/>
      <c r="T530" s="41" t="n">
        <v>28.9</v>
      </c>
      <c r="U530" s="41" t="n">
        <v>23.3</v>
      </c>
      <c r="V530" s="3" t="n"/>
      <c r="W530" s="3" t="n"/>
      <c r="X530" s="3" t="n"/>
      <c r="Y530" s="4" t="inlineStr">
        <is>
          <t>INFO_8K_Q2-FY2021 p11</t>
        </is>
      </c>
    </row>
    <row r="531">
      <c r="A531" s="38" t="inlineStr">
        <is>
          <t>Total Adjusted EBITDA margin</t>
        </is>
      </c>
      <c r="B531" s="3" t="n"/>
      <c r="C531" s="3" t="n"/>
      <c r="D531" s="3" t="n"/>
      <c r="E531" s="3" t="n"/>
      <c r="F531" s="3" t="n"/>
      <c r="G531" s="3" t="n"/>
      <c r="H531" s="3" t="n"/>
      <c r="I531" s="3" t="n"/>
      <c r="J531" s="3" t="n"/>
      <c r="K531" s="3" t="n"/>
      <c r="L531" s="3" t="n"/>
      <c r="M531" s="3" t="n"/>
      <c r="N531" s="41" t="n">
        <v>42</v>
      </c>
      <c r="O531" s="41" t="n">
        <v>42.8</v>
      </c>
      <c r="P531" s="3" t="n"/>
      <c r="Q531" s="3" t="n"/>
      <c r="R531" s="3" t="n"/>
      <c r="S531" s="3" t="n"/>
      <c r="T531" s="41" t="n">
        <v>44.2</v>
      </c>
      <c r="U531" s="41" t="n">
        <v>43.8</v>
      </c>
      <c r="V531" s="3" t="n"/>
      <c r="W531" s="3" t="n"/>
      <c r="X531" s="3" t="n"/>
      <c r="Y531" s="4" t="inlineStr">
        <is>
          <t>INFO_8K_Q2-FY2021 p11</t>
        </is>
      </c>
    </row>
    <row r="532">
      <c r="A532" s="14" t="inlineStr">
        <is>
          <t>INFO_8K_Q2-FY2021 · Revenue by transaction type (consolidated)</t>
        </is>
      </c>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row>
    <row r="533">
      <c r="A533" s="38" t="inlineStr">
        <is>
          <t>Recurring fixed</t>
        </is>
      </c>
      <c r="B533" s="3" t="n"/>
      <c r="C533" s="3" t="n"/>
      <c r="D533" s="3" t="n"/>
      <c r="E533" s="3" t="n"/>
      <c r="F533" s="3" t="n"/>
      <c r="G533" s="3" t="n"/>
      <c r="H533" s="3" t="n"/>
      <c r="I533" s="3" t="n"/>
      <c r="J533" s="3" t="n"/>
      <c r="K533" s="3" t="n"/>
      <c r="L533" s="3" t="n"/>
      <c r="M533" s="3" t="n"/>
      <c r="N533" s="30" t="n">
        <v>1559.3</v>
      </c>
      <c r="O533" s="30" t="n">
        <v>1661.6</v>
      </c>
      <c r="P533" s="3" t="n"/>
      <c r="Q533" s="3" t="n"/>
      <c r="R533" s="3" t="n"/>
      <c r="S533" s="3" t="n"/>
      <c r="T533" s="30" t="n">
        <v>755.2</v>
      </c>
      <c r="U533" s="30" t="n">
        <v>836</v>
      </c>
      <c r="V533" s="3" t="n"/>
      <c r="W533" s="3" t="n"/>
      <c r="X533" s="3" t="n"/>
      <c r="Y533" s="4" t="inlineStr">
        <is>
          <t>INFO_8K_Q2-FY2021 p2</t>
        </is>
      </c>
    </row>
    <row r="534">
      <c r="A534" s="38" t="inlineStr">
        <is>
          <t>Recurring variable</t>
        </is>
      </c>
      <c r="B534" s="3" t="n"/>
      <c r="C534" s="3" t="n"/>
      <c r="D534" s="3" t="n"/>
      <c r="E534" s="3" t="n"/>
      <c r="F534" s="3" t="n"/>
      <c r="G534" s="3" t="n"/>
      <c r="H534" s="3" t="n"/>
      <c r="I534" s="3" t="n"/>
      <c r="J534" s="3" t="n"/>
      <c r="K534" s="3" t="n"/>
      <c r="L534" s="3" t="n"/>
      <c r="M534" s="3" t="n"/>
      <c r="N534" s="30" t="n">
        <v>304.8</v>
      </c>
      <c r="O534" s="30" t="n">
        <v>355.5</v>
      </c>
      <c r="P534" s="3" t="n"/>
      <c r="Q534" s="3" t="n"/>
      <c r="R534" s="3" t="n"/>
      <c r="S534" s="3" t="n"/>
      <c r="T534" s="30" t="n">
        <v>158</v>
      </c>
      <c r="U534" s="30" t="n">
        <v>182.6</v>
      </c>
      <c r="V534" s="3" t="n"/>
      <c r="W534" s="3" t="n"/>
      <c r="X534" s="3" t="n"/>
      <c r="Y534" s="4" t="inlineStr">
        <is>
          <t>INFO_8K_Q2-FY2021 p2</t>
        </is>
      </c>
    </row>
    <row r="535">
      <c r="A535" s="38" t="inlineStr">
        <is>
          <t>Non-recurring</t>
        </is>
      </c>
      <c r="B535" s="3" t="n"/>
      <c r="C535" s="3" t="n"/>
      <c r="D535" s="3" t="n"/>
      <c r="E535" s="3" t="n"/>
      <c r="F535" s="3" t="n"/>
      <c r="G535" s="3" t="n"/>
      <c r="H535" s="3" t="n"/>
      <c r="I535" s="3" t="n"/>
      <c r="J535" s="3" t="n"/>
      <c r="K535" s="3" t="n"/>
      <c r="L535" s="3" t="n"/>
      <c r="M535" s="3" t="n"/>
      <c r="N535" s="30" t="n">
        <v>243.3</v>
      </c>
      <c r="O535" s="30" t="n">
        <v>284.2</v>
      </c>
      <c r="P535" s="3" t="n"/>
      <c r="Q535" s="3" t="n"/>
      <c r="R535" s="3" t="n"/>
      <c r="S535" s="3" t="n"/>
      <c r="T535" s="30" t="n">
        <v>113.4</v>
      </c>
      <c r="U535" s="30" t="n">
        <v>162.8</v>
      </c>
      <c r="V535" s="3" t="n"/>
      <c r="W535" s="3" t="n"/>
      <c r="X535" s="3" t="n"/>
      <c r="Y535" s="4" t="inlineStr">
        <is>
          <t>INFO_8K_Q2-FY2021 p2</t>
        </is>
      </c>
    </row>
    <row r="536">
      <c r="A536" s="39" t="inlineStr">
        <is>
          <t>Total revenue</t>
        </is>
      </c>
      <c r="B536" s="3" t="n"/>
      <c r="C536" s="3" t="n"/>
      <c r="D536" s="3" t="n"/>
      <c r="E536" s="3" t="n"/>
      <c r="F536" s="3" t="n"/>
      <c r="G536" s="3" t="n"/>
      <c r="H536" s="3" t="n"/>
      <c r="I536" s="3" t="n"/>
      <c r="J536" s="3" t="n"/>
      <c r="K536" s="3" t="n"/>
      <c r="L536" s="3" t="n"/>
      <c r="M536" s="3" t="n"/>
      <c r="N536" s="18" t="n">
        <v>2107.4</v>
      </c>
      <c r="O536" s="18" t="n">
        <v>2301.3</v>
      </c>
      <c r="P536" s="3" t="n"/>
      <c r="Q536" s="3" t="n"/>
      <c r="R536" s="3" t="n"/>
      <c r="S536" s="3" t="n"/>
      <c r="T536" s="18" t="n">
        <v>1026.6</v>
      </c>
      <c r="U536" s="18" t="n">
        <v>1181.4</v>
      </c>
      <c r="V536" s="3" t="n"/>
      <c r="W536" s="3" t="n"/>
      <c r="X536" s="3" t="n"/>
      <c r="Y536" s="4" t="inlineStr">
        <is>
          <t>INFO_8K_Q2-FY2021 p2</t>
        </is>
      </c>
    </row>
    <row r="537">
      <c r="A537" s="14" t="inlineStr">
        <is>
          <t>INFO_8K_Q2-FY2021 · Change in revenue by segment (percentage points) - Transportation</t>
        </is>
      </c>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row>
    <row r="538">
      <c r="A538" s="38" t="inlineStr">
        <is>
          <t>Transportation - Organic</t>
        </is>
      </c>
      <c r="B538" s="3" t="n"/>
      <c r="C538" s="3" t="n"/>
      <c r="D538" s="3" t="n"/>
      <c r="E538" s="3" t="n"/>
      <c r="F538" s="3" t="n"/>
      <c r="G538" s="3" t="n"/>
      <c r="H538" s="3" t="n"/>
      <c r="I538" s="3" t="n"/>
      <c r="J538" s="3" t="n"/>
      <c r="K538" s="3" t="n"/>
      <c r="L538" s="3" t="n"/>
      <c r="M538" s="3" t="n"/>
      <c r="N538" s="3" t="n"/>
      <c r="O538" s="41" t="n">
        <v>20</v>
      </c>
      <c r="P538" s="3" t="n"/>
      <c r="Q538" s="3" t="n"/>
      <c r="R538" s="3" t="n"/>
      <c r="S538" s="3" t="n"/>
      <c r="T538" s="3" t="n"/>
      <c r="U538" s="41" t="n">
        <v>39</v>
      </c>
      <c r="V538" s="3" t="n"/>
      <c r="W538" s="3" t="n"/>
      <c r="X538" s="3" t="n"/>
      <c r="Y538" s="4" t="inlineStr">
        <is>
          <t>INFO_8K_Q2-FY2021 p2</t>
        </is>
      </c>
    </row>
    <row r="539">
      <c r="A539" s="38" t="inlineStr">
        <is>
          <t>Transportation - Acquisitive</t>
        </is>
      </c>
      <c r="B539" s="3" t="n"/>
      <c r="C539" s="3" t="n"/>
      <c r="D539" s="3" t="n"/>
      <c r="E539" s="3" t="n"/>
      <c r="F539" s="3" t="n"/>
      <c r="G539" s="3" t="n"/>
      <c r="H539" s="3" t="n"/>
      <c r="I539" s="3" t="n"/>
      <c r="J539" s="3" t="n"/>
      <c r="K539" s="3" t="n"/>
      <c r="L539" s="3" t="n"/>
      <c r="M539" s="3" t="n"/>
      <c r="N539" s="3" t="n"/>
      <c r="O539" s="41" t="n">
        <v>0</v>
      </c>
      <c r="P539" s="3" t="n"/>
      <c r="Q539" s="3" t="n"/>
      <c r="R539" s="3" t="n"/>
      <c r="S539" s="3" t="n"/>
      <c r="T539" s="3" t="n"/>
      <c r="U539" s="41" t="n">
        <v>0</v>
      </c>
      <c r="V539" s="3" t="n"/>
      <c r="W539" s="3" t="n"/>
      <c r="X539" s="3" t="n"/>
      <c r="Y539" s="4" t="inlineStr">
        <is>
          <t>INFO_8K_Q2-FY2021 p2</t>
        </is>
      </c>
    </row>
    <row r="540">
      <c r="A540" s="38" t="inlineStr">
        <is>
          <t>Transportation - Total</t>
        </is>
      </c>
      <c r="B540" s="3" t="n"/>
      <c r="C540" s="3" t="n"/>
      <c r="D540" s="3" t="n"/>
      <c r="E540" s="3" t="n"/>
      <c r="F540" s="3" t="n"/>
      <c r="G540" s="3" t="n"/>
      <c r="H540" s="3" t="n"/>
      <c r="I540" s="3" t="n"/>
      <c r="J540" s="3" t="n"/>
      <c r="K540" s="3" t="n"/>
      <c r="L540" s="3" t="n"/>
      <c r="M540" s="3" t="n"/>
      <c r="N540" s="3" t="n"/>
      <c r="O540" s="41" t="n">
        <v>21</v>
      </c>
      <c r="P540" s="3" t="n"/>
      <c r="Q540" s="3" t="n"/>
      <c r="R540" s="3" t="n"/>
      <c r="S540" s="3" t="n"/>
      <c r="T540" s="3" t="n"/>
      <c r="U540" s="41" t="n">
        <v>41</v>
      </c>
      <c r="V540" s="3" t="n"/>
      <c r="W540" s="3" t="n"/>
      <c r="X540" s="3" t="n"/>
      <c r="Y540" s="4" t="inlineStr">
        <is>
          <t>INFO_8K_Q2-FY2021 p2</t>
        </is>
      </c>
    </row>
    <row r="541">
      <c r="A541" s="38" t="inlineStr">
        <is>
          <t>Transportation - Foreign Currency</t>
        </is>
      </c>
      <c r="B541" s="3" t="n"/>
      <c r="C541" s="3" t="n"/>
      <c r="D541" s="3" t="n"/>
      <c r="E541" s="3" t="n"/>
      <c r="F541" s="3" t="n"/>
      <c r="G541" s="3" t="n"/>
      <c r="H541" s="3" t="n"/>
      <c r="I541" s="3" t="n"/>
      <c r="J541" s="3" t="n"/>
      <c r="K541" s="3" t="n"/>
      <c r="L541" s="3" t="n"/>
      <c r="M541" s="3" t="n"/>
      <c r="N541" s="3" t="n"/>
      <c r="O541" s="3" t="n"/>
      <c r="P541" s="3" t="n"/>
      <c r="Q541" s="3" t="n"/>
      <c r="R541" s="3" t="n"/>
      <c r="S541" s="3" t="n"/>
      <c r="T541" s="3" t="n"/>
      <c r="U541" s="41" t="n">
        <v>2</v>
      </c>
      <c r="V541" s="3" t="n"/>
      <c r="W541" s="3" t="n"/>
      <c r="X541" s="3" t="n"/>
      <c r="Y541" s="4" t="inlineStr">
        <is>
          <t>INFO_8K_Q2-FY2021 p2</t>
        </is>
      </c>
    </row>
    <row r="542">
      <c r="A542" s="14" t="inlineStr">
        <is>
          <t>INFO_8K_Q2-FY2021 · Segment narrative</t>
        </is>
      </c>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row>
    <row r="543">
      <c r="A543" s="38" t="inlineStr">
        <is>
          <t>Transportation narrative (release)</t>
        </is>
      </c>
      <c r="B543" s="3" t="n"/>
      <c r="C543" s="3" t="n"/>
      <c r="D543" s="3" t="n"/>
      <c r="E543" s="3" t="n"/>
      <c r="F543" s="3" t="n"/>
      <c r="G543" s="3" t="n"/>
      <c r="H543" s="3" t="n"/>
      <c r="I543" s="3" t="n"/>
      <c r="J543" s="3" t="n"/>
      <c r="K543" s="3" t="n"/>
      <c r="L543" s="3" t="n"/>
      <c r="M543" s="3" t="n"/>
      <c r="N543" s="3" t="n"/>
      <c r="O543" s="3" t="n"/>
      <c r="P543" s="3" t="n"/>
      <c r="Q543" s="3" t="n"/>
      <c r="R543" s="3" t="n"/>
      <c r="S543" s="3" t="n"/>
      <c r="T543" s="3" t="n"/>
      <c r="U543" s="42" t="inlineStr">
        <is>
          <t>Q2 revenue up $101m or 41% to $344m incl. 39% total organic growth; Q2 Adjusted EBITDA up $69m or 68% to $171m.</t>
        </is>
      </c>
      <c r="V543" s="3" t="n"/>
      <c r="W543" s="3" t="n"/>
      <c r="X543" s="3" t="n"/>
      <c r="Y543" s="4" t="inlineStr">
        <is>
          <t>INFO_8K_Q2-FY2021 p2</t>
        </is>
      </c>
    </row>
    <row r="544">
      <c r="A544" s="14" t="inlineStr">
        <is>
          <t>INFO_10Q_Q2-FY2021 · Note 16 Segment Information</t>
        </is>
      </c>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row>
    <row r="545">
      <c r="A545" s="38" t="inlineStr">
        <is>
          <t>Revenue - Transportation</t>
        </is>
      </c>
      <c r="B545" s="3" t="n"/>
      <c r="C545" s="3" t="n"/>
      <c r="D545" s="3" t="n"/>
      <c r="E545" s="3" t="n"/>
      <c r="F545" s="3" t="n"/>
      <c r="G545" s="3" t="n"/>
      <c r="H545" s="3" t="n"/>
      <c r="I545" s="3" t="n"/>
      <c r="J545" s="3" t="n"/>
      <c r="K545" s="3" t="n"/>
      <c r="L545" s="3" t="n"/>
      <c r="M545" s="3" t="n"/>
      <c r="N545" s="30" t="n">
        <v>540.4</v>
      </c>
      <c r="O545" s="30" t="n">
        <v>655.8</v>
      </c>
      <c r="P545" s="3" t="n"/>
      <c r="Q545" s="3" t="n"/>
      <c r="R545" s="3" t="n"/>
      <c r="S545" s="3" t="n"/>
      <c r="T545" s="30" t="n">
        <v>243.2</v>
      </c>
      <c r="U545" s="30" t="n">
        <v>344.1</v>
      </c>
      <c r="V545" s="3" t="n"/>
      <c r="W545" s="3" t="n"/>
      <c r="X545" s="3" t="n"/>
      <c r="Y545" s="4" t="inlineStr">
        <is>
          <t>INFO_10Q_Q2-FY2021 p34</t>
        </is>
      </c>
    </row>
    <row r="546">
      <c r="A546" s="39" t="inlineStr">
        <is>
          <t>Total revenue</t>
        </is>
      </c>
      <c r="B546" s="3" t="n"/>
      <c r="C546" s="3" t="n"/>
      <c r="D546" s="3" t="n"/>
      <c r="E546" s="3" t="n"/>
      <c r="F546" s="3" t="n"/>
      <c r="G546" s="3" t="n"/>
      <c r="H546" s="3" t="n"/>
      <c r="I546" s="3" t="n"/>
      <c r="J546" s="3" t="n"/>
      <c r="K546" s="3" t="n"/>
      <c r="L546" s="3" t="n"/>
      <c r="M546" s="3" t="n"/>
      <c r="N546" s="18" t="n">
        <v>2107.4</v>
      </c>
      <c r="O546" s="18" t="n">
        <v>2301.3</v>
      </c>
      <c r="P546" s="3" t="n"/>
      <c r="Q546" s="3" t="n"/>
      <c r="R546" s="3" t="n"/>
      <c r="S546" s="3" t="n"/>
      <c r="T546" s="18" t="n">
        <v>1026.6</v>
      </c>
      <c r="U546" s="18" t="n">
        <v>1181.4</v>
      </c>
      <c r="V546" s="3" t="n"/>
      <c r="W546" s="3" t="n"/>
      <c r="X546" s="3" t="n"/>
      <c r="Y546" s="4" t="inlineStr">
        <is>
          <t>INFO_10Q_Q2-FY2021 p34</t>
        </is>
      </c>
    </row>
    <row r="547">
      <c r="A547" s="38" t="inlineStr">
        <is>
          <t>Adjusted EBITDA - Transportation</t>
        </is>
      </c>
      <c r="B547" s="3" t="n"/>
      <c r="C547" s="3" t="n"/>
      <c r="D547" s="3" t="n"/>
      <c r="E547" s="3" t="n"/>
      <c r="F547" s="3" t="n"/>
      <c r="G547" s="3" t="n"/>
      <c r="H547" s="3" t="n"/>
      <c r="I547" s="3" t="n"/>
      <c r="J547" s="3" t="n"/>
      <c r="K547" s="3" t="n"/>
      <c r="L547" s="3" t="n"/>
      <c r="M547" s="3" t="n"/>
      <c r="N547" s="30" t="n">
        <v>219.6</v>
      </c>
      <c r="O547" s="30" t="n">
        <v>317.4</v>
      </c>
      <c r="P547" s="3" t="n"/>
      <c r="Q547" s="3" t="n"/>
      <c r="R547" s="3" t="n"/>
      <c r="S547" s="3" t="n"/>
      <c r="T547" s="30" t="n">
        <v>101.6</v>
      </c>
      <c r="U547" s="30" t="n">
        <v>170.7</v>
      </c>
      <c r="V547" s="3" t="n"/>
      <c r="W547" s="3" t="n"/>
      <c r="X547" s="3" t="n"/>
      <c r="Y547" s="4" t="inlineStr">
        <is>
          <t>INFO_10Q_Q2-FY2021 p34</t>
        </is>
      </c>
    </row>
    <row r="548">
      <c r="A548" s="39" t="inlineStr">
        <is>
          <t>Total Adjusted EBITDA</t>
        </is>
      </c>
      <c r="B548" s="3" t="n"/>
      <c r="C548" s="3" t="n"/>
      <c r="D548" s="3" t="n"/>
      <c r="E548" s="3" t="n"/>
      <c r="F548" s="3" t="n"/>
      <c r="G548" s="3" t="n"/>
      <c r="H548" s="3" t="n"/>
      <c r="I548" s="3" t="n"/>
      <c r="J548" s="3" t="n"/>
      <c r="K548" s="3" t="n"/>
      <c r="L548" s="3" t="n"/>
      <c r="M548" s="3" t="n"/>
      <c r="N548" s="18" t="n">
        <v>885.6</v>
      </c>
      <c r="O548" s="18" t="n">
        <v>984.2</v>
      </c>
      <c r="P548" s="3" t="n"/>
      <c r="Q548" s="3" t="n"/>
      <c r="R548" s="3" t="n"/>
      <c r="S548" s="3" t="n"/>
      <c r="T548" s="18" t="n">
        <v>454</v>
      </c>
      <c r="U548" s="18" t="n">
        <v>517.4</v>
      </c>
      <c r="V548" s="3" t="n"/>
      <c r="W548" s="3" t="n"/>
      <c r="X548" s="3" t="n"/>
      <c r="Y548" s="4" t="inlineStr">
        <is>
          <t>INFO_10Q_Q2-FY2021 p34</t>
        </is>
      </c>
    </row>
    <row r="549">
      <c r="A549" s="38" t="inlineStr">
        <is>
          <t>Major customers</t>
        </is>
      </c>
      <c r="B549" s="3" t="n"/>
      <c r="C549" s="3" t="n"/>
      <c r="D549" s="3" t="n"/>
      <c r="E549" s="3" t="n"/>
      <c r="F549" s="3" t="n"/>
      <c r="G549" s="3" t="n"/>
      <c r="H549" s="3" t="n"/>
      <c r="I549" s="3" t="n"/>
      <c r="J549" s="3" t="n"/>
      <c r="K549" s="3" t="n"/>
      <c r="L549" s="3" t="n"/>
      <c r="M549" s="3" t="n"/>
      <c r="N549" s="3" t="n"/>
      <c r="O549" s="42" t="inlineStr">
        <is>
          <t>No single customer accounted for 10 percent or more of total revenue for the three and six months ended May 31, 2021 and May 31, 2020; no material inter-segment revenues.</t>
        </is>
      </c>
      <c r="P549" s="3" t="n"/>
      <c r="Q549" s="3" t="n"/>
      <c r="R549" s="3" t="n"/>
      <c r="S549" s="3" t="n"/>
      <c r="T549" s="3" t="n"/>
      <c r="U549" s="3" t="n"/>
      <c r="V549" s="3" t="n"/>
      <c r="W549" s="3" t="n"/>
      <c r="X549" s="3" t="n"/>
      <c r="Y549" s="4" t="inlineStr">
        <is>
          <t>INFO_10Q_Q2-FY2021 p33</t>
        </is>
      </c>
    </row>
    <row r="550">
      <c r="A550" s="14" t="inlineStr">
        <is>
          <t>INFO_10Q_Q2-FY2021 · MD&amp;A Revenue by Segment</t>
        </is>
      </c>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row>
    <row r="551">
      <c r="A551" s="38" t="inlineStr">
        <is>
          <t>Transportation</t>
        </is>
      </c>
      <c r="B551" s="3" t="n"/>
      <c r="C551" s="3" t="n"/>
      <c r="D551" s="3" t="n"/>
      <c r="E551" s="3" t="n"/>
      <c r="F551" s="3" t="n"/>
      <c r="G551" s="3" t="n"/>
      <c r="H551" s="3" t="n"/>
      <c r="I551" s="3" t="n"/>
      <c r="J551" s="3" t="n"/>
      <c r="K551" s="3" t="n"/>
      <c r="L551" s="3" t="n"/>
      <c r="M551" s="3" t="n"/>
      <c r="N551" s="30" t="n">
        <v>540.4</v>
      </c>
      <c r="O551" s="30" t="n">
        <v>655.8</v>
      </c>
      <c r="P551" s="3" t="n"/>
      <c r="Q551" s="3" t="n"/>
      <c r="R551" s="3" t="n"/>
      <c r="S551" s="3" t="n"/>
      <c r="T551" s="30" t="n">
        <v>243.2</v>
      </c>
      <c r="U551" s="30" t="n">
        <v>344.1</v>
      </c>
      <c r="V551" s="3" t="n"/>
      <c r="W551" s="3" t="n"/>
      <c r="X551" s="3" t="n"/>
      <c r="Y551" s="4" t="inlineStr">
        <is>
          <t>INFO_10Q_Q2-FY2021 p41</t>
        </is>
      </c>
    </row>
    <row r="552">
      <c r="A552" s="38" t="inlineStr">
        <is>
          <t>Transportation Percentage Change</t>
        </is>
      </c>
      <c r="B552" s="3" t="n"/>
      <c r="C552" s="3" t="n"/>
      <c r="D552" s="3" t="n"/>
      <c r="E552" s="3" t="n"/>
      <c r="F552" s="3" t="n"/>
      <c r="G552" s="3" t="n"/>
      <c r="H552" s="3" t="n"/>
      <c r="I552" s="3" t="n"/>
      <c r="J552" s="3" t="n"/>
      <c r="K552" s="3" t="n"/>
      <c r="L552" s="3" t="n"/>
      <c r="M552" s="3" t="n"/>
      <c r="N552" s="3" t="n"/>
      <c r="O552" s="41" t="n">
        <v>21</v>
      </c>
      <c r="P552" s="3" t="n"/>
      <c r="Q552" s="3" t="n"/>
      <c r="R552" s="3" t="n"/>
      <c r="S552" s="3" t="n"/>
      <c r="T552" s="3" t="n"/>
      <c r="U552" s="41" t="n">
        <v>41</v>
      </c>
      <c r="V552" s="3" t="n"/>
      <c r="W552" s="3" t="n"/>
      <c r="X552" s="3" t="n"/>
      <c r="Y552" s="4" t="inlineStr">
        <is>
          <t>INFO_10Q_Q2-FY2021 p41</t>
        </is>
      </c>
    </row>
    <row r="553">
      <c r="A553" s="39" t="inlineStr">
        <is>
          <t>Total revenue (IHS Markit consolidated)</t>
        </is>
      </c>
      <c r="B553" s="3" t="n"/>
      <c r="C553" s="3" t="n"/>
      <c r="D553" s="3" t="n"/>
      <c r="E553" s="3" t="n"/>
      <c r="F553" s="3" t="n"/>
      <c r="G553" s="3" t="n"/>
      <c r="H553" s="3" t="n"/>
      <c r="I553" s="3" t="n"/>
      <c r="J553" s="3" t="n"/>
      <c r="K553" s="3" t="n"/>
      <c r="L553" s="3" t="n"/>
      <c r="M553" s="3" t="n"/>
      <c r="N553" s="18" t="n">
        <v>2107.4</v>
      </c>
      <c r="O553" s="18" t="n">
        <v>2301.3</v>
      </c>
      <c r="P553" s="3" t="n"/>
      <c r="Q553" s="3" t="n"/>
      <c r="R553" s="3" t="n"/>
      <c r="S553" s="3" t="n"/>
      <c r="T553" s="18" t="n">
        <v>1026.6</v>
      </c>
      <c r="U553" s="18" t="n">
        <v>1181.4</v>
      </c>
      <c r="V553" s="3" t="n"/>
      <c r="W553" s="3" t="n"/>
      <c r="X553" s="3" t="n"/>
      <c r="Y553" s="4" t="inlineStr">
        <is>
          <t>INFO_10Q_Q2-FY2021 p41</t>
        </is>
      </c>
    </row>
    <row r="554">
      <c r="A554" s="14" t="inlineStr">
        <is>
          <t>INFO_10Q_Q2-FY2021 · MD&amp;A Change in revenue by segment (percentage points)</t>
        </is>
      </c>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row>
    <row r="555">
      <c r="A555" s="38" t="inlineStr">
        <is>
          <t>Transportation - Organic</t>
        </is>
      </c>
      <c r="B555" s="3" t="n"/>
      <c r="C555" s="3" t="n"/>
      <c r="D555" s="3" t="n"/>
      <c r="E555" s="3" t="n"/>
      <c r="F555" s="3" t="n"/>
      <c r="G555" s="3" t="n"/>
      <c r="H555" s="3" t="n"/>
      <c r="I555" s="3" t="n"/>
      <c r="J555" s="3" t="n"/>
      <c r="K555" s="3" t="n"/>
      <c r="L555" s="3" t="n"/>
      <c r="M555" s="3" t="n"/>
      <c r="N555" s="3" t="n"/>
      <c r="O555" s="41" t="n">
        <v>20</v>
      </c>
      <c r="P555" s="3" t="n"/>
      <c r="Q555" s="3" t="n"/>
      <c r="R555" s="3" t="n"/>
      <c r="S555" s="3" t="n"/>
      <c r="T555" s="3" t="n"/>
      <c r="U555" s="41" t="n">
        <v>39</v>
      </c>
      <c r="V555" s="3" t="n"/>
      <c r="W555" s="3" t="n"/>
      <c r="X555" s="3" t="n"/>
      <c r="Y555" s="4" t="inlineStr">
        <is>
          <t>INFO_10Q_Q2-FY2021 p41</t>
        </is>
      </c>
    </row>
    <row r="556">
      <c r="A556" s="38" t="inlineStr">
        <is>
          <t>Transportation - Acquisitive</t>
        </is>
      </c>
      <c r="B556" s="3" t="n"/>
      <c r="C556" s="3" t="n"/>
      <c r="D556" s="3" t="n"/>
      <c r="E556" s="3" t="n"/>
      <c r="F556" s="3" t="n"/>
      <c r="G556" s="3" t="n"/>
      <c r="H556" s="3" t="n"/>
      <c r="I556" s="3" t="n"/>
      <c r="J556" s="3" t="n"/>
      <c r="K556" s="3" t="n"/>
      <c r="L556" s="3" t="n"/>
      <c r="M556" s="3" t="n"/>
      <c r="N556" s="3" t="n"/>
      <c r="O556" s="41" t="n">
        <v>0</v>
      </c>
      <c r="P556" s="3" t="n"/>
      <c r="Q556" s="3" t="n"/>
      <c r="R556" s="3" t="n"/>
      <c r="S556" s="3" t="n"/>
      <c r="T556" s="3" t="n"/>
      <c r="U556" s="41" t="n">
        <v>0</v>
      </c>
      <c r="V556" s="3" t="n"/>
      <c r="W556" s="3" t="n"/>
      <c r="X556" s="3" t="n"/>
      <c r="Y556" s="4" t="inlineStr">
        <is>
          <t>INFO_10Q_Q2-FY2021 p41</t>
        </is>
      </c>
    </row>
    <row r="557">
      <c r="A557" s="38" t="inlineStr">
        <is>
          <t>Transportation - Foreign Currency</t>
        </is>
      </c>
      <c r="B557" s="3" t="n"/>
      <c r="C557" s="3" t="n"/>
      <c r="D557" s="3" t="n"/>
      <c r="E557" s="3" t="n"/>
      <c r="F557" s="3" t="n"/>
      <c r="G557" s="3" t="n"/>
      <c r="H557" s="3" t="n"/>
      <c r="I557" s="3" t="n"/>
      <c r="J557" s="3" t="n"/>
      <c r="K557" s="3" t="n"/>
      <c r="L557" s="3" t="n"/>
      <c r="M557" s="3" t="n"/>
      <c r="N557" s="3" t="n"/>
      <c r="O557" s="41" t="n">
        <v>2</v>
      </c>
      <c r="P557" s="3" t="n"/>
      <c r="Q557" s="3" t="n"/>
      <c r="R557" s="3" t="n"/>
      <c r="S557" s="3" t="n"/>
      <c r="T557" s="3" t="n"/>
      <c r="U557" s="41" t="n">
        <v>2</v>
      </c>
      <c r="V557" s="3" t="n"/>
      <c r="W557" s="3" t="n"/>
      <c r="X557" s="3" t="n"/>
      <c r="Y557" s="4" t="inlineStr">
        <is>
          <t>INFO_10Q_Q2-FY2021 p41</t>
        </is>
      </c>
    </row>
    <row r="558">
      <c r="A558" s="14" t="inlineStr">
        <is>
          <t>INFO_10Q_Q2-FY2021 · MD&amp;A Change in Total Revenue (consolidated, percentage points)</t>
        </is>
      </c>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row>
    <row r="559">
      <c r="A559" s="38" t="inlineStr">
        <is>
          <t>Organic</t>
        </is>
      </c>
      <c r="B559" s="3" t="n"/>
      <c r="C559" s="3" t="n"/>
      <c r="D559" s="3" t="n"/>
      <c r="E559" s="3" t="n"/>
      <c r="F559" s="3" t="n"/>
      <c r="G559" s="3" t="n"/>
      <c r="H559" s="3" t="n"/>
      <c r="I559" s="3" t="n"/>
      <c r="J559" s="3" t="n"/>
      <c r="K559" s="3" t="n"/>
      <c r="L559" s="3" t="n"/>
      <c r="M559" s="3" t="n"/>
      <c r="N559" s="3" t="n"/>
      <c r="O559" s="41" t="n">
        <v>8</v>
      </c>
      <c r="P559" s="3" t="n"/>
      <c r="Q559" s="3" t="n"/>
      <c r="R559" s="3" t="n"/>
      <c r="S559" s="3" t="n"/>
      <c r="T559" s="3" t="n"/>
      <c r="U559" s="41" t="n">
        <v>13</v>
      </c>
      <c r="V559" s="3" t="n"/>
      <c r="W559" s="3" t="n"/>
      <c r="X559" s="3" t="n"/>
      <c r="Y559" s="4" t="inlineStr">
        <is>
          <t>INFO_10Q_Q2-FY2021 p41</t>
        </is>
      </c>
    </row>
    <row r="560">
      <c r="A560" s="38" t="inlineStr">
        <is>
          <t>Acquisitive</t>
        </is>
      </c>
      <c r="B560" s="3" t="n"/>
      <c r="C560" s="3" t="n"/>
      <c r="D560" s="3" t="n"/>
      <c r="E560" s="3" t="n"/>
      <c r="F560" s="3" t="n"/>
      <c r="G560" s="3" t="n"/>
      <c r="H560" s="3" t="n"/>
      <c r="I560" s="3" t="n"/>
      <c r="J560" s="3" t="n"/>
      <c r="K560" s="3" t="n"/>
      <c r="L560" s="3" t="n"/>
      <c r="M560" s="3" t="n"/>
      <c r="N560" s="3" t="n"/>
      <c r="O560" s="41" t="n">
        <v>0</v>
      </c>
      <c r="P560" s="3" t="n"/>
      <c r="Q560" s="3" t="n"/>
      <c r="R560" s="3" t="n"/>
      <c r="S560" s="3" t="n"/>
      <c r="T560" s="3" t="n"/>
      <c r="U560" s="41" t="n">
        <v>0</v>
      </c>
      <c r="V560" s="3" t="n"/>
      <c r="W560" s="3" t="n"/>
      <c r="X560" s="3" t="n"/>
      <c r="Y560" s="4" t="inlineStr">
        <is>
          <t>INFO_10Q_Q2-FY2021 p41</t>
        </is>
      </c>
    </row>
    <row r="561">
      <c r="A561" s="38" t="inlineStr">
        <is>
          <t>Foreign Currency</t>
        </is>
      </c>
      <c r="B561" s="3" t="n"/>
      <c r="C561" s="3" t="n"/>
      <c r="D561" s="3" t="n"/>
      <c r="E561" s="3" t="n"/>
      <c r="F561" s="3" t="n"/>
      <c r="G561" s="3" t="n"/>
      <c r="H561" s="3" t="n"/>
      <c r="I561" s="3" t="n"/>
      <c r="J561" s="3" t="n"/>
      <c r="K561" s="3" t="n"/>
      <c r="L561" s="3" t="n"/>
      <c r="M561" s="3" t="n"/>
      <c r="N561" s="3" t="n"/>
      <c r="O561" s="41" t="n">
        <v>1</v>
      </c>
      <c r="P561" s="3" t="n"/>
      <c r="Q561" s="3" t="n"/>
      <c r="R561" s="3" t="n"/>
      <c r="S561" s="3" t="n"/>
      <c r="T561" s="3" t="n"/>
      <c r="U561" s="41" t="n">
        <v>2</v>
      </c>
      <c r="V561" s="3" t="n"/>
      <c r="W561" s="3" t="n"/>
      <c r="X561" s="3" t="n"/>
      <c r="Y561" s="4" t="inlineStr">
        <is>
          <t>INFO_10Q_Q2-FY2021 p41</t>
        </is>
      </c>
    </row>
    <row r="562">
      <c r="A562" s="14" t="inlineStr">
        <is>
          <t>INFO_10Q_Q2-FY2021 · MD&amp;A Revenue by Segment (narrative)</t>
        </is>
      </c>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row>
    <row r="563">
      <c r="A563" s="38" t="inlineStr">
        <is>
          <t>Transportation narrative</t>
        </is>
      </c>
      <c r="B563" s="3" t="n"/>
      <c r="C563" s="3" t="n"/>
      <c r="D563" s="3" t="n"/>
      <c r="E563" s="3" t="n"/>
      <c r="F563" s="3" t="n"/>
      <c r="G563" s="3" t="n"/>
      <c r="H563" s="3" t="n"/>
      <c r="I563" s="3" t="n"/>
      <c r="J563" s="3" t="n"/>
      <c r="K563" s="3" t="n"/>
      <c r="L563" s="3" t="n"/>
      <c r="M563" s="3" t="n"/>
      <c r="N563" s="3" t="n"/>
      <c r="O563" s="42" t="inlineStr">
        <is>
          <t>Very strong organic growth in Q2 and YTD; dealer-facing automotive (CARFAX, automotiveMastermind) grew strongly as it built back from 2020 pandemic effects; OEM, parts manufacturer, banking and insurance offerings returned to organic growth at a more stable pace; automotive is the largest contributor to segment revenue.</t>
        </is>
      </c>
      <c r="P563" s="3" t="n"/>
      <c r="Q563" s="3" t="n"/>
      <c r="R563" s="3" t="n"/>
      <c r="S563" s="3" t="n"/>
      <c r="T563" s="3" t="n"/>
      <c r="U563" s="3" t="n"/>
      <c r="V563" s="3" t="n"/>
      <c r="W563" s="3" t="n"/>
      <c r="X563" s="3" t="n"/>
      <c r="Y563" s="4" t="inlineStr">
        <is>
          <t>INFO_10Q_Q2-FY2021 p41</t>
        </is>
      </c>
    </row>
    <row r="564">
      <c r="A564" s="14" t="inlineStr">
        <is>
          <t>INFO_10Q_Q2-FY2021 · MD&amp;A Revenue by Transaction Type (narrative)</t>
        </is>
      </c>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row>
    <row r="565">
      <c r="A565" s="38" t="inlineStr">
        <is>
          <t>Transportation reference in transaction-type narrative</t>
        </is>
      </c>
      <c r="B565" s="3" t="n"/>
      <c r="C565" s="3" t="n"/>
      <c r="D565" s="3" t="n"/>
      <c r="E565" s="3" t="n"/>
      <c r="F565" s="3" t="n"/>
      <c r="G565" s="3" t="n"/>
      <c r="H565" s="3" t="n"/>
      <c r="I565" s="3" t="n"/>
      <c r="J565" s="3" t="n"/>
      <c r="K565" s="3" t="n"/>
      <c r="L565" s="3" t="n"/>
      <c r="M565" s="3" t="n"/>
      <c r="N565" s="3" t="n"/>
      <c r="O565" s="42" t="inlineStr">
        <is>
          <t>Recurring fixed organic growth (9% Q2, 6% YTD) largely due to Transportation and Financial Services recurring offerings; non-recurring increase driven partly by a return to more normal activity in Transportation offerings. No Transportation recurring/non-recurring $ split printed in the 10-Q.</t>
        </is>
      </c>
      <c r="P565" s="3" t="n"/>
      <c r="Q565" s="3" t="n"/>
      <c r="R565" s="3" t="n"/>
      <c r="S565" s="3" t="n"/>
      <c r="T565" s="3" t="n"/>
      <c r="U565" s="3" t="n"/>
      <c r="V565" s="3" t="n"/>
      <c r="W565" s="3" t="n"/>
      <c r="X565" s="3" t="n"/>
      <c r="Y565" s="4" t="inlineStr">
        <is>
          <t>INFO_10Q_Q2-FY2021 p43</t>
        </is>
      </c>
    </row>
    <row r="566">
      <c r="A566" s="14" t="inlineStr">
        <is>
          <t>INFO_10Q_Q2-FY2021 · MD&amp;A Segment Adjusted EBITDA</t>
        </is>
      </c>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row>
    <row r="567">
      <c r="A567" s="38" t="inlineStr">
        <is>
          <t>Transportation Adjusted EBITDA</t>
        </is>
      </c>
      <c r="B567" s="3" t="n"/>
      <c r="C567" s="3" t="n"/>
      <c r="D567" s="3" t="n"/>
      <c r="E567" s="3" t="n"/>
      <c r="F567" s="3" t="n"/>
      <c r="G567" s="3" t="n"/>
      <c r="H567" s="3" t="n"/>
      <c r="I567" s="3" t="n"/>
      <c r="J567" s="3" t="n"/>
      <c r="K567" s="3" t="n"/>
      <c r="L567" s="3" t="n"/>
      <c r="M567" s="3" t="n"/>
      <c r="N567" s="30" t="n">
        <v>219.6</v>
      </c>
      <c r="O567" s="30" t="n">
        <v>317.4</v>
      </c>
      <c r="P567" s="3" t="n"/>
      <c r="Q567" s="3" t="n"/>
      <c r="R567" s="3" t="n"/>
      <c r="S567" s="3" t="n"/>
      <c r="T567" s="30" t="n">
        <v>101.6</v>
      </c>
      <c r="U567" s="30" t="n">
        <v>170.7</v>
      </c>
      <c r="V567" s="3" t="n"/>
      <c r="W567" s="3" t="n"/>
      <c r="X567" s="3" t="n"/>
      <c r="Y567" s="4" t="inlineStr">
        <is>
          <t>INFO_10Q_Q2-FY2021 p46</t>
        </is>
      </c>
    </row>
    <row r="568">
      <c r="A568" s="38" t="inlineStr">
        <is>
          <t>Transportation Adjusted EBITDA Percentage Change</t>
        </is>
      </c>
      <c r="B568" s="3" t="n"/>
      <c r="C568" s="3" t="n"/>
      <c r="D568" s="3" t="n"/>
      <c r="E568" s="3" t="n"/>
      <c r="F568" s="3" t="n"/>
      <c r="G568" s="3" t="n"/>
      <c r="H568" s="3" t="n"/>
      <c r="I568" s="3" t="n"/>
      <c r="J568" s="3" t="n"/>
      <c r="K568" s="3" t="n"/>
      <c r="L568" s="3" t="n"/>
      <c r="M568" s="3" t="n"/>
      <c r="N568" s="3" t="n"/>
      <c r="O568" s="41" t="n">
        <v>45</v>
      </c>
      <c r="P568" s="3" t="n"/>
      <c r="Q568" s="3" t="n"/>
      <c r="R568" s="3" t="n"/>
      <c r="S568" s="3" t="n"/>
      <c r="T568" s="3" t="n"/>
      <c r="U568" s="41" t="n">
        <v>68</v>
      </c>
      <c r="V568" s="3" t="n"/>
      <c r="W568" s="3" t="n"/>
      <c r="X568" s="3" t="n"/>
      <c r="Y568" s="4" t="inlineStr">
        <is>
          <t>INFO_10Q_Q2-FY2021 p46</t>
        </is>
      </c>
    </row>
    <row r="569">
      <c r="A569" s="38" t="inlineStr">
        <is>
          <t>Transportation Adjusted EBITDA as a percent of segment revenue (whole %)</t>
        </is>
      </c>
      <c r="B569" s="3" t="n"/>
      <c r="C569" s="3" t="n"/>
      <c r="D569" s="3" t="n"/>
      <c r="E569" s="3" t="n"/>
      <c r="F569" s="3" t="n"/>
      <c r="G569" s="3" t="n"/>
      <c r="H569" s="3" t="n"/>
      <c r="I569" s="3" t="n"/>
      <c r="J569" s="3" t="n"/>
      <c r="K569" s="3" t="n"/>
      <c r="L569" s="3" t="n"/>
      <c r="M569" s="3" t="n"/>
      <c r="N569" s="41" t="n">
        <v>41</v>
      </c>
      <c r="O569" s="41" t="n">
        <v>48</v>
      </c>
      <c r="P569" s="3" t="n"/>
      <c r="Q569" s="3" t="n"/>
      <c r="R569" s="3" t="n"/>
      <c r="S569" s="3" t="n"/>
      <c r="T569" s="41" t="n">
        <v>42</v>
      </c>
      <c r="U569" s="41" t="n">
        <v>50</v>
      </c>
      <c r="V569" s="3" t="n"/>
      <c r="W569" s="3" t="n"/>
      <c r="X569" s="3" t="n"/>
      <c r="Y569" s="4" t="inlineStr">
        <is>
          <t>INFO_10Q_Q2-FY2021 p46</t>
        </is>
      </c>
    </row>
    <row r="570">
      <c r="A570" s="39" t="inlineStr">
        <is>
          <t>Total Adjusted EBITDA</t>
        </is>
      </c>
      <c r="B570" s="3" t="n"/>
      <c r="C570" s="3" t="n"/>
      <c r="D570" s="3" t="n"/>
      <c r="E570" s="3" t="n"/>
      <c r="F570" s="3" t="n"/>
      <c r="G570" s="3" t="n"/>
      <c r="H570" s="3" t="n"/>
      <c r="I570" s="3" t="n"/>
      <c r="J570" s="3" t="n"/>
      <c r="K570" s="3" t="n"/>
      <c r="L570" s="3" t="n"/>
      <c r="M570" s="3" t="n"/>
      <c r="N570" s="18" t="n">
        <v>885.6</v>
      </c>
      <c r="O570" s="18" t="n">
        <v>984.2</v>
      </c>
      <c r="P570" s="3" t="n"/>
      <c r="Q570" s="3" t="n"/>
      <c r="R570" s="3" t="n"/>
      <c r="S570" s="3" t="n"/>
      <c r="T570" s="18" t="n">
        <v>454</v>
      </c>
      <c r="U570" s="18" t="n">
        <v>517.4</v>
      </c>
      <c r="V570" s="3" t="n"/>
      <c r="W570" s="3" t="n"/>
      <c r="X570" s="3" t="n"/>
      <c r="Y570" s="4" t="inlineStr">
        <is>
          <t>INFO_10Q_Q2-FY2021 p46</t>
        </is>
      </c>
    </row>
    <row r="571">
      <c r="A571" s="14" t="inlineStr">
        <is>
          <t>INFO_10Q_Q2-FY2021 · MD&amp;A Segment Adjusted EBITDA (narrative)</t>
        </is>
      </c>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row>
    <row r="572">
      <c r="A572" s="38" t="inlineStr">
        <is>
          <t>Transportation Adjusted EBITDA narrative</t>
        </is>
      </c>
      <c r="B572" s="3" t="n"/>
      <c r="C572" s="3" t="n"/>
      <c r="D572" s="3" t="n"/>
      <c r="E572" s="3" t="n"/>
      <c r="F572" s="3" t="n"/>
      <c r="G572" s="3" t="n"/>
      <c r="H572" s="3" t="n"/>
      <c r="I572" s="3" t="n"/>
      <c r="J572" s="3" t="n"/>
      <c r="K572" s="3" t="n"/>
      <c r="L572" s="3" t="n"/>
      <c r="M572" s="3" t="n"/>
      <c r="N572" s="3" t="n"/>
      <c r="O572" s="42" t="inlineStr">
        <is>
          <t>Increase primarily due to organic revenue growth, which improved substantially versus the prior year when it was negatively impacted by the pandemic; all segment margins impacted as temporary cost containment measures ended.</t>
        </is>
      </c>
      <c r="P572" s="3" t="n"/>
      <c r="Q572" s="3" t="n"/>
      <c r="R572" s="3" t="n"/>
      <c r="S572" s="3" t="n"/>
      <c r="T572" s="3" t="n"/>
      <c r="U572" s="3" t="n"/>
      <c r="V572" s="3" t="n"/>
      <c r="W572" s="3" t="n"/>
      <c r="X572" s="3" t="n"/>
      <c r="Y572" s="4" t="inlineStr">
        <is>
          <t>INFO_10Q_Q2-FY2021 p46</t>
        </is>
      </c>
    </row>
    <row r="573">
      <c r="A573" s="14" t="inlineStr">
        <is>
          <t>INFO_10Q_Q2-FY2021 · Revenue by transaction type (consolidated) - Note 3 / MD&amp;A</t>
        </is>
      </c>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row>
    <row r="574">
      <c r="A574" s="38" t="inlineStr">
        <is>
          <t>Recurring fixed revenue</t>
        </is>
      </c>
      <c r="B574" s="3" t="n"/>
      <c r="C574" s="3" t="n"/>
      <c r="D574" s="3" t="n"/>
      <c r="E574" s="3" t="n"/>
      <c r="F574" s="3" t="n"/>
      <c r="G574" s="3" t="n"/>
      <c r="H574" s="3" t="n"/>
      <c r="I574" s="3" t="n"/>
      <c r="J574" s="3" t="n"/>
      <c r="K574" s="3" t="n"/>
      <c r="L574" s="3" t="n"/>
      <c r="M574" s="3" t="n"/>
      <c r="N574" s="30" t="n">
        <v>1559.3</v>
      </c>
      <c r="O574" s="30" t="n">
        <v>1661.6</v>
      </c>
      <c r="P574" s="3" t="n"/>
      <c r="Q574" s="3" t="n"/>
      <c r="R574" s="3" t="n"/>
      <c r="S574" s="3" t="n"/>
      <c r="T574" s="30" t="n">
        <v>755.2</v>
      </c>
      <c r="U574" s="30" t="n">
        <v>836</v>
      </c>
      <c r="V574" s="3" t="n"/>
      <c r="W574" s="3" t="n"/>
      <c r="X574" s="3" t="n"/>
      <c r="Y574" s="4" t="inlineStr">
        <is>
          <t>INFO_10Q_Q2-FY2021 p19</t>
        </is>
      </c>
    </row>
    <row r="575">
      <c r="A575" s="38" t="inlineStr">
        <is>
          <t>Recurring variable revenue</t>
        </is>
      </c>
      <c r="B575" s="3" t="n"/>
      <c r="C575" s="3" t="n"/>
      <c r="D575" s="3" t="n"/>
      <c r="E575" s="3" t="n"/>
      <c r="F575" s="3" t="n"/>
      <c r="G575" s="3" t="n"/>
      <c r="H575" s="3" t="n"/>
      <c r="I575" s="3" t="n"/>
      <c r="J575" s="3" t="n"/>
      <c r="K575" s="3" t="n"/>
      <c r="L575" s="3" t="n"/>
      <c r="M575" s="3" t="n"/>
      <c r="N575" s="30" t="n">
        <v>304.8</v>
      </c>
      <c r="O575" s="30" t="n">
        <v>355.5</v>
      </c>
      <c r="P575" s="3" t="n"/>
      <c r="Q575" s="3" t="n"/>
      <c r="R575" s="3" t="n"/>
      <c r="S575" s="3" t="n"/>
      <c r="T575" s="30" t="n">
        <v>158</v>
      </c>
      <c r="U575" s="30" t="n">
        <v>182.6</v>
      </c>
      <c r="V575" s="3" t="n"/>
      <c r="W575" s="3" t="n"/>
      <c r="X575" s="3" t="n"/>
      <c r="Y575" s="4" t="inlineStr">
        <is>
          <t>INFO_10Q_Q2-FY2021 p19</t>
        </is>
      </c>
    </row>
    <row r="576">
      <c r="A576" s="38" t="inlineStr">
        <is>
          <t>Non-recurring revenue</t>
        </is>
      </c>
      <c r="B576" s="3" t="n"/>
      <c r="C576" s="3" t="n"/>
      <c r="D576" s="3" t="n"/>
      <c r="E576" s="3" t="n"/>
      <c r="F576" s="3" t="n"/>
      <c r="G576" s="3" t="n"/>
      <c r="H576" s="3" t="n"/>
      <c r="I576" s="3" t="n"/>
      <c r="J576" s="3" t="n"/>
      <c r="K576" s="3" t="n"/>
      <c r="L576" s="3" t="n"/>
      <c r="M576" s="3" t="n"/>
      <c r="N576" s="30" t="n">
        <v>243.3</v>
      </c>
      <c r="O576" s="30" t="n">
        <v>284.2</v>
      </c>
      <c r="P576" s="3" t="n"/>
      <c r="Q576" s="3" t="n"/>
      <c r="R576" s="3" t="n"/>
      <c r="S576" s="3" t="n"/>
      <c r="T576" s="30" t="n">
        <v>113.4</v>
      </c>
      <c r="U576" s="30" t="n">
        <v>162.8</v>
      </c>
      <c r="V576" s="3" t="n"/>
      <c r="W576" s="3" t="n"/>
      <c r="X576" s="3" t="n"/>
      <c r="Y576" s="4" t="inlineStr">
        <is>
          <t>INFO_10Q_Q2-FY2021 p19</t>
        </is>
      </c>
    </row>
    <row r="577">
      <c r="A577" s="39" t="inlineStr">
        <is>
          <t>Total revenue</t>
        </is>
      </c>
      <c r="B577" s="3" t="n"/>
      <c r="C577" s="3" t="n"/>
      <c r="D577" s="3" t="n"/>
      <c r="E577" s="3" t="n"/>
      <c r="F577" s="3" t="n"/>
      <c r="G577" s="3" t="n"/>
      <c r="H577" s="3" t="n"/>
      <c r="I577" s="3" t="n"/>
      <c r="J577" s="3" t="n"/>
      <c r="K577" s="3" t="n"/>
      <c r="L577" s="3" t="n"/>
      <c r="M577" s="3" t="n"/>
      <c r="N577" s="18" t="n">
        <v>2107.4</v>
      </c>
      <c r="O577" s="18" t="n">
        <v>2301.3</v>
      </c>
      <c r="P577" s="3" t="n"/>
      <c r="Q577" s="3" t="n"/>
      <c r="R577" s="3" t="n"/>
      <c r="S577" s="3" t="n"/>
      <c r="T577" s="18" t="n">
        <v>1026.6</v>
      </c>
      <c r="U577" s="18" t="n">
        <v>1181.4</v>
      </c>
      <c r="V577" s="3" t="n"/>
      <c r="W577" s="3" t="n"/>
      <c r="X577" s="3" t="n"/>
      <c r="Y577" s="4" t="inlineStr">
        <is>
          <t>INFO_10Q_Q2-FY2021 p19</t>
        </is>
      </c>
    </row>
    <row r="578">
      <c r="A578" s="14" t="inlineStr">
        <is>
          <t>INFO_10Q_Q2-FY2021 · MD&amp;A Revenue by Transaction Type (consolidated) - as a percent of total revenue</t>
        </is>
      </c>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row>
    <row r="579">
      <c r="A579" s="38" t="inlineStr">
        <is>
          <t>Recurring fixed</t>
        </is>
      </c>
      <c r="B579" s="3" t="n"/>
      <c r="C579" s="3" t="n"/>
      <c r="D579" s="3" t="n"/>
      <c r="E579" s="3" t="n"/>
      <c r="F579" s="3" t="n"/>
      <c r="G579" s="3" t="n"/>
      <c r="H579" s="3" t="n"/>
      <c r="I579" s="3" t="n"/>
      <c r="J579" s="3" t="n"/>
      <c r="K579" s="3" t="n"/>
      <c r="L579" s="3" t="n"/>
      <c r="M579" s="3" t="n"/>
      <c r="N579" s="41" t="n">
        <v>74</v>
      </c>
      <c r="O579" s="41" t="n">
        <v>72</v>
      </c>
      <c r="P579" s="3" t="n"/>
      <c r="Q579" s="3" t="n"/>
      <c r="R579" s="3" t="n"/>
      <c r="S579" s="3" t="n"/>
      <c r="T579" s="41" t="n">
        <v>74</v>
      </c>
      <c r="U579" s="41" t="n">
        <v>71</v>
      </c>
      <c r="V579" s="3" t="n"/>
      <c r="W579" s="3" t="n"/>
      <c r="X579" s="3" t="n"/>
      <c r="Y579" s="4" t="inlineStr">
        <is>
          <t>INFO_10Q_Q2-FY2021 p43</t>
        </is>
      </c>
    </row>
    <row r="580">
      <c r="A580" s="38" t="inlineStr">
        <is>
          <t>Recurring variable</t>
        </is>
      </c>
      <c r="B580" s="3" t="n"/>
      <c r="C580" s="3" t="n"/>
      <c r="D580" s="3" t="n"/>
      <c r="E580" s="3" t="n"/>
      <c r="F580" s="3" t="n"/>
      <c r="G580" s="3" t="n"/>
      <c r="H580" s="3" t="n"/>
      <c r="I580" s="3" t="n"/>
      <c r="J580" s="3" t="n"/>
      <c r="K580" s="3" t="n"/>
      <c r="L580" s="3" t="n"/>
      <c r="M580" s="3" t="n"/>
      <c r="N580" s="41" t="n">
        <v>14</v>
      </c>
      <c r="O580" s="41" t="n">
        <v>15</v>
      </c>
      <c r="P580" s="3" t="n"/>
      <c r="Q580" s="3" t="n"/>
      <c r="R580" s="3" t="n"/>
      <c r="S580" s="3" t="n"/>
      <c r="T580" s="41" t="n">
        <v>15</v>
      </c>
      <c r="U580" s="41" t="n">
        <v>15</v>
      </c>
      <c r="V580" s="3" t="n"/>
      <c r="W580" s="3" t="n"/>
      <c r="X580" s="3" t="n"/>
      <c r="Y580" s="4" t="inlineStr">
        <is>
          <t>INFO_10Q_Q2-FY2021 p43</t>
        </is>
      </c>
    </row>
    <row r="581">
      <c r="A581" s="38" t="inlineStr">
        <is>
          <t>Non-recurring</t>
        </is>
      </c>
      <c r="B581" s="3" t="n"/>
      <c r="C581" s="3" t="n"/>
      <c r="D581" s="3" t="n"/>
      <c r="E581" s="3" t="n"/>
      <c r="F581" s="3" t="n"/>
      <c r="G581" s="3" t="n"/>
      <c r="H581" s="3" t="n"/>
      <c r="I581" s="3" t="n"/>
      <c r="J581" s="3" t="n"/>
      <c r="K581" s="3" t="n"/>
      <c r="L581" s="3" t="n"/>
      <c r="M581" s="3" t="n"/>
      <c r="N581" s="41" t="n">
        <v>12</v>
      </c>
      <c r="O581" s="41" t="n">
        <v>12</v>
      </c>
      <c r="P581" s="3" t="n"/>
      <c r="Q581" s="3" t="n"/>
      <c r="R581" s="3" t="n"/>
      <c r="S581" s="3" t="n"/>
      <c r="T581" s="41" t="n">
        <v>11</v>
      </c>
      <c r="U581" s="41" t="n">
        <v>14</v>
      </c>
      <c r="V581" s="3" t="n"/>
      <c r="W581" s="3" t="n"/>
      <c r="X581" s="3" t="n"/>
      <c r="Y581" s="4" t="inlineStr">
        <is>
          <t>INFO_10Q_Q2-FY2021 p43</t>
        </is>
      </c>
    </row>
    <row r="582">
      <c r="A582" s="14" t="inlineStr">
        <is>
          <t>INFO_10Q_Q2-FY2021 · MD&amp;A Executive Summary</t>
        </is>
      </c>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row>
    <row r="583">
      <c r="A583" s="38" t="inlineStr">
        <is>
          <t>Consolidated recurring revenue share (approximately)</t>
        </is>
      </c>
      <c r="B583" s="3" t="n"/>
      <c r="C583" s="3" t="n"/>
      <c r="D583" s="3" t="n"/>
      <c r="E583" s="3" t="n"/>
      <c r="F583" s="3" t="n"/>
      <c r="G583" s="3" t="n"/>
      <c r="H583" s="3" t="n"/>
      <c r="I583" s="3" t="n"/>
      <c r="J583" s="3" t="n"/>
      <c r="K583" s="3" t="n"/>
      <c r="L583" s="3" t="n"/>
      <c r="M583" s="3" t="n"/>
      <c r="N583" s="3" t="n"/>
      <c r="O583" s="41" t="n">
        <v>88</v>
      </c>
      <c r="P583" s="3" t="n"/>
      <c r="Q583" s="3" t="n"/>
      <c r="R583" s="3" t="n"/>
      <c r="S583" s="3" t="n"/>
      <c r="T583" s="3" t="n"/>
      <c r="U583" s="3" t="n"/>
      <c r="V583" s="3" t="n"/>
      <c r="W583" s="3" t="n"/>
      <c r="X583" s="3" t="n"/>
      <c r="Y583" s="4" t="inlineStr">
        <is>
          <t>INFO_10Q_Q2-FY2021 p35</t>
        </is>
      </c>
    </row>
    <row r="584">
      <c r="A584" s="38" t="inlineStr">
        <is>
          <t>Transportation segment composition</t>
        </is>
      </c>
      <c r="B584" s="3" t="n"/>
      <c r="C584" s="3" t="n"/>
      <c r="D584" s="3" t="n"/>
      <c r="E584" s="3" t="n"/>
      <c r="F584" s="3" t="n"/>
      <c r="G584" s="3" t="n"/>
      <c r="H584" s="3" t="n"/>
      <c r="I584" s="3" t="n"/>
      <c r="J584" s="3" t="n"/>
      <c r="K584" s="3" t="n"/>
      <c r="L584" s="3" t="n"/>
      <c r="M584" s="3" t="n"/>
      <c r="N584" s="3" t="n"/>
      <c r="O584" s="42" t="inlineStr">
        <is>
          <t>Transportation, which includes our Automotive and Maritime &amp; Trade product offerings</t>
        </is>
      </c>
      <c r="P584" s="3" t="n"/>
      <c r="Q584" s="3" t="n"/>
      <c r="R584" s="3" t="n"/>
      <c r="S584" s="3" t="n"/>
      <c r="T584" s="3" t="n"/>
      <c r="U584" s="3" t="n"/>
      <c r="V584" s="3" t="n"/>
      <c r="W584" s="3" t="n"/>
      <c r="X584" s="3" t="n"/>
      <c r="Y584" s="4" t="inlineStr">
        <is>
          <t>INFO_10Q_Q2-FY2021 p35</t>
        </is>
      </c>
    </row>
    <row r="585">
      <c r="A585" s="14" t="inlineStr">
        <is>
          <t>INFO_10Q_Q2-FY2021 · Note 8 Restructuring</t>
        </is>
      </c>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row>
    <row r="586">
      <c r="A586" s="38" t="inlineStr">
        <is>
          <t>Remaining restructuring liability - Transportation (as of May 31, 2021)</t>
        </is>
      </c>
      <c r="B586" s="3" t="n"/>
      <c r="C586" s="3" t="n"/>
      <c r="D586" s="3" t="n"/>
      <c r="E586" s="3" t="n"/>
      <c r="F586" s="3" t="n"/>
      <c r="G586" s="3" t="n"/>
      <c r="H586" s="3" t="n"/>
      <c r="I586" s="3" t="n"/>
      <c r="J586" s="3" t="n"/>
      <c r="K586" s="3" t="n"/>
      <c r="L586" s="3" t="n"/>
      <c r="M586" s="3" t="n"/>
      <c r="N586" s="3" t="n"/>
      <c r="O586" s="30" t="n">
        <v>3.9</v>
      </c>
      <c r="P586" s="3" t="n"/>
      <c r="Q586" s="3" t="n"/>
      <c r="R586" s="3" t="n"/>
      <c r="S586" s="3" t="n"/>
      <c r="T586" s="3" t="n"/>
      <c r="U586" s="3" t="n"/>
      <c r="V586" s="3" t="n"/>
      <c r="W586" s="3" t="n"/>
      <c r="X586" s="3" t="n"/>
      <c r="Y586" s="4" t="inlineStr">
        <is>
          <t>INFO_10Q_Q2-FY2021 p26</t>
        </is>
      </c>
    </row>
    <row r="587">
      <c r="A587" s="14" t="inlineStr">
        <is>
          <t>INFO_10Q_Q2-FY2021 · Note 2 Business Combinations and Divestitures</t>
        </is>
      </c>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row>
    <row r="588">
      <c r="A588" s="38" t="inlineStr">
        <is>
          <t>A&amp;D divestiture (Dec 2019) price to Montagu (approximately)</t>
        </is>
      </c>
      <c r="B588" s="3" t="n"/>
      <c r="C588" s="3" t="n"/>
      <c r="D588" s="3" t="n"/>
      <c r="E588" s="3" t="n"/>
      <c r="F588" s="3" t="n"/>
      <c r="G588" s="3" t="n"/>
      <c r="H588" s="3" t="n"/>
      <c r="I588" s="3" t="n"/>
      <c r="J588" s="3" t="n"/>
      <c r="K588" s="3" t="n"/>
      <c r="L588" s="3" t="n"/>
      <c r="M588" s="3" t="n"/>
      <c r="N588" s="3" t="n"/>
      <c r="O588" s="30" t="n">
        <v>466</v>
      </c>
      <c r="P588" s="3" t="n"/>
      <c r="Q588" s="3" t="n"/>
      <c r="R588" s="3" t="n"/>
      <c r="S588" s="3" t="n"/>
      <c r="T588" s="3" t="n"/>
      <c r="U588" s="3" t="n"/>
      <c r="V588" s="3" t="n"/>
      <c r="W588" s="3" t="n"/>
      <c r="X588" s="3" t="n"/>
      <c r="Y588" s="4" t="inlineStr">
        <is>
          <t>INFO_10Q_Q2-FY2021 p17</t>
        </is>
      </c>
    </row>
    <row r="589">
      <c r="A589" s="38" t="inlineStr">
        <is>
          <t>A&amp;D divestiture gain recognized Q1 FY2020 (approximately)</t>
        </is>
      </c>
      <c r="B589" s="3" t="n"/>
      <c r="C589" s="3" t="n"/>
      <c r="D589" s="3" t="n"/>
      <c r="E589" s="3" t="n"/>
      <c r="F589" s="3" t="n"/>
      <c r="G589" s="3" t="n"/>
      <c r="H589" s="3" t="n"/>
      <c r="I589" s="3" t="n"/>
      <c r="J589" s="3" t="n"/>
      <c r="K589" s="3" t="n"/>
      <c r="L589" s="3" t="n"/>
      <c r="M589" s="3" t="n"/>
      <c r="N589" s="3" t="n"/>
      <c r="O589" s="30" t="n">
        <v>372</v>
      </c>
      <c r="P589" s="3" t="n"/>
      <c r="Q589" s="3" t="n"/>
      <c r="R589" s="3" t="n"/>
      <c r="S589" s="3" t="n"/>
      <c r="T589" s="3" t="n"/>
      <c r="U589" s="3" t="n"/>
      <c r="V589" s="3" t="n"/>
      <c r="W589" s="3" t="n"/>
      <c r="X589" s="3" t="n"/>
      <c r="Y589" s="4" t="inlineStr">
        <is>
          <t>INFO_10Q_Q2-FY2021 p17</t>
        </is>
      </c>
    </row>
    <row r="590">
      <c r="A590" s="38" t="inlineStr">
        <is>
          <t>aM remaining equity interests - estimated total compensation expense (low)</t>
        </is>
      </c>
      <c r="B590" s="3" t="n"/>
      <c r="C590" s="3" t="n"/>
      <c r="D590" s="3" t="n"/>
      <c r="E590" s="3" t="n"/>
      <c r="F590" s="3" t="n"/>
      <c r="G590" s="3" t="n"/>
      <c r="H590" s="3" t="n"/>
      <c r="I590" s="3" t="n"/>
      <c r="J590" s="3" t="n"/>
      <c r="K590" s="3" t="n"/>
      <c r="L590" s="3" t="n"/>
      <c r="M590" s="3" t="n"/>
      <c r="N590" s="3" t="n"/>
      <c r="O590" s="30" t="n">
        <v>60</v>
      </c>
      <c r="P590" s="3" t="n"/>
      <c r="Q590" s="3" t="n"/>
      <c r="R590" s="3" t="n"/>
      <c r="S590" s="3" t="n"/>
      <c r="T590" s="3" t="n"/>
      <c r="U590" s="3" t="n"/>
      <c r="V590" s="3" t="n"/>
      <c r="W590" s="3" t="n"/>
      <c r="X590" s="3" t="n"/>
      <c r="Y590" s="4" t="inlineStr">
        <is>
          <t>INFO_10Q_Q2-FY2021 p17</t>
        </is>
      </c>
    </row>
    <row r="591">
      <c r="A591" s="38" t="inlineStr">
        <is>
          <t>aM remaining equity interests - estimated total compensation expense (high)</t>
        </is>
      </c>
      <c r="B591" s="3" t="n"/>
      <c r="C591" s="3" t="n"/>
      <c r="D591" s="3" t="n"/>
      <c r="E591" s="3" t="n"/>
      <c r="F591" s="3" t="n"/>
      <c r="G591" s="3" t="n"/>
      <c r="H591" s="3" t="n"/>
      <c r="I591" s="3" t="n"/>
      <c r="J591" s="3" t="n"/>
      <c r="K591" s="3" t="n"/>
      <c r="L591" s="3" t="n"/>
      <c r="M591" s="3" t="n"/>
      <c r="N591" s="3" t="n"/>
      <c r="O591" s="30" t="n">
        <v>65</v>
      </c>
      <c r="P591" s="3" t="n"/>
      <c r="Q591" s="3" t="n"/>
      <c r="R591" s="3" t="n"/>
      <c r="S591" s="3" t="n"/>
      <c r="T591" s="3" t="n"/>
      <c r="U591" s="3" t="n"/>
      <c r="V591" s="3" t="n"/>
      <c r="W591" s="3" t="n"/>
      <c r="X591" s="3" t="n"/>
      <c r="Y591" s="4" t="inlineStr">
        <is>
          <t>INFO_10Q_Q2-FY2021 p17</t>
        </is>
      </c>
    </row>
    <row r="592">
      <c r="A592" s="38" t="inlineStr">
        <is>
          <t>aM compensation recognized as of May 31, 2021 (approximately)</t>
        </is>
      </c>
      <c r="B592" s="3" t="n"/>
      <c r="C592" s="3" t="n"/>
      <c r="D592" s="3" t="n"/>
      <c r="E592" s="3" t="n"/>
      <c r="F592" s="3" t="n"/>
      <c r="G592" s="3" t="n"/>
      <c r="H592" s="3" t="n"/>
      <c r="I592" s="3" t="n"/>
      <c r="J592" s="3" t="n"/>
      <c r="K592" s="3" t="n"/>
      <c r="L592" s="3" t="n"/>
      <c r="M592" s="3" t="n"/>
      <c r="N592" s="3" t="n"/>
      <c r="O592" s="30" t="n">
        <v>44.7</v>
      </c>
      <c r="P592" s="3" t="n"/>
      <c r="Q592" s="3" t="n"/>
      <c r="R592" s="3" t="n"/>
      <c r="S592" s="3" t="n"/>
      <c r="T592" s="3" t="n"/>
      <c r="U592" s="3" t="n"/>
      <c r="V592" s="3" t="n"/>
      <c r="W592" s="3" t="n"/>
      <c r="X592" s="3" t="n"/>
      <c r="Y592" s="4" t="inlineStr">
        <is>
          <t>INFO_10Q_Q2-FY2021 p17</t>
        </is>
      </c>
    </row>
    <row r="593">
      <c r="A593" s="38" t="inlineStr">
        <is>
          <t>aM put exercised Nov 2019 on 62.5% of remaining 22% - cash paid Dec 2019</t>
        </is>
      </c>
      <c r="B593" s="3" t="n"/>
      <c r="C593" s="3" t="n"/>
      <c r="D593" s="3" t="n"/>
      <c r="E593" s="3" t="n"/>
      <c r="F593" s="3" t="n"/>
      <c r="G593" s="3" t="n"/>
      <c r="H593" s="3" t="n"/>
      <c r="I593" s="3" t="n"/>
      <c r="J593" s="3" t="n"/>
      <c r="K593" s="3" t="n"/>
      <c r="L593" s="3" t="n"/>
      <c r="M593" s="3" t="n"/>
      <c r="N593" s="3" t="n"/>
      <c r="O593" s="30" t="n">
        <v>75.90000000000001</v>
      </c>
      <c r="P593" s="3" t="n"/>
      <c r="Q593" s="3" t="n"/>
      <c r="R593" s="3" t="n"/>
      <c r="S593" s="3" t="n"/>
      <c r="T593" s="3" t="n"/>
      <c r="U593" s="3" t="n"/>
      <c r="V593" s="3" t="n"/>
      <c r="W593" s="3" t="n"/>
      <c r="X593" s="3" t="n"/>
      <c r="Y593" s="4" t="inlineStr">
        <is>
          <t>INFO_10Q_Q2-FY2021 p17</t>
        </is>
      </c>
    </row>
    <row r="594">
      <c r="A594" s="14" t="inlineStr">
        <is>
          <t>INFO_10Q_Q2-FY2021 · Note 16 reconciliation (consolidated)</t>
        </is>
      </c>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row>
    <row r="595">
      <c r="A595" s="38" t="inlineStr">
        <is>
          <t>Acquisition-related performance compensation</t>
        </is>
      </c>
      <c r="B595" s="3" t="n"/>
      <c r="C595" s="3" t="n"/>
      <c r="D595" s="3" t="n"/>
      <c r="E595" s="3" t="n"/>
      <c r="F595" s="3" t="n"/>
      <c r="G595" s="3" t="n"/>
      <c r="H595" s="3" t="n"/>
      <c r="I595" s="3" t="n"/>
      <c r="J595" s="3" t="n"/>
      <c r="K595" s="3" t="n"/>
      <c r="L595" s="3" t="n"/>
      <c r="M595" s="3" t="n"/>
      <c r="N595" s="30" t="n">
        <v>-4.7</v>
      </c>
      <c r="O595" s="30" t="n">
        <v>-7.8</v>
      </c>
      <c r="P595" s="3" t="n"/>
      <c r="Q595" s="3" t="n"/>
      <c r="R595" s="3" t="n"/>
      <c r="S595" s="3" t="n"/>
      <c r="T595" s="30" t="n">
        <v>-4.5</v>
      </c>
      <c r="U595" s="30" t="n">
        <v>-3.9</v>
      </c>
      <c r="V595" s="3" t="n"/>
      <c r="W595" s="3" t="n"/>
      <c r="X595" s="3" t="n"/>
      <c r="Y595" s="4" t="inlineStr">
        <is>
          <t>INFO_10Q_Q2-FY2021 p34</t>
        </is>
      </c>
    </row>
    <row r="596">
      <c r="A596" s="14" t="inlineStr">
        <is>
          <t>INFO_10Q_Q3-FY2021 · Note 16 Segment Information</t>
        </is>
      </c>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row>
    <row r="597">
      <c r="A597" s="38" t="inlineStr">
        <is>
          <t>Revenue - Financial Services</t>
        </is>
      </c>
      <c r="B597" s="3" t="n"/>
      <c r="C597" s="3" t="n"/>
      <c r="D597" s="3" t="n"/>
      <c r="E597" s="3" t="n"/>
      <c r="F597" s="3" t="n"/>
      <c r="G597" s="3" t="n"/>
      <c r="H597" s="3" t="n"/>
      <c r="I597" s="3" t="n"/>
      <c r="J597" s="3" t="n"/>
      <c r="K597" s="3" t="n"/>
      <c r="L597" s="3" t="n"/>
      <c r="M597" s="3" t="n"/>
      <c r="N597" s="3" t="n"/>
      <c r="O597" s="3" t="n"/>
      <c r="P597" s="30" t="n">
        <v>1325.1</v>
      </c>
      <c r="Q597" s="30" t="n">
        <v>1467.6</v>
      </c>
      <c r="R597" s="3" t="n"/>
      <c r="S597" s="3" t="n"/>
      <c r="T597" s="3" t="n"/>
      <c r="U597" s="3" t="n"/>
      <c r="V597" s="30" t="n">
        <v>445.6</v>
      </c>
      <c r="W597" s="30" t="n">
        <v>489.7</v>
      </c>
      <c r="X597" s="3" t="n"/>
      <c r="Y597" s="4" t="inlineStr">
        <is>
          <t>INFO_10Q_Q3-FY2021 p35</t>
        </is>
      </c>
    </row>
    <row r="598">
      <c r="A598" s="38" t="inlineStr">
        <is>
          <t>Revenue - Transportation</t>
        </is>
      </c>
      <c r="B598" s="3" t="n"/>
      <c r="C598" s="3" t="n"/>
      <c r="D598" s="3" t="n"/>
      <c r="E598" s="3" t="n"/>
      <c r="F598" s="3" t="n"/>
      <c r="G598" s="3" t="n"/>
      <c r="H598" s="3" t="n"/>
      <c r="I598" s="3" t="n"/>
      <c r="J598" s="3" t="n"/>
      <c r="K598" s="3" t="n"/>
      <c r="L598" s="3" t="n"/>
      <c r="M598" s="3" t="n"/>
      <c r="N598" s="3" t="n"/>
      <c r="O598" s="3" t="n"/>
      <c r="P598" s="30" t="n">
        <v>839.3</v>
      </c>
      <c r="Q598" s="30" t="n">
        <v>1003.2</v>
      </c>
      <c r="R598" s="3" t="n"/>
      <c r="S598" s="3" t="n"/>
      <c r="T598" s="3" t="n"/>
      <c r="U598" s="3" t="n"/>
      <c r="V598" s="30" t="n">
        <v>298.9</v>
      </c>
      <c r="W598" s="30" t="n">
        <v>347.4</v>
      </c>
      <c r="X598" s="3" t="n"/>
      <c r="Y598" s="4" t="inlineStr">
        <is>
          <t>INFO_10Q_Q3-FY2021 p35</t>
        </is>
      </c>
    </row>
    <row r="599">
      <c r="A599" s="38" t="inlineStr">
        <is>
          <t>Revenue - Resources</t>
        </is>
      </c>
      <c r="B599" s="3" t="n"/>
      <c r="C599" s="3" t="n"/>
      <c r="D599" s="3" t="n"/>
      <c r="E599" s="3" t="n"/>
      <c r="F599" s="3" t="n"/>
      <c r="G599" s="3" t="n"/>
      <c r="H599" s="3" t="n"/>
      <c r="I599" s="3" t="n"/>
      <c r="J599" s="3" t="n"/>
      <c r="K599" s="3" t="n"/>
      <c r="L599" s="3" t="n"/>
      <c r="M599" s="3" t="n"/>
      <c r="N599" s="3" t="n"/>
      <c r="O599" s="3" t="n"/>
      <c r="P599" s="30" t="n">
        <v>652.8</v>
      </c>
      <c r="Q599" s="30" t="n">
        <v>631.4</v>
      </c>
      <c r="R599" s="3" t="n"/>
      <c r="S599" s="3" t="n"/>
      <c r="T599" s="3" t="n"/>
      <c r="U599" s="3" t="n"/>
      <c r="V599" s="30" t="n">
        <v>208.2</v>
      </c>
      <c r="W599" s="30" t="n">
        <v>207.9</v>
      </c>
      <c r="X599" s="3" t="n"/>
      <c r="Y599" s="4" t="inlineStr">
        <is>
          <t>INFO_10Q_Q3-FY2021 p35</t>
        </is>
      </c>
    </row>
    <row r="600">
      <c r="A600" s="38" t="inlineStr">
        <is>
          <t>Revenue - CMS</t>
        </is>
      </c>
      <c r="B600" s="3" t="n"/>
      <c r="C600" s="3" t="n"/>
      <c r="D600" s="3" t="n"/>
      <c r="E600" s="3" t="n"/>
      <c r="F600" s="3" t="n"/>
      <c r="G600" s="3" t="n"/>
      <c r="H600" s="3" t="n"/>
      <c r="I600" s="3" t="n"/>
      <c r="J600" s="3" t="n"/>
      <c r="K600" s="3" t="n"/>
      <c r="L600" s="3" t="n"/>
      <c r="M600" s="3" t="n"/>
      <c r="N600" s="3" t="n"/>
      <c r="O600" s="3" t="n"/>
      <c r="P600" s="30" t="n">
        <v>363.4</v>
      </c>
      <c r="Q600" s="30" t="n">
        <v>379.6</v>
      </c>
      <c r="R600" s="3" t="n"/>
      <c r="S600" s="3" t="n"/>
      <c r="T600" s="3" t="n"/>
      <c r="U600" s="3" t="n"/>
      <c r="V600" s="30" t="n">
        <v>120.5</v>
      </c>
      <c r="W600" s="30" t="n">
        <v>135.5</v>
      </c>
      <c r="X600" s="3" t="n"/>
      <c r="Y600" s="4" t="inlineStr">
        <is>
          <t>INFO_10Q_Q3-FY2021 p35</t>
        </is>
      </c>
    </row>
    <row r="601">
      <c r="A601" s="39" t="inlineStr">
        <is>
          <t>Total revenue</t>
        </is>
      </c>
      <c r="B601" s="3" t="n"/>
      <c r="C601" s="3" t="n"/>
      <c r="D601" s="3" t="n"/>
      <c r="E601" s="3" t="n"/>
      <c r="F601" s="3" t="n"/>
      <c r="G601" s="3" t="n"/>
      <c r="H601" s="3" t="n"/>
      <c r="I601" s="3" t="n"/>
      <c r="J601" s="3" t="n"/>
      <c r="K601" s="3" t="n"/>
      <c r="L601" s="3" t="n"/>
      <c r="M601" s="3" t="n"/>
      <c r="N601" s="3" t="n"/>
      <c r="O601" s="3" t="n"/>
      <c r="P601" s="18" t="n">
        <v>3180.6</v>
      </c>
      <c r="Q601" s="18" t="n">
        <v>3481.8</v>
      </c>
      <c r="R601" s="3" t="n"/>
      <c r="S601" s="3" t="n"/>
      <c r="T601" s="3" t="n"/>
      <c r="U601" s="3" t="n"/>
      <c r="V601" s="18" t="n">
        <v>1073.2</v>
      </c>
      <c r="W601" s="18" t="n">
        <v>1180.5</v>
      </c>
      <c r="X601" s="3" t="n"/>
      <c r="Y601" s="4" t="inlineStr">
        <is>
          <t>INFO_10Q_Q3-FY2021 p35</t>
        </is>
      </c>
    </row>
    <row r="602">
      <c r="A602" s="38" t="inlineStr">
        <is>
          <t>Adjusted EBITDA - Financial Services</t>
        </is>
      </c>
      <c r="B602" s="3" t="n"/>
      <c r="C602" s="3" t="n"/>
      <c r="D602" s="3" t="n"/>
      <c r="E602" s="3" t="n"/>
      <c r="F602" s="3" t="n"/>
      <c r="G602" s="3" t="n"/>
      <c r="H602" s="3" t="n"/>
      <c r="I602" s="3" t="n"/>
      <c r="J602" s="3" t="n"/>
      <c r="K602" s="3" t="n"/>
      <c r="L602" s="3" t="n"/>
      <c r="M602" s="3" t="n"/>
      <c r="N602" s="3" t="n"/>
      <c r="O602" s="3" t="n"/>
      <c r="P602" s="30" t="n">
        <v>662.6</v>
      </c>
      <c r="Q602" s="30" t="n">
        <v>711.4</v>
      </c>
      <c r="R602" s="3" t="n"/>
      <c r="S602" s="3" t="n"/>
      <c r="T602" s="3" t="n"/>
      <c r="U602" s="3" t="n"/>
      <c r="V602" s="30" t="n">
        <v>225.9</v>
      </c>
      <c r="W602" s="30" t="n">
        <v>240.7</v>
      </c>
      <c r="X602" s="3" t="n"/>
      <c r="Y602" s="4" t="inlineStr">
        <is>
          <t>INFO_10Q_Q3-FY2021 p35</t>
        </is>
      </c>
    </row>
    <row r="603">
      <c r="A603" s="38" t="inlineStr">
        <is>
          <t>Adjusted EBITDA - Transportation</t>
        </is>
      </c>
      <c r="B603" s="3" t="n"/>
      <c r="C603" s="3" t="n"/>
      <c r="D603" s="3" t="n"/>
      <c r="E603" s="3" t="n"/>
      <c r="F603" s="3" t="n"/>
      <c r="G603" s="3" t="n"/>
      <c r="H603" s="3" t="n"/>
      <c r="I603" s="3" t="n"/>
      <c r="J603" s="3" t="n"/>
      <c r="K603" s="3" t="n"/>
      <c r="L603" s="3" t="n"/>
      <c r="M603" s="3" t="n"/>
      <c r="N603" s="3" t="n"/>
      <c r="O603" s="3" t="n"/>
      <c r="P603" s="30" t="n">
        <v>373.2</v>
      </c>
      <c r="Q603" s="30" t="n">
        <v>484.5</v>
      </c>
      <c r="R603" s="3" t="n"/>
      <c r="S603" s="3" t="n"/>
      <c r="T603" s="3" t="n"/>
      <c r="U603" s="3" t="n"/>
      <c r="V603" s="30" t="n">
        <v>153.6</v>
      </c>
      <c r="W603" s="30" t="n">
        <v>167.1</v>
      </c>
      <c r="X603" s="3" t="n"/>
      <c r="Y603" s="4" t="inlineStr">
        <is>
          <t>INFO_10Q_Q3-FY2021 p35</t>
        </is>
      </c>
    </row>
    <row r="604">
      <c r="A604" s="38" t="inlineStr">
        <is>
          <t>Adjusted EBITDA - Resources</t>
        </is>
      </c>
      <c r="B604" s="3" t="n"/>
      <c r="C604" s="3" t="n"/>
      <c r="D604" s="3" t="n"/>
      <c r="E604" s="3" t="n"/>
      <c r="F604" s="3" t="n"/>
      <c r="G604" s="3" t="n"/>
      <c r="H604" s="3" t="n"/>
      <c r="I604" s="3" t="n"/>
      <c r="J604" s="3" t="n"/>
      <c r="K604" s="3" t="n"/>
      <c r="L604" s="3" t="n"/>
      <c r="M604" s="3" t="n"/>
      <c r="N604" s="3" t="n"/>
      <c r="O604" s="3" t="n"/>
      <c r="P604" s="30" t="n">
        <v>272.8</v>
      </c>
      <c r="Q604" s="30" t="n">
        <v>249.2</v>
      </c>
      <c r="R604" s="3" t="n"/>
      <c r="S604" s="3" t="n"/>
      <c r="T604" s="3" t="n"/>
      <c r="U604" s="3" t="n"/>
      <c r="V604" s="30" t="n">
        <v>86.40000000000001</v>
      </c>
      <c r="W604" s="30" t="n">
        <v>83.59999999999999</v>
      </c>
      <c r="X604" s="3" t="n"/>
      <c r="Y604" s="4" t="inlineStr">
        <is>
          <t>INFO_10Q_Q3-FY2021 p35</t>
        </is>
      </c>
    </row>
    <row r="605">
      <c r="A605" s="38" t="inlineStr">
        <is>
          <t>Adjusted EBITDA - CMS</t>
        </is>
      </c>
      <c r="B605" s="3" t="n"/>
      <c r="C605" s="3" t="n"/>
      <c r="D605" s="3" t="n"/>
      <c r="E605" s="3" t="n"/>
      <c r="F605" s="3" t="n"/>
      <c r="G605" s="3" t="n"/>
      <c r="H605" s="3" t="n"/>
      <c r="I605" s="3" t="n"/>
      <c r="J605" s="3" t="n"/>
      <c r="K605" s="3" t="n"/>
      <c r="L605" s="3" t="n"/>
      <c r="M605" s="3" t="n"/>
      <c r="N605" s="3" t="n"/>
      <c r="O605" s="3" t="n"/>
      <c r="P605" s="30" t="n">
        <v>95.40000000000001</v>
      </c>
      <c r="Q605" s="30" t="n">
        <v>92.3</v>
      </c>
      <c r="R605" s="3" t="n"/>
      <c r="S605" s="3" t="n"/>
      <c r="T605" s="3" t="n"/>
      <c r="U605" s="3" t="n"/>
      <c r="V605" s="30" t="n">
        <v>31</v>
      </c>
      <c r="W605" s="30" t="n">
        <v>37.5</v>
      </c>
      <c r="X605" s="3" t="n"/>
      <c r="Y605" s="4" t="inlineStr">
        <is>
          <t>INFO_10Q_Q3-FY2021 p35</t>
        </is>
      </c>
    </row>
    <row r="606">
      <c r="A606" s="38" t="inlineStr">
        <is>
          <t>Adjusted EBITDA - Shared services</t>
        </is>
      </c>
      <c r="B606" s="3" t="n"/>
      <c r="C606" s="3" t="n"/>
      <c r="D606" s="3" t="n"/>
      <c r="E606" s="3" t="n"/>
      <c r="F606" s="3" t="n"/>
      <c r="G606" s="3" t="n"/>
      <c r="H606" s="3" t="n"/>
      <c r="I606" s="3" t="n"/>
      <c r="J606" s="3" t="n"/>
      <c r="K606" s="3" t="n"/>
      <c r="L606" s="3" t="n"/>
      <c r="M606" s="3" t="n"/>
      <c r="N606" s="3" t="n"/>
      <c r="O606" s="3" t="n"/>
      <c r="P606" s="30" t="n">
        <v>-32.2</v>
      </c>
      <c r="Q606" s="30" t="n">
        <v>-37.6</v>
      </c>
      <c r="R606" s="3" t="n"/>
      <c r="S606" s="3" t="n"/>
      <c r="T606" s="3" t="n"/>
      <c r="U606" s="3" t="n"/>
      <c r="V606" s="30" t="n">
        <v>-10.7</v>
      </c>
      <c r="W606" s="30" t="n">
        <v>-13.3</v>
      </c>
      <c r="X606" s="3" t="n"/>
      <c r="Y606" s="4" t="inlineStr">
        <is>
          <t>INFO_10Q_Q3-FY2021 p35</t>
        </is>
      </c>
    </row>
    <row r="607">
      <c r="A607" s="39" t="inlineStr">
        <is>
          <t>Total Adjusted EBITDA</t>
        </is>
      </c>
      <c r="B607" s="3" t="n"/>
      <c r="C607" s="3" t="n"/>
      <c r="D607" s="3" t="n"/>
      <c r="E607" s="3" t="n"/>
      <c r="F607" s="3" t="n"/>
      <c r="G607" s="3" t="n"/>
      <c r="H607" s="3" t="n"/>
      <c r="I607" s="3" t="n"/>
      <c r="J607" s="3" t="n"/>
      <c r="K607" s="3" t="n"/>
      <c r="L607" s="3" t="n"/>
      <c r="M607" s="3" t="n"/>
      <c r="N607" s="3" t="n"/>
      <c r="O607" s="3" t="n"/>
      <c r="P607" s="18" t="n">
        <v>1371.8</v>
      </c>
      <c r="Q607" s="18" t="n">
        <v>1499.8</v>
      </c>
      <c r="R607" s="3" t="n"/>
      <c r="S607" s="3" t="n"/>
      <c r="T607" s="3" t="n"/>
      <c r="U607" s="3" t="n"/>
      <c r="V607" s="18" t="n">
        <v>486.2</v>
      </c>
      <c r="W607" s="18" t="n">
        <v>515.6</v>
      </c>
      <c r="X607" s="3" t="n"/>
      <c r="Y607" s="4" t="inlineStr">
        <is>
          <t>INFO_10Q_Q3-FY2021 p35</t>
        </is>
      </c>
    </row>
    <row r="608">
      <c r="A608" s="38" t="inlineStr">
        <is>
          <t>Acquisition-related performance compensation</t>
        </is>
      </c>
      <c r="B608" s="3" t="n"/>
      <c r="C608" s="3" t="n"/>
      <c r="D608" s="3" t="n"/>
      <c r="E608" s="3" t="n"/>
      <c r="F608" s="3" t="n"/>
      <c r="G608" s="3" t="n"/>
      <c r="H608" s="3" t="n"/>
      <c r="I608" s="3" t="n"/>
      <c r="J608" s="3" t="n"/>
      <c r="K608" s="3" t="n"/>
      <c r="L608" s="3" t="n"/>
      <c r="M608" s="3" t="n"/>
      <c r="N608" s="3" t="n"/>
      <c r="O608" s="3" t="n"/>
      <c r="P608" s="30" t="n">
        <v>-9.6</v>
      </c>
      <c r="Q608" s="30" t="n">
        <v>-11.5</v>
      </c>
      <c r="R608" s="3" t="n"/>
      <c r="S608" s="3" t="n"/>
      <c r="T608" s="3" t="n"/>
      <c r="U608" s="3" t="n"/>
      <c r="V608" s="30" t="n">
        <v>-4.9</v>
      </c>
      <c r="W608" s="30" t="n">
        <v>-3.7</v>
      </c>
      <c r="X608" s="3" t="n"/>
      <c r="Y608" s="4" t="inlineStr">
        <is>
          <t>INFO_10Q_Q3-FY2021 p35</t>
        </is>
      </c>
    </row>
    <row r="609">
      <c r="A609" s="38" t="inlineStr">
        <is>
          <t>Major customers</t>
        </is>
      </c>
      <c r="B609" s="3" t="n"/>
      <c r="C609" s="3" t="n"/>
      <c r="D609" s="3" t="n"/>
      <c r="E609" s="3" t="n"/>
      <c r="F609" s="3" t="n"/>
      <c r="G609" s="3" t="n"/>
      <c r="H609" s="3" t="n"/>
      <c r="I609" s="3" t="n"/>
      <c r="J609" s="3" t="n"/>
      <c r="K609" s="3" t="n"/>
      <c r="L609" s="3" t="n"/>
      <c r="M609" s="3" t="n"/>
      <c r="N609" s="3" t="n"/>
      <c r="O609" s="3" t="n"/>
      <c r="P609" s="3" t="n"/>
      <c r="Q609" s="42" t="inlineStr">
        <is>
          <t>No single customer accounted for 10 percent or more of total revenue for the three and nine months ended August 31, 2021 and August 31, 2020; no material inter-segment revenues.</t>
        </is>
      </c>
      <c r="R609" s="3" t="n"/>
      <c r="S609" s="3" t="n"/>
      <c r="T609" s="3" t="n"/>
      <c r="U609" s="3" t="n"/>
      <c r="V609" s="3" t="n"/>
      <c r="W609" s="3" t="n"/>
      <c r="X609" s="3" t="n"/>
      <c r="Y609" s="4" t="inlineStr">
        <is>
          <t>INFO_10Q_Q3-FY2021 p33</t>
        </is>
      </c>
    </row>
    <row r="610">
      <c r="A610" s="14" t="inlineStr">
        <is>
          <t>INFO_10Q_Q3-FY2021 · MD&amp;A Revenue by Segment</t>
        </is>
      </c>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row>
    <row r="611">
      <c r="A611" s="38" t="inlineStr">
        <is>
          <t>Transportation</t>
        </is>
      </c>
      <c r="B611" s="3" t="n"/>
      <c r="C611" s="3" t="n"/>
      <c r="D611" s="3" t="n"/>
      <c r="E611" s="3" t="n"/>
      <c r="F611" s="3" t="n"/>
      <c r="G611" s="3" t="n"/>
      <c r="H611" s="3" t="n"/>
      <c r="I611" s="3" t="n"/>
      <c r="J611" s="3" t="n"/>
      <c r="K611" s="3" t="n"/>
      <c r="L611" s="3" t="n"/>
      <c r="M611" s="3" t="n"/>
      <c r="N611" s="3" t="n"/>
      <c r="O611" s="3" t="n"/>
      <c r="P611" s="30" t="n">
        <v>839.3</v>
      </c>
      <c r="Q611" s="30" t="n">
        <v>1003.2</v>
      </c>
      <c r="R611" s="3" t="n"/>
      <c r="S611" s="3" t="n"/>
      <c r="T611" s="3" t="n"/>
      <c r="U611" s="3" t="n"/>
      <c r="V611" s="30" t="n">
        <v>298.9</v>
      </c>
      <c r="W611" s="30" t="n">
        <v>347.4</v>
      </c>
      <c r="X611" s="3" t="n"/>
      <c r="Y611" s="4" t="inlineStr">
        <is>
          <t>INFO_10Q_Q3-FY2021 p42</t>
        </is>
      </c>
    </row>
    <row r="612">
      <c r="A612" s="38" t="inlineStr">
        <is>
          <t>Transportation Percentage Change</t>
        </is>
      </c>
      <c r="B612" s="3" t="n"/>
      <c r="C612" s="3" t="n"/>
      <c r="D612" s="3" t="n"/>
      <c r="E612" s="3" t="n"/>
      <c r="F612" s="3" t="n"/>
      <c r="G612" s="3" t="n"/>
      <c r="H612" s="3" t="n"/>
      <c r="I612" s="3" t="n"/>
      <c r="J612" s="3" t="n"/>
      <c r="K612" s="3" t="n"/>
      <c r="L612" s="3" t="n"/>
      <c r="M612" s="3" t="n"/>
      <c r="N612" s="3" t="n"/>
      <c r="O612" s="3" t="n"/>
      <c r="P612" s="3" t="n"/>
      <c r="Q612" s="41" t="n">
        <v>20</v>
      </c>
      <c r="R612" s="3" t="n"/>
      <c r="S612" s="3" t="n"/>
      <c r="T612" s="3" t="n"/>
      <c r="U612" s="3" t="n"/>
      <c r="V612" s="3" t="n"/>
      <c r="W612" s="41" t="n">
        <v>16</v>
      </c>
      <c r="X612" s="3" t="n"/>
      <c r="Y612" s="4" t="inlineStr">
        <is>
          <t>INFO_10Q_Q3-FY2021 p42</t>
        </is>
      </c>
    </row>
    <row r="613">
      <c r="A613" s="39" t="inlineStr">
        <is>
          <t>Total revenue (IHS Markit consolidated)</t>
        </is>
      </c>
      <c r="B613" s="3" t="n"/>
      <c r="C613" s="3" t="n"/>
      <c r="D613" s="3" t="n"/>
      <c r="E613" s="3" t="n"/>
      <c r="F613" s="3" t="n"/>
      <c r="G613" s="3" t="n"/>
      <c r="H613" s="3" t="n"/>
      <c r="I613" s="3" t="n"/>
      <c r="J613" s="3" t="n"/>
      <c r="K613" s="3" t="n"/>
      <c r="L613" s="3" t="n"/>
      <c r="M613" s="3" t="n"/>
      <c r="N613" s="3" t="n"/>
      <c r="O613" s="3" t="n"/>
      <c r="P613" s="18" t="n">
        <v>3180.6</v>
      </c>
      <c r="Q613" s="18" t="n">
        <v>3481.8</v>
      </c>
      <c r="R613" s="3" t="n"/>
      <c r="S613" s="3" t="n"/>
      <c r="T613" s="3" t="n"/>
      <c r="U613" s="3" t="n"/>
      <c r="V613" s="18" t="n">
        <v>1073.2</v>
      </c>
      <c r="W613" s="18" t="n">
        <v>1180.5</v>
      </c>
      <c r="X613" s="3" t="n"/>
      <c r="Y613" s="4" t="inlineStr">
        <is>
          <t>INFO_10Q_Q3-FY2021 p42</t>
        </is>
      </c>
    </row>
    <row r="614">
      <c r="A614" s="14" t="inlineStr">
        <is>
          <t>INFO_10Q_Q3-FY2021 · MD&amp;A Change in revenue by segment (percentage points)</t>
        </is>
      </c>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row>
    <row r="615">
      <c r="A615" s="38" t="inlineStr">
        <is>
          <t>Transportation - Organic</t>
        </is>
      </c>
      <c r="B615" s="3" t="n"/>
      <c r="C615" s="3" t="n"/>
      <c r="D615" s="3" t="n"/>
      <c r="E615" s="3" t="n"/>
      <c r="F615" s="3" t="n"/>
      <c r="G615" s="3" t="n"/>
      <c r="H615" s="3" t="n"/>
      <c r="I615" s="3" t="n"/>
      <c r="J615" s="3" t="n"/>
      <c r="K615" s="3" t="n"/>
      <c r="L615" s="3" t="n"/>
      <c r="M615" s="3" t="n"/>
      <c r="N615" s="3" t="n"/>
      <c r="O615" s="3" t="n"/>
      <c r="P615" s="3" t="n"/>
      <c r="Q615" s="41" t="n">
        <v>18</v>
      </c>
      <c r="R615" s="3" t="n"/>
      <c r="S615" s="3" t="n"/>
      <c r="T615" s="3" t="n"/>
      <c r="U615" s="3" t="n"/>
      <c r="V615" s="3" t="n"/>
      <c r="W615" s="41" t="n">
        <v>15</v>
      </c>
      <c r="X615" s="3" t="n"/>
      <c r="Y615" s="4" t="inlineStr">
        <is>
          <t>INFO_10Q_Q3-FY2021 p42</t>
        </is>
      </c>
    </row>
    <row r="616">
      <c r="A616" s="38" t="inlineStr">
        <is>
          <t>Transportation - Acquisitive</t>
        </is>
      </c>
      <c r="B616" s="3" t="n"/>
      <c r="C616" s="3" t="n"/>
      <c r="D616" s="3" t="n"/>
      <c r="E616" s="3" t="n"/>
      <c r="F616" s="3" t="n"/>
      <c r="G616" s="3" t="n"/>
      <c r="H616" s="3" t="n"/>
      <c r="I616" s="3" t="n"/>
      <c r="J616" s="3" t="n"/>
      <c r="K616" s="3" t="n"/>
      <c r="L616" s="3" t="n"/>
      <c r="M616" s="3" t="n"/>
      <c r="N616" s="3" t="n"/>
      <c r="O616" s="3" t="n"/>
      <c r="P616" s="3" t="n"/>
      <c r="Q616" s="41" t="n">
        <v>0</v>
      </c>
      <c r="R616" s="3" t="n"/>
      <c r="S616" s="3" t="n"/>
      <c r="T616" s="3" t="n"/>
      <c r="U616" s="3" t="n"/>
      <c r="V616" s="3" t="n"/>
      <c r="W616" s="41" t="n">
        <v>0</v>
      </c>
      <c r="X616" s="3" t="n"/>
      <c r="Y616" s="4" t="inlineStr">
        <is>
          <t>INFO_10Q_Q3-FY2021 p42</t>
        </is>
      </c>
    </row>
    <row r="617">
      <c r="A617" s="38" t="inlineStr">
        <is>
          <t>Transportation - Foreign Currency</t>
        </is>
      </c>
      <c r="B617" s="3" t="n"/>
      <c r="C617" s="3" t="n"/>
      <c r="D617" s="3" t="n"/>
      <c r="E617" s="3" t="n"/>
      <c r="F617" s="3" t="n"/>
      <c r="G617" s="3" t="n"/>
      <c r="H617" s="3" t="n"/>
      <c r="I617" s="3" t="n"/>
      <c r="J617" s="3" t="n"/>
      <c r="K617" s="3" t="n"/>
      <c r="L617" s="3" t="n"/>
      <c r="M617" s="3" t="n"/>
      <c r="N617" s="3" t="n"/>
      <c r="O617" s="3" t="n"/>
      <c r="P617" s="3" t="n"/>
      <c r="Q617" s="41" t="n">
        <v>2</v>
      </c>
      <c r="R617" s="3" t="n"/>
      <c r="S617" s="3" t="n"/>
      <c r="T617" s="3" t="n"/>
      <c r="U617" s="3" t="n"/>
      <c r="V617" s="3" t="n"/>
      <c r="W617" s="41" t="n">
        <v>1</v>
      </c>
      <c r="X617" s="3" t="n"/>
      <c r="Y617" s="4" t="inlineStr">
        <is>
          <t>INFO_10Q_Q3-FY2021 p42</t>
        </is>
      </c>
    </row>
    <row r="618">
      <c r="A618" s="14" t="inlineStr">
        <is>
          <t>INFO_10Q_Q3-FY2021 · MD&amp;A Change in Total Revenue (consolidated, percentage points)</t>
        </is>
      </c>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row>
    <row r="619">
      <c r="A619" s="38" t="inlineStr">
        <is>
          <t>Organic</t>
        </is>
      </c>
      <c r="B619" s="3" t="n"/>
      <c r="C619" s="3" t="n"/>
      <c r="D619" s="3" t="n"/>
      <c r="E619" s="3" t="n"/>
      <c r="F619" s="3" t="n"/>
      <c r="G619" s="3" t="n"/>
      <c r="H619" s="3" t="n"/>
      <c r="I619" s="3" t="n"/>
      <c r="J619" s="3" t="n"/>
      <c r="K619" s="3" t="n"/>
      <c r="L619" s="3" t="n"/>
      <c r="M619" s="3" t="n"/>
      <c r="N619" s="3" t="n"/>
      <c r="O619" s="3" t="n"/>
      <c r="P619" s="3" t="n"/>
      <c r="Q619" s="41" t="n">
        <v>8</v>
      </c>
      <c r="R619" s="3" t="n"/>
      <c r="S619" s="3" t="n"/>
      <c r="T619" s="3" t="n"/>
      <c r="U619" s="3" t="n"/>
      <c r="V619" s="3" t="n"/>
      <c r="W619" s="41" t="n">
        <v>9</v>
      </c>
      <c r="X619" s="3" t="n"/>
      <c r="Y619" s="4" t="inlineStr">
        <is>
          <t>INFO_10Q_Q3-FY2021 p42</t>
        </is>
      </c>
    </row>
    <row r="620">
      <c r="A620" s="38" t="inlineStr">
        <is>
          <t>Acquisitive</t>
        </is>
      </c>
      <c r="B620" s="3" t="n"/>
      <c r="C620" s="3" t="n"/>
      <c r="D620" s="3" t="n"/>
      <c r="E620" s="3" t="n"/>
      <c r="F620" s="3" t="n"/>
      <c r="G620" s="3" t="n"/>
      <c r="H620" s="3" t="n"/>
      <c r="I620" s="3" t="n"/>
      <c r="J620" s="3" t="n"/>
      <c r="K620" s="3" t="n"/>
      <c r="L620" s="3" t="n"/>
      <c r="M620" s="3" t="n"/>
      <c r="N620" s="3" t="n"/>
      <c r="O620" s="3" t="n"/>
      <c r="P620" s="3" t="n"/>
      <c r="Q620" s="41" t="n">
        <v>0</v>
      </c>
      <c r="R620" s="3" t="n"/>
      <c r="S620" s="3" t="n"/>
      <c r="T620" s="3" t="n"/>
      <c r="U620" s="3" t="n"/>
      <c r="V620" s="3" t="n"/>
      <c r="W620" s="41" t="n">
        <v>0</v>
      </c>
      <c r="X620" s="3" t="n"/>
      <c r="Y620" s="4" t="inlineStr">
        <is>
          <t>INFO_10Q_Q3-FY2021 p42</t>
        </is>
      </c>
    </row>
    <row r="621">
      <c r="A621" s="38" t="inlineStr">
        <is>
          <t>Foreign Currency</t>
        </is>
      </c>
      <c r="B621" s="3" t="n"/>
      <c r="C621" s="3" t="n"/>
      <c r="D621" s="3" t="n"/>
      <c r="E621" s="3" t="n"/>
      <c r="F621" s="3" t="n"/>
      <c r="G621" s="3" t="n"/>
      <c r="H621" s="3" t="n"/>
      <c r="I621" s="3" t="n"/>
      <c r="J621" s="3" t="n"/>
      <c r="K621" s="3" t="n"/>
      <c r="L621" s="3" t="n"/>
      <c r="M621" s="3" t="n"/>
      <c r="N621" s="3" t="n"/>
      <c r="O621" s="3" t="n"/>
      <c r="P621" s="3" t="n"/>
      <c r="Q621" s="41" t="n">
        <v>1</v>
      </c>
      <c r="R621" s="3" t="n"/>
      <c r="S621" s="3" t="n"/>
      <c r="T621" s="3" t="n"/>
      <c r="U621" s="3" t="n"/>
      <c r="V621" s="3" t="n"/>
      <c r="W621" s="41" t="n">
        <v>1</v>
      </c>
      <c r="X621" s="3" t="n"/>
      <c r="Y621" s="4" t="inlineStr">
        <is>
          <t>INFO_10Q_Q3-FY2021 p42</t>
        </is>
      </c>
    </row>
    <row r="622">
      <c r="A622" s="14" t="inlineStr">
        <is>
          <t>INFO_10Q_Q3-FY2021 · MD&amp;A Revenue by Segment (narrative)</t>
        </is>
      </c>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row>
    <row r="623">
      <c r="A623" s="38" t="inlineStr">
        <is>
          <t>Transportation narrative</t>
        </is>
      </c>
      <c r="B623" s="3" t="n"/>
      <c r="C623" s="3" t="n"/>
      <c r="D623" s="3" t="n"/>
      <c r="E623" s="3" t="n"/>
      <c r="F623" s="3" t="n"/>
      <c r="G623" s="3" t="n"/>
      <c r="H623" s="3" t="n"/>
      <c r="I623" s="3" t="n"/>
      <c r="J623" s="3" t="n"/>
      <c r="K623" s="3" t="n"/>
      <c r="L623" s="3" t="n"/>
      <c r="M623" s="3" t="n"/>
      <c r="N623" s="3" t="n"/>
      <c r="O623" s="3" t="n"/>
      <c r="P623" s="3" t="n"/>
      <c r="Q623" s="42" t="inlineStr">
        <is>
          <t>Very strong organic growth in Q3 and YTD; dealer-facing automotive (CARFAX, automotiveMastermind) grew strongly building back from 2020 pandemic effects; OEM, parts manufacturer, banking and insurance offerings contributed organic growth at a more stable pace; automotive is the largest contributor to segment revenue.</t>
        </is>
      </c>
      <c r="R623" s="3" t="n"/>
      <c r="S623" s="3" t="n"/>
      <c r="T623" s="3" t="n"/>
      <c r="U623" s="3" t="n"/>
      <c r="V623" s="3" t="n"/>
      <c r="W623" s="3" t="n"/>
      <c r="X623" s="3" t="n"/>
      <c r="Y623" s="4" t="inlineStr">
        <is>
          <t>INFO_10Q_Q3-FY2021 p42</t>
        </is>
      </c>
    </row>
    <row r="624">
      <c r="A624" s="14" t="inlineStr">
        <is>
          <t>INFO_10Q_Q3-FY2021 · MD&amp;A Revenue by Transaction Type (narrative)</t>
        </is>
      </c>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row>
    <row r="625">
      <c r="A625" s="38" t="inlineStr">
        <is>
          <t>Transportation reference in transaction-type narrative</t>
        </is>
      </c>
      <c r="B625" s="3" t="n"/>
      <c r="C625" s="3" t="n"/>
      <c r="D625" s="3" t="n"/>
      <c r="E625" s="3" t="n"/>
      <c r="F625" s="3" t="n"/>
      <c r="G625" s="3" t="n"/>
      <c r="H625" s="3" t="n"/>
      <c r="I625" s="3" t="n"/>
      <c r="J625" s="3" t="n"/>
      <c r="K625" s="3" t="n"/>
      <c r="L625" s="3" t="n"/>
      <c r="M625" s="3" t="n"/>
      <c r="N625" s="3" t="n"/>
      <c r="O625" s="3" t="n"/>
      <c r="P625" s="3" t="n"/>
      <c r="Q625" s="42" t="inlineStr">
        <is>
          <t>Recurring fixed organic growth (7% Q3, 6% YTD) largely due to Transportation and Financial Services recurring offerings; non-recurring increase driven partly by more normal activity in Transportation offerings. No Transportation recurring/non-recurring $ split printed in the 10-Q.</t>
        </is>
      </c>
      <c r="R625" s="3" t="n"/>
      <c r="S625" s="3" t="n"/>
      <c r="T625" s="3" t="n"/>
      <c r="U625" s="3" t="n"/>
      <c r="V625" s="3" t="n"/>
      <c r="W625" s="3" t="n"/>
      <c r="X625" s="3" t="n"/>
      <c r="Y625" s="4" t="inlineStr">
        <is>
          <t>INFO_10Q_Q3-FY2021 p44</t>
        </is>
      </c>
    </row>
    <row r="626">
      <c r="A626" s="14" t="inlineStr">
        <is>
          <t>INFO_10Q_Q3-FY2021 · MD&amp;A Segment Adjusted EBITDA</t>
        </is>
      </c>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row>
    <row r="627">
      <c r="A627" s="38" t="inlineStr">
        <is>
          <t>Transportation Adjusted EBITDA</t>
        </is>
      </c>
      <c r="B627" s="3" t="n"/>
      <c r="C627" s="3" t="n"/>
      <c r="D627" s="3" t="n"/>
      <c r="E627" s="3" t="n"/>
      <c r="F627" s="3" t="n"/>
      <c r="G627" s="3" t="n"/>
      <c r="H627" s="3" t="n"/>
      <c r="I627" s="3" t="n"/>
      <c r="J627" s="3" t="n"/>
      <c r="K627" s="3" t="n"/>
      <c r="L627" s="3" t="n"/>
      <c r="M627" s="3" t="n"/>
      <c r="N627" s="3" t="n"/>
      <c r="O627" s="3" t="n"/>
      <c r="P627" s="30" t="n">
        <v>373.2</v>
      </c>
      <c r="Q627" s="30" t="n">
        <v>484.5</v>
      </c>
      <c r="R627" s="3" t="n"/>
      <c r="S627" s="3" t="n"/>
      <c r="T627" s="3" t="n"/>
      <c r="U627" s="3" t="n"/>
      <c r="V627" s="30" t="n">
        <v>153.6</v>
      </c>
      <c r="W627" s="30" t="n">
        <v>167.1</v>
      </c>
      <c r="X627" s="3" t="n"/>
      <c r="Y627" s="4" t="inlineStr">
        <is>
          <t>INFO_10Q_Q3-FY2021 p47</t>
        </is>
      </c>
    </row>
    <row r="628">
      <c r="A628" s="38" t="inlineStr">
        <is>
          <t>Transportation Adjusted EBITDA Percentage Change</t>
        </is>
      </c>
      <c r="B628" s="3" t="n"/>
      <c r="C628" s="3" t="n"/>
      <c r="D628" s="3" t="n"/>
      <c r="E628" s="3" t="n"/>
      <c r="F628" s="3" t="n"/>
      <c r="G628" s="3" t="n"/>
      <c r="H628" s="3" t="n"/>
      <c r="I628" s="3" t="n"/>
      <c r="J628" s="3" t="n"/>
      <c r="K628" s="3" t="n"/>
      <c r="L628" s="3" t="n"/>
      <c r="M628" s="3" t="n"/>
      <c r="N628" s="3" t="n"/>
      <c r="O628" s="3" t="n"/>
      <c r="P628" s="3" t="n"/>
      <c r="Q628" s="41" t="n">
        <v>30</v>
      </c>
      <c r="R628" s="3" t="n"/>
      <c r="S628" s="3" t="n"/>
      <c r="T628" s="3" t="n"/>
      <c r="U628" s="3" t="n"/>
      <c r="V628" s="3" t="n"/>
      <c r="W628" s="41" t="n">
        <v>9</v>
      </c>
      <c r="X628" s="3" t="n"/>
      <c r="Y628" s="4" t="inlineStr">
        <is>
          <t>INFO_10Q_Q3-FY2021 p47</t>
        </is>
      </c>
    </row>
    <row r="629">
      <c r="A629" s="38" t="inlineStr">
        <is>
          <t>Transportation Adjusted EBITDA as a percent of segment revenue (whole %)</t>
        </is>
      </c>
      <c r="B629" s="3" t="n"/>
      <c r="C629" s="3" t="n"/>
      <c r="D629" s="3" t="n"/>
      <c r="E629" s="3" t="n"/>
      <c r="F629" s="3" t="n"/>
      <c r="G629" s="3" t="n"/>
      <c r="H629" s="3" t="n"/>
      <c r="I629" s="3" t="n"/>
      <c r="J629" s="3" t="n"/>
      <c r="K629" s="3" t="n"/>
      <c r="L629" s="3" t="n"/>
      <c r="M629" s="3" t="n"/>
      <c r="N629" s="3" t="n"/>
      <c r="O629" s="3" t="n"/>
      <c r="P629" s="41" t="n">
        <v>44</v>
      </c>
      <c r="Q629" s="41" t="n">
        <v>48</v>
      </c>
      <c r="R629" s="3" t="n"/>
      <c r="S629" s="3" t="n"/>
      <c r="T629" s="3" t="n"/>
      <c r="U629" s="3" t="n"/>
      <c r="V629" s="41" t="n">
        <v>51</v>
      </c>
      <c r="W629" s="41" t="n">
        <v>48</v>
      </c>
      <c r="X629" s="3" t="n"/>
      <c r="Y629" s="4" t="inlineStr">
        <is>
          <t>INFO_10Q_Q3-FY2021 p47</t>
        </is>
      </c>
    </row>
    <row r="630">
      <c r="A630" s="39" t="inlineStr">
        <is>
          <t>Total Adjusted EBITDA</t>
        </is>
      </c>
      <c r="B630" s="3" t="n"/>
      <c r="C630" s="3" t="n"/>
      <c r="D630" s="3" t="n"/>
      <c r="E630" s="3" t="n"/>
      <c r="F630" s="3" t="n"/>
      <c r="G630" s="3" t="n"/>
      <c r="H630" s="3" t="n"/>
      <c r="I630" s="3" t="n"/>
      <c r="J630" s="3" t="n"/>
      <c r="K630" s="3" t="n"/>
      <c r="L630" s="3" t="n"/>
      <c r="M630" s="3" t="n"/>
      <c r="N630" s="3" t="n"/>
      <c r="O630" s="3" t="n"/>
      <c r="P630" s="18" t="n">
        <v>1371.8</v>
      </c>
      <c r="Q630" s="18" t="n">
        <v>1499.8</v>
      </c>
      <c r="R630" s="3" t="n"/>
      <c r="S630" s="3" t="n"/>
      <c r="T630" s="3" t="n"/>
      <c r="U630" s="3" t="n"/>
      <c r="V630" s="18" t="n">
        <v>486.2</v>
      </c>
      <c r="W630" s="18" t="n">
        <v>515.6</v>
      </c>
      <c r="X630" s="3" t="n"/>
      <c r="Y630" s="4" t="inlineStr">
        <is>
          <t>INFO_10Q_Q3-FY2021 p47</t>
        </is>
      </c>
    </row>
    <row r="631">
      <c r="A631" s="14" t="inlineStr">
        <is>
          <t>INFO_10Q_Q3-FY2021 · MD&amp;A Segment Adjusted EBITDA (narrative)</t>
        </is>
      </c>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row>
    <row r="632">
      <c r="A632" s="38" t="inlineStr">
        <is>
          <t>Transportation Adjusted EBITDA narrative</t>
        </is>
      </c>
      <c r="B632" s="3" t="n"/>
      <c r="C632" s="3" t="n"/>
      <c r="D632" s="3" t="n"/>
      <c r="E632" s="3" t="n"/>
      <c r="F632" s="3" t="n"/>
      <c r="G632" s="3" t="n"/>
      <c r="H632" s="3" t="n"/>
      <c r="I632" s="3" t="n"/>
      <c r="J632" s="3" t="n"/>
      <c r="K632" s="3" t="n"/>
      <c r="L632" s="3" t="n"/>
      <c r="M632" s="3" t="n"/>
      <c r="N632" s="3" t="n"/>
      <c r="O632" s="3" t="n"/>
      <c r="P632" s="3" t="n"/>
      <c r="Q632" s="42" t="inlineStr">
        <is>
          <t>Increase primarily due to organic revenue growth, which improved substantially versus the prior year when it was negatively impacted by the pandemic; all segment margins impacted as temporary cost containment measures ended.</t>
        </is>
      </c>
      <c r="R632" s="3" t="n"/>
      <c r="S632" s="3" t="n"/>
      <c r="T632" s="3" t="n"/>
      <c r="U632" s="3" t="n"/>
      <c r="V632" s="3" t="n"/>
      <c r="W632" s="3" t="n"/>
      <c r="X632" s="3" t="n"/>
      <c r="Y632" s="4" t="inlineStr">
        <is>
          <t>INFO_10Q_Q3-FY2021 p47</t>
        </is>
      </c>
    </row>
    <row r="633">
      <c r="A633" s="14" t="inlineStr">
        <is>
          <t>INFO_10Q_Q3-FY2021 · Revenue by transaction type (consolidated) - Note 3 / MD&amp;A</t>
        </is>
      </c>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row>
    <row r="634">
      <c r="A634" s="38" t="inlineStr">
        <is>
          <t>Recurring fixed revenue</t>
        </is>
      </c>
      <c r="B634" s="3" t="n"/>
      <c r="C634" s="3" t="n"/>
      <c r="D634" s="3" t="n"/>
      <c r="E634" s="3" t="n"/>
      <c r="F634" s="3" t="n"/>
      <c r="G634" s="3" t="n"/>
      <c r="H634" s="3" t="n"/>
      <c r="I634" s="3" t="n"/>
      <c r="J634" s="3" t="n"/>
      <c r="K634" s="3" t="n"/>
      <c r="L634" s="3" t="n"/>
      <c r="M634" s="3" t="n"/>
      <c r="N634" s="3" t="n"/>
      <c r="O634" s="3" t="n"/>
      <c r="P634" s="30" t="n">
        <v>2355.5</v>
      </c>
      <c r="Q634" s="30" t="n">
        <v>2521.6</v>
      </c>
      <c r="R634" s="3" t="n"/>
      <c r="S634" s="3" t="n"/>
      <c r="T634" s="3" t="n"/>
      <c r="U634" s="3" t="n"/>
      <c r="V634" s="30" t="n">
        <v>796.2</v>
      </c>
      <c r="W634" s="30" t="n">
        <v>860</v>
      </c>
      <c r="X634" s="3" t="n"/>
      <c r="Y634" s="4" t="inlineStr">
        <is>
          <t>INFO_10Q_Q3-FY2021 p18</t>
        </is>
      </c>
    </row>
    <row r="635">
      <c r="A635" s="38" t="inlineStr">
        <is>
          <t>Recurring variable revenue</t>
        </is>
      </c>
      <c r="B635" s="3" t="n"/>
      <c r="C635" s="3" t="n"/>
      <c r="D635" s="3" t="n"/>
      <c r="E635" s="3" t="n"/>
      <c r="F635" s="3" t="n"/>
      <c r="G635" s="3" t="n"/>
      <c r="H635" s="3" t="n"/>
      <c r="I635" s="3" t="n"/>
      <c r="J635" s="3" t="n"/>
      <c r="K635" s="3" t="n"/>
      <c r="L635" s="3" t="n"/>
      <c r="M635" s="3" t="n"/>
      <c r="N635" s="3" t="n"/>
      <c r="O635" s="3" t="n"/>
      <c r="P635" s="30" t="n">
        <v>457.8</v>
      </c>
      <c r="Q635" s="30" t="n">
        <v>525.5</v>
      </c>
      <c r="R635" s="3" t="n"/>
      <c r="S635" s="3" t="n"/>
      <c r="T635" s="3" t="n"/>
      <c r="U635" s="3" t="n"/>
      <c r="V635" s="30" t="n">
        <v>153</v>
      </c>
      <c r="W635" s="30" t="n">
        <v>170</v>
      </c>
      <c r="X635" s="3" t="n"/>
      <c r="Y635" s="4" t="inlineStr">
        <is>
          <t>INFO_10Q_Q3-FY2021 p18</t>
        </is>
      </c>
    </row>
    <row r="636">
      <c r="A636" s="38" t="inlineStr">
        <is>
          <t>Non-recurring revenue</t>
        </is>
      </c>
      <c r="B636" s="3" t="n"/>
      <c r="C636" s="3" t="n"/>
      <c r="D636" s="3" t="n"/>
      <c r="E636" s="3" t="n"/>
      <c r="F636" s="3" t="n"/>
      <c r="G636" s="3" t="n"/>
      <c r="H636" s="3" t="n"/>
      <c r="I636" s="3" t="n"/>
      <c r="J636" s="3" t="n"/>
      <c r="K636" s="3" t="n"/>
      <c r="L636" s="3" t="n"/>
      <c r="M636" s="3" t="n"/>
      <c r="N636" s="3" t="n"/>
      <c r="O636" s="3" t="n"/>
      <c r="P636" s="30" t="n">
        <v>367.3</v>
      </c>
      <c r="Q636" s="30" t="n">
        <v>434.7</v>
      </c>
      <c r="R636" s="3" t="n"/>
      <c r="S636" s="3" t="n"/>
      <c r="T636" s="3" t="n"/>
      <c r="U636" s="3" t="n"/>
      <c r="V636" s="30" t="n">
        <v>124</v>
      </c>
      <c r="W636" s="30" t="n">
        <v>150.5</v>
      </c>
      <c r="X636" s="3" t="n"/>
      <c r="Y636" s="4" t="inlineStr">
        <is>
          <t>INFO_10Q_Q3-FY2021 p18</t>
        </is>
      </c>
    </row>
    <row r="637">
      <c r="A637" s="39" t="inlineStr">
        <is>
          <t>Total revenue</t>
        </is>
      </c>
      <c r="B637" s="3" t="n"/>
      <c r="C637" s="3" t="n"/>
      <c r="D637" s="3" t="n"/>
      <c r="E637" s="3" t="n"/>
      <c r="F637" s="3" t="n"/>
      <c r="G637" s="3" t="n"/>
      <c r="H637" s="3" t="n"/>
      <c r="I637" s="3" t="n"/>
      <c r="J637" s="3" t="n"/>
      <c r="K637" s="3" t="n"/>
      <c r="L637" s="3" t="n"/>
      <c r="M637" s="3" t="n"/>
      <c r="N637" s="3" t="n"/>
      <c r="O637" s="3" t="n"/>
      <c r="P637" s="18" t="n">
        <v>3180.6</v>
      </c>
      <c r="Q637" s="18" t="n">
        <v>3481.8</v>
      </c>
      <c r="R637" s="3" t="n"/>
      <c r="S637" s="3" t="n"/>
      <c r="T637" s="3" t="n"/>
      <c r="U637" s="3" t="n"/>
      <c r="V637" s="18" t="n">
        <v>1073.2</v>
      </c>
      <c r="W637" s="18" t="n">
        <v>1180.5</v>
      </c>
      <c r="X637" s="3" t="n"/>
      <c r="Y637" s="4" t="inlineStr">
        <is>
          <t>INFO_10Q_Q3-FY2021 p18</t>
        </is>
      </c>
    </row>
    <row r="638">
      <c r="A638" s="14" t="inlineStr">
        <is>
          <t>INFO_10Q_Q3-FY2021 · MD&amp;A Revenue by Transaction Type (consolidated) - percentage change</t>
        </is>
      </c>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row>
    <row r="639">
      <c r="A639" s="38" t="inlineStr">
        <is>
          <t>Recurring fixed - Total</t>
        </is>
      </c>
      <c r="B639" s="3" t="n"/>
      <c r="C639" s="3" t="n"/>
      <c r="D639" s="3" t="n"/>
      <c r="E639" s="3" t="n"/>
      <c r="F639" s="3" t="n"/>
      <c r="G639" s="3" t="n"/>
      <c r="H639" s="3" t="n"/>
      <c r="I639" s="3" t="n"/>
      <c r="J639" s="3" t="n"/>
      <c r="K639" s="3" t="n"/>
      <c r="L639" s="3" t="n"/>
      <c r="M639" s="3" t="n"/>
      <c r="N639" s="3" t="n"/>
      <c r="O639" s="3" t="n"/>
      <c r="P639" s="3" t="n"/>
      <c r="Q639" s="41" t="n">
        <v>7</v>
      </c>
      <c r="R639" s="3" t="n"/>
      <c r="S639" s="3" t="n"/>
      <c r="T639" s="3" t="n"/>
      <c r="U639" s="3" t="n"/>
      <c r="V639" s="3" t="n"/>
      <c r="W639" s="41" t="n">
        <v>8</v>
      </c>
      <c r="X639" s="3" t="n"/>
      <c r="Y639" s="4" t="inlineStr">
        <is>
          <t>INFO_10Q_Q3-FY2021 p44</t>
        </is>
      </c>
    </row>
    <row r="640">
      <c r="A640" s="38" t="inlineStr">
        <is>
          <t>Recurring fixed - Organic</t>
        </is>
      </c>
      <c r="B640" s="3" t="n"/>
      <c r="C640" s="3" t="n"/>
      <c r="D640" s="3" t="n"/>
      <c r="E640" s="3" t="n"/>
      <c r="F640" s="3" t="n"/>
      <c r="G640" s="3" t="n"/>
      <c r="H640" s="3" t="n"/>
      <c r="I640" s="3" t="n"/>
      <c r="J640" s="3" t="n"/>
      <c r="K640" s="3" t="n"/>
      <c r="L640" s="3" t="n"/>
      <c r="M640" s="3" t="n"/>
      <c r="N640" s="3" t="n"/>
      <c r="O640" s="3" t="n"/>
      <c r="P640" s="3" t="n"/>
      <c r="Q640" s="41" t="n">
        <v>6</v>
      </c>
      <c r="R640" s="3" t="n"/>
      <c r="S640" s="3" t="n"/>
      <c r="T640" s="3" t="n"/>
      <c r="U640" s="3" t="n"/>
      <c r="V640" s="3" t="n"/>
      <c r="W640" s="41" t="n">
        <v>7</v>
      </c>
      <c r="X640" s="3" t="n"/>
      <c r="Y640" s="4" t="inlineStr">
        <is>
          <t>INFO_10Q_Q3-FY2021 p44</t>
        </is>
      </c>
    </row>
    <row r="641">
      <c r="A641" s="38" t="inlineStr">
        <is>
          <t>Recurring variable - Total</t>
        </is>
      </c>
      <c r="B641" s="3" t="n"/>
      <c r="C641" s="3" t="n"/>
      <c r="D641" s="3" t="n"/>
      <c r="E641" s="3" t="n"/>
      <c r="F641" s="3" t="n"/>
      <c r="G641" s="3" t="n"/>
      <c r="H641" s="3" t="n"/>
      <c r="I641" s="3" t="n"/>
      <c r="J641" s="3" t="n"/>
      <c r="K641" s="3" t="n"/>
      <c r="L641" s="3" t="n"/>
      <c r="M641" s="3" t="n"/>
      <c r="N641" s="3" t="n"/>
      <c r="O641" s="3" t="n"/>
      <c r="P641" s="3" t="n"/>
      <c r="Q641" s="41" t="n">
        <v>15</v>
      </c>
      <c r="R641" s="3" t="n"/>
      <c r="S641" s="3" t="n"/>
      <c r="T641" s="3" t="n"/>
      <c r="U641" s="3" t="n"/>
      <c r="V641" s="3" t="n"/>
      <c r="W641" s="41" t="n">
        <v>11</v>
      </c>
      <c r="X641" s="3" t="n"/>
      <c r="Y641" s="4" t="inlineStr">
        <is>
          <t>INFO_10Q_Q3-FY2021 p44</t>
        </is>
      </c>
    </row>
    <row r="642">
      <c r="A642" s="38" t="inlineStr">
        <is>
          <t>Recurring variable - Organic</t>
        </is>
      </c>
      <c r="B642" s="3" t="n"/>
      <c r="C642" s="3" t="n"/>
      <c r="D642" s="3" t="n"/>
      <c r="E642" s="3" t="n"/>
      <c r="F642" s="3" t="n"/>
      <c r="G642" s="3" t="n"/>
      <c r="H642" s="3" t="n"/>
      <c r="I642" s="3" t="n"/>
      <c r="J642" s="3" t="n"/>
      <c r="K642" s="3" t="n"/>
      <c r="L642" s="3" t="n"/>
      <c r="M642" s="3" t="n"/>
      <c r="N642" s="3" t="n"/>
      <c r="O642" s="3" t="n"/>
      <c r="P642" s="3" t="n"/>
      <c r="Q642" s="41" t="n">
        <v>12</v>
      </c>
      <c r="R642" s="3" t="n"/>
      <c r="S642" s="3" t="n"/>
      <c r="T642" s="3" t="n"/>
      <c r="U642" s="3" t="n"/>
      <c r="V642" s="3" t="n"/>
      <c r="W642" s="41" t="n">
        <v>8</v>
      </c>
      <c r="X642" s="3" t="n"/>
      <c r="Y642" s="4" t="inlineStr">
        <is>
          <t>INFO_10Q_Q3-FY2021 p44</t>
        </is>
      </c>
    </row>
    <row r="643">
      <c r="A643" s="38" t="inlineStr">
        <is>
          <t>Non-recurring - Total</t>
        </is>
      </c>
      <c r="B643" s="3" t="n"/>
      <c r="C643" s="3" t="n"/>
      <c r="D643" s="3" t="n"/>
      <c r="E643" s="3" t="n"/>
      <c r="F643" s="3" t="n"/>
      <c r="G643" s="3" t="n"/>
      <c r="H643" s="3" t="n"/>
      <c r="I643" s="3" t="n"/>
      <c r="J643" s="3" t="n"/>
      <c r="K643" s="3" t="n"/>
      <c r="L643" s="3" t="n"/>
      <c r="M643" s="3" t="n"/>
      <c r="N643" s="3" t="n"/>
      <c r="O643" s="3" t="n"/>
      <c r="P643" s="3" t="n"/>
      <c r="Q643" s="41" t="n">
        <v>18</v>
      </c>
      <c r="R643" s="3" t="n"/>
      <c r="S643" s="3" t="n"/>
      <c r="T643" s="3" t="n"/>
      <c r="U643" s="3" t="n"/>
      <c r="V643" s="3" t="n"/>
      <c r="W643" s="41" t="n">
        <v>21</v>
      </c>
      <c r="X643" s="3" t="n"/>
      <c r="Y643" s="4" t="inlineStr">
        <is>
          <t>INFO_10Q_Q3-FY2021 p44</t>
        </is>
      </c>
    </row>
    <row r="644">
      <c r="A644" s="38" t="inlineStr">
        <is>
          <t>Non-recurring - Organic</t>
        </is>
      </c>
      <c r="B644" s="3" t="n"/>
      <c r="C644" s="3" t="n"/>
      <c r="D644" s="3" t="n"/>
      <c r="E644" s="3" t="n"/>
      <c r="F644" s="3" t="n"/>
      <c r="G644" s="3" t="n"/>
      <c r="H644" s="3" t="n"/>
      <c r="I644" s="3" t="n"/>
      <c r="J644" s="3" t="n"/>
      <c r="K644" s="3" t="n"/>
      <c r="L644" s="3" t="n"/>
      <c r="M644" s="3" t="n"/>
      <c r="N644" s="3" t="n"/>
      <c r="O644" s="3" t="n"/>
      <c r="P644" s="3" t="n"/>
      <c r="Q644" s="41" t="n">
        <v>17</v>
      </c>
      <c r="R644" s="3" t="n"/>
      <c r="S644" s="3" t="n"/>
      <c r="T644" s="3" t="n"/>
      <c r="U644" s="3" t="n"/>
      <c r="V644" s="3" t="n"/>
      <c r="W644" s="41" t="n">
        <v>20</v>
      </c>
      <c r="X644" s="3" t="n"/>
      <c r="Y644" s="4" t="inlineStr">
        <is>
          <t>INFO_10Q_Q3-FY2021 p44</t>
        </is>
      </c>
    </row>
    <row r="645">
      <c r="A645" s="38" t="inlineStr">
        <is>
          <t>Total revenue - Total</t>
        </is>
      </c>
      <c r="B645" s="3" t="n"/>
      <c r="C645" s="3" t="n"/>
      <c r="D645" s="3" t="n"/>
      <c r="E645" s="3" t="n"/>
      <c r="F645" s="3" t="n"/>
      <c r="G645" s="3" t="n"/>
      <c r="H645" s="3" t="n"/>
      <c r="I645" s="3" t="n"/>
      <c r="J645" s="3" t="n"/>
      <c r="K645" s="3" t="n"/>
      <c r="L645" s="3" t="n"/>
      <c r="M645" s="3" t="n"/>
      <c r="N645" s="3" t="n"/>
      <c r="O645" s="3" t="n"/>
      <c r="P645" s="3" t="n"/>
      <c r="Q645" s="41" t="n">
        <v>9</v>
      </c>
      <c r="R645" s="3" t="n"/>
      <c r="S645" s="3" t="n"/>
      <c r="T645" s="3" t="n"/>
      <c r="U645" s="3" t="n"/>
      <c r="V645" s="3" t="n"/>
      <c r="W645" s="41" t="n">
        <v>10</v>
      </c>
      <c r="X645" s="3" t="n"/>
      <c r="Y645" s="4" t="inlineStr">
        <is>
          <t>INFO_10Q_Q3-FY2021 p44</t>
        </is>
      </c>
    </row>
    <row r="646">
      <c r="A646" s="38" t="inlineStr">
        <is>
          <t>Total revenue - Organic</t>
        </is>
      </c>
      <c r="B646" s="3" t="n"/>
      <c r="C646" s="3" t="n"/>
      <c r="D646" s="3" t="n"/>
      <c r="E646" s="3" t="n"/>
      <c r="F646" s="3" t="n"/>
      <c r="G646" s="3" t="n"/>
      <c r="H646" s="3" t="n"/>
      <c r="I646" s="3" t="n"/>
      <c r="J646" s="3" t="n"/>
      <c r="K646" s="3" t="n"/>
      <c r="L646" s="3" t="n"/>
      <c r="M646" s="3" t="n"/>
      <c r="N646" s="3" t="n"/>
      <c r="O646" s="3" t="n"/>
      <c r="P646" s="3" t="n"/>
      <c r="Q646" s="41" t="n">
        <v>8</v>
      </c>
      <c r="R646" s="3" t="n"/>
      <c r="S646" s="3" t="n"/>
      <c r="T646" s="3" t="n"/>
      <c r="U646" s="3" t="n"/>
      <c r="V646" s="3" t="n"/>
      <c r="W646" s="41" t="n">
        <v>9</v>
      </c>
      <c r="X646" s="3" t="n"/>
      <c r="Y646" s="4" t="inlineStr">
        <is>
          <t>INFO_10Q_Q3-FY2021 p44</t>
        </is>
      </c>
    </row>
    <row r="647">
      <c r="A647" s="14" t="inlineStr">
        <is>
          <t>INFO_10Q_Q3-FY2021 · MD&amp;A Revenue by Transaction Type (consolidated) - as a percent of total revenue</t>
        </is>
      </c>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row>
    <row r="648">
      <c r="A648" s="38" t="inlineStr">
        <is>
          <t>Recurring fixed</t>
        </is>
      </c>
      <c r="B648" s="3" t="n"/>
      <c r="C648" s="3" t="n"/>
      <c r="D648" s="3" t="n"/>
      <c r="E648" s="3" t="n"/>
      <c r="F648" s="3" t="n"/>
      <c r="G648" s="3" t="n"/>
      <c r="H648" s="3" t="n"/>
      <c r="I648" s="3" t="n"/>
      <c r="J648" s="3" t="n"/>
      <c r="K648" s="3" t="n"/>
      <c r="L648" s="3" t="n"/>
      <c r="M648" s="3" t="n"/>
      <c r="N648" s="3" t="n"/>
      <c r="O648" s="3" t="n"/>
      <c r="P648" s="41" t="n">
        <v>74</v>
      </c>
      <c r="Q648" s="41" t="n">
        <v>72</v>
      </c>
      <c r="R648" s="3" t="n"/>
      <c r="S648" s="3" t="n"/>
      <c r="T648" s="3" t="n"/>
      <c r="U648" s="3" t="n"/>
      <c r="V648" s="41" t="n">
        <v>74</v>
      </c>
      <c r="W648" s="41" t="n">
        <v>73</v>
      </c>
      <c r="X648" s="3" t="n"/>
      <c r="Y648" s="4" t="inlineStr">
        <is>
          <t>INFO_10Q_Q3-FY2021 p44</t>
        </is>
      </c>
    </row>
    <row r="649">
      <c r="A649" s="38" t="inlineStr">
        <is>
          <t>Recurring variable</t>
        </is>
      </c>
      <c r="B649" s="3" t="n"/>
      <c r="C649" s="3" t="n"/>
      <c r="D649" s="3" t="n"/>
      <c r="E649" s="3" t="n"/>
      <c r="F649" s="3" t="n"/>
      <c r="G649" s="3" t="n"/>
      <c r="H649" s="3" t="n"/>
      <c r="I649" s="3" t="n"/>
      <c r="J649" s="3" t="n"/>
      <c r="K649" s="3" t="n"/>
      <c r="L649" s="3" t="n"/>
      <c r="M649" s="3" t="n"/>
      <c r="N649" s="3" t="n"/>
      <c r="O649" s="3" t="n"/>
      <c r="P649" s="41" t="n">
        <v>14</v>
      </c>
      <c r="Q649" s="41" t="n">
        <v>15</v>
      </c>
      <c r="R649" s="3" t="n"/>
      <c r="S649" s="3" t="n"/>
      <c r="T649" s="3" t="n"/>
      <c r="U649" s="3" t="n"/>
      <c r="V649" s="41" t="n">
        <v>14</v>
      </c>
      <c r="W649" s="41" t="n">
        <v>14</v>
      </c>
      <c r="X649" s="3" t="n"/>
      <c r="Y649" s="4" t="inlineStr">
        <is>
          <t>INFO_10Q_Q3-FY2021 p44</t>
        </is>
      </c>
    </row>
    <row r="650">
      <c r="A650" s="38" t="inlineStr">
        <is>
          <t>Non-recurring</t>
        </is>
      </c>
      <c r="B650" s="3" t="n"/>
      <c r="C650" s="3" t="n"/>
      <c r="D650" s="3" t="n"/>
      <c r="E650" s="3" t="n"/>
      <c r="F650" s="3" t="n"/>
      <c r="G650" s="3" t="n"/>
      <c r="H650" s="3" t="n"/>
      <c r="I650" s="3" t="n"/>
      <c r="J650" s="3" t="n"/>
      <c r="K650" s="3" t="n"/>
      <c r="L650" s="3" t="n"/>
      <c r="M650" s="3" t="n"/>
      <c r="N650" s="3" t="n"/>
      <c r="O650" s="3" t="n"/>
      <c r="P650" s="41" t="n">
        <v>12</v>
      </c>
      <c r="Q650" s="41" t="n">
        <v>12</v>
      </c>
      <c r="R650" s="3" t="n"/>
      <c r="S650" s="3" t="n"/>
      <c r="T650" s="3" t="n"/>
      <c r="U650" s="3" t="n"/>
      <c r="V650" s="41" t="n">
        <v>12</v>
      </c>
      <c r="W650" s="41" t="n">
        <v>13</v>
      </c>
      <c r="X650" s="3" t="n"/>
      <c r="Y650" s="4" t="inlineStr">
        <is>
          <t>INFO_10Q_Q3-FY2021 p44</t>
        </is>
      </c>
    </row>
    <row r="651">
      <c r="A651" s="14" t="inlineStr">
        <is>
          <t>INFO_10Q_Q3-FY2021 · MD&amp;A Executive Summary</t>
        </is>
      </c>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row>
    <row r="652">
      <c r="A652" s="38" t="inlineStr">
        <is>
          <t>Consolidated recurring revenue share (approximately)</t>
        </is>
      </c>
      <c r="B652" s="3" t="n"/>
      <c r="C652" s="3" t="n"/>
      <c r="D652" s="3" t="n"/>
      <c r="E652" s="3" t="n"/>
      <c r="F652" s="3" t="n"/>
      <c r="G652" s="3" t="n"/>
      <c r="H652" s="3" t="n"/>
      <c r="I652" s="3" t="n"/>
      <c r="J652" s="3" t="n"/>
      <c r="K652" s="3" t="n"/>
      <c r="L652" s="3" t="n"/>
      <c r="M652" s="3" t="n"/>
      <c r="N652" s="3" t="n"/>
      <c r="O652" s="3" t="n"/>
      <c r="P652" s="3" t="n"/>
      <c r="Q652" s="41" t="n">
        <v>88</v>
      </c>
      <c r="R652" s="3" t="n"/>
      <c r="S652" s="3" t="n"/>
      <c r="T652" s="3" t="n"/>
      <c r="U652" s="3" t="n"/>
      <c r="V652" s="3" t="n"/>
      <c r="W652" s="3" t="n"/>
      <c r="X652" s="3" t="n"/>
      <c r="Y652" s="4" t="inlineStr">
        <is>
          <t>INFO_10Q_Q3-FY2021 p36</t>
        </is>
      </c>
    </row>
    <row r="653">
      <c r="A653" s="14" t="inlineStr">
        <is>
          <t>INFO_10Q_Q3-FY2021 · Note 8 Restructuring</t>
        </is>
      </c>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row>
    <row r="654">
      <c r="A654" s="38" t="inlineStr">
        <is>
          <t>Remaining restructuring liability - Transportation (as of August 31, 2021)</t>
        </is>
      </c>
      <c r="B654" s="3" t="n"/>
      <c r="C654" s="3" t="n"/>
      <c r="D654" s="3" t="n"/>
      <c r="E654" s="3" t="n"/>
      <c r="F654" s="3" t="n"/>
      <c r="G654" s="3" t="n"/>
      <c r="H654" s="3" t="n"/>
      <c r="I654" s="3" t="n"/>
      <c r="J654" s="3" t="n"/>
      <c r="K654" s="3" t="n"/>
      <c r="L654" s="3" t="n"/>
      <c r="M654" s="3" t="n"/>
      <c r="N654" s="3" t="n"/>
      <c r="O654" s="3" t="n"/>
      <c r="P654" s="3" t="n"/>
      <c r="Q654" s="30" t="n">
        <v>1.6</v>
      </c>
      <c r="R654" s="3" t="n"/>
      <c r="S654" s="3" t="n"/>
      <c r="T654" s="3" t="n"/>
      <c r="U654" s="3" t="n"/>
      <c r="V654" s="3" t="n"/>
      <c r="W654" s="3" t="n"/>
      <c r="X654" s="3" t="n"/>
      <c r="Y654" s="4" t="inlineStr">
        <is>
          <t>INFO_10Q_Q3-FY2021 p26</t>
        </is>
      </c>
    </row>
    <row r="655">
      <c r="A655" s="14" t="inlineStr">
        <is>
          <t>INFO_10Q_Q3-FY2021 · Note 2 Business Combinations and Divestitures</t>
        </is>
      </c>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row>
    <row r="656">
      <c r="A656" s="38" t="inlineStr">
        <is>
          <t>aM compensation recognized as of August 31, 2021 (approximately)</t>
        </is>
      </c>
      <c r="B656" s="3" t="n"/>
      <c r="C656" s="3" t="n"/>
      <c r="D656" s="3" t="n"/>
      <c r="E656" s="3" t="n"/>
      <c r="F656" s="3" t="n"/>
      <c r="G656" s="3" t="n"/>
      <c r="H656" s="3" t="n"/>
      <c r="I656" s="3" t="n"/>
      <c r="J656" s="3" t="n"/>
      <c r="K656" s="3" t="n"/>
      <c r="L656" s="3" t="n"/>
      <c r="M656" s="3" t="n"/>
      <c r="N656" s="3" t="n"/>
      <c r="O656" s="3" t="n"/>
      <c r="P656" s="3" t="n"/>
      <c r="Q656" s="30" t="n">
        <v>48.3</v>
      </c>
      <c r="R656" s="3" t="n"/>
      <c r="S656" s="3" t="n"/>
      <c r="T656" s="3" t="n"/>
      <c r="U656" s="3" t="n"/>
      <c r="V656" s="3" t="n"/>
      <c r="W656" s="3" t="n"/>
      <c r="X656" s="3" t="n"/>
      <c r="Y656" s="4" t="inlineStr">
        <is>
          <t>INFO_10Q_Q3-FY2021 p18</t>
        </is>
      </c>
    </row>
    <row r="657">
      <c r="A657" s="14" t="inlineStr">
        <is>
          <t>INFO_Slides_Q2-FY2021 · Quarterly Revenue by Reported Segment</t>
        </is>
      </c>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row>
    <row r="658">
      <c r="A658" s="38" t="inlineStr">
        <is>
          <t>Recurring - Transportation</t>
        </is>
      </c>
      <c r="B658" s="3" t="n"/>
      <c r="C658" s="3" t="n"/>
      <c r="D658" s="3" t="n"/>
      <c r="E658" s="3" t="n"/>
      <c r="F658" s="3" t="n"/>
      <c r="G658" s="3" t="n"/>
      <c r="H658" s="30" t="n">
        <v>879</v>
      </c>
      <c r="I658" s="3" t="n"/>
      <c r="J658" s="3" t="n"/>
      <c r="K658" s="3" t="n"/>
      <c r="L658" s="3" t="n"/>
      <c r="M658" s="3" t="n"/>
      <c r="N658" s="3" t="n"/>
      <c r="O658" s="3" t="n"/>
      <c r="P658" s="3" t="n"/>
      <c r="Q658" s="3" t="n"/>
      <c r="R658" s="30" t="n">
        <v>228</v>
      </c>
      <c r="S658" s="30" t="n">
        <v>247</v>
      </c>
      <c r="T658" s="30" t="n">
        <v>187</v>
      </c>
      <c r="U658" s="30" t="n">
        <v>262</v>
      </c>
      <c r="V658" s="30" t="n">
        <v>227</v>
      </c>
      <c r="W658" s="3" t="n"/>
      <c r="X658" s="30" t="n">
        <v>238</v>
      </c>
      <c r="Y658" s="4" t="inlineStr">
        <is>
          <t>INFO_Slides_Q2-FY2021 p4</t>
        </is>
      </c>
    </row>
    <row r="659">
      <c r="A659" s="39" t="inlineStr">
        <is>
          <t>Total IHS Markit Recurring Revenue</t>
        </is>
      </c>
      <c r="B659" s="3" t="n"/>
      <c r="C659" s="3" t="n"/>
      <c r="D659" s="3" t="n"/>
      <c r="E659" s="3" t="n"/>
      <c r="F659" s="3" t="n"/>
      <c r="G659" s="3" t="n"/>
      <c r="H659" s="18" t="n">
        <v>3782</v>
      </c>
      <c r="I659" s="3" t="n"/>
      <c r="J659" s="3" t="n"/>
      <c r="K659" s="3" t="n"/>
      <c r="L659" s="3" t="n"/>
      <c r="M659" s="3" t="n"/>
      <c r="N659" s="3" t="n"/>
      <c r="O659" s="3" t="n"/>
      <c r="P659" s="3" t="n"/>
      <c r="Q659" s="3" t="n"/>
      <c r="R659" s="18" t="n">
        <v>951</v>
      </c>
      <c r="S659" s="18" t="n">
        <v>999</v>
      </c>
      <c r="T659" s="18" t="n">
        <v>913</v>
      </c>
      <c r="U659" s="18" t="n">
        <v>1019</v>
      </c>
      <c r="V659" s="18" t="n">
        <v>949</v>
      </c>
      <c r="W659" s="3" t="n"/>
      <c r="X659" s="18" t="n">
        <v>968</v>
      </c>
      <c r="Y659" s="4" t="inlineStr">
        <is>
          <t>INFO_Slides_Q2-FY2021 p4</t>
        </is>
      </c>
    </row>
    <row r="660">
      <c r="A660" s="38" t="inlineStr">
        <is>
          <t>Non-Recurring - Transportation</t>
        </is>
      </c>
      <c r="B660" s="3" t="n"/>
      <c r="C660" s="3" t="n"/>
      <c r="D660" s="3" t="n"/>
      <c r="E660" s="3" t="n"/>
      <c r="F660" s="3" t="n"/>
      <c r="G660" s="3" t="n"/>
      <c r="H660" s="30" t="n">
        <v>273</v>
      </c>
      <c r="I660" s="3" t="n"/>
      <c r="J660" s="3" t="n"/>
      <c r="K660" s="3" t="n"/>
      <c r="L660" s="3" t="n"/>
      <c r="M660" s="3" t="n"/>
      <c r="N660" s="3" t="n"/>
      <c r="O660" s="3" t="n"/>
      <c r="P660" s="3" t="n"/>
      <c r="Q660" s="3" t="n"/>
      <c r="R660" s="30" t="n">
        <v>69</v>
      </c>
      <c r="S660" s="30" t="n">
        <v>65</v>
      </c>
      <c r="T660" s="30" t="n">
        <v>56</v>
      </c>
      <c r="U660" s="30" t="n">
        <v>83</v>
      </c>
      <c r="V660" s="30" t="n">
        <v>72</v>
      </c>
      <c r="W660" s="3" t="n"/>
      <c r="X660" s="30" t="n">
        <v>75</v>
      </c>
      <c r="Y660" s="4" t="inlineStr">
        <is>
          <t>INFO_Slides_Q2-FY2021 p4</t>
        </is>
      </c>
    </row>
    <row r="661">
      <c r="A661" s="39" t="inlineStr">
        <is>
          <t>Total IHS Markit Non-Recurring Revenue</t>
        </is>
      </c>
      <c r="B661" s="3" t="n"/>
      <c r="C661" s="3" t="n"/>
      <c r="D661" s="3" t="n"/>
      <c r="E661" s="3" t="n"/>
      <c r="F661" s="3" t="n"/>
      <c r="G661" s="3" t="n"/>
      <c r="H661" s="18" t="n">
        <v>506</v>
      </c>
      <c r="I661" s="3" t="n"/>
      <c r="J661" s="3" t="n"/>
      <c r="K661" s="3" t="n"/>
      <c r="L661" s="3" t="n"/>
      <c r="M661" s="3" t="n"/>
      <c r="N661" s="3" t="n"/>
      <c r="O661" s="3" t="n"/>
      <c r="P661" s="3" t="n"/>
      <c r="Q661" s="3" t="n"/>
      <c r="R661" s="18" t="n">
        <v>130</v>
      </c>
      <c r="S661" s="18" t="n">
        <v>121</v>
      </c>
      <c r="T661" s="18" t="n">
        <v>113</v>
      </c>
      <c r="U661" s="18" t="n">
        <v>163</v>
      </c>
      <c r="V661" s="18" t="n">
        <v>124</v>
      </c>
      <c r="W661" s="3" t="n"/>
      <c r="X661" s="18" t="n">
        <v>139</v>
      </c>
      <c r="Y661" s="4" t="inlineStr">
        <is>
          <t>INFO_Slides_Q2-FY2021 p4</t>
        </is>
      </c>
    </row>
    <row r="662">
      <c r="A662" s="39" t="inlineStr">
        <is>
          <t>Total - Transportation</t>
        </is>
      </c>
      <c r="B662" s="3" t="n"/>
      <c r="C662" s="3" t="n"/>
      <c r="D662" s="3" t="n"/>
      <c r="E662" s="3" t="n"/>
      <c r="F662" s="3" t="n"/>
      <c r="G662" s="3" t="n"/>
      <c r="H662" s="18" t="n">
        <v>1152</v>
      </c>
      <c r="I662" s="3" t="n"/>
      <c r="J662" s="3" t="n"/>
      <c r="K662" s="3" t="n"/>
      <c r="L662" s="3" t="n"/>
      <c r="M662" s="3" t="n"/>
      <c r="N662" s="3" t="n"/>
      <c r="O662" s="3" t="n"/>
      <c r="P662" s="3" t="n"/>
      <c r="Q662" s="3" t="n"/>
      <c r="R662" s="18" t="n">
        <v>297</v>
      </c>
      <c r="S662" s="18" t="n">
        <v>312</v>
      </c>
      <c r="T662" s="18" t="n">
        <v>243</v>
      </c>
      <c r="U662" s="18" t="n">
        <v>344</v>
      </c>
      <c r="V662" s="18" t="n">
        <v>299</v>
      </c>
      <c r="W662" s="3" t="n"/>
      <c r="X662" s="18" t="n">
        <v>312</v>
      </c>
      <c r="Y662" s="4" t="inlineStr">
        <is>
          <t>INFO_Slides_Q2-FY2021 p4</t>
        </is>
      </c>
    </row>
    <row r="663">
      <c r="A663" s="39" t="inlineStr">
        <is>
          <t>Total IHS Markit Revenue</t>
        </is>
      </c>
      <c r="B663" s="3" t="n"/>
      <c r="C663" s="3" t="n"/>
      <c r="D663" s="3" t="n"/>
      <c r="E663" s="3" t="n"/>
      <c r="F663" s="3" t="n"/>
      <c r="G663" s="3" t="n"/>
      <c r="H663" s="18" t="n">
        <v>4288</v>
      </c>
      <c r="I663" s="3" t="n"/>
      <c r="J663" s="3" t="n"/>
      <c r="K663" s="3" t="n"/>
      <c r="L663" s="3" t="n"/>
      <c r="M663" s="3" t="n"/>
      <c r="N663" s="3" t="n"/>
      <c r="O663" s="3" t="n"/>
      <c r="P663" s="3" t="n"/>
      <c r="Q663" s="3" t="n"/>
      <c r="R663" s="18" t="n">
        <v>1081</v>
      </c>
      <c r="S663" s="18" t="n">
        <v>1120</v>
      </c>
      <c r="T663" s="18" t="n">
        <v>1027</v>
      </c>
      <c r="U663" s="18" t="n">
        <v>1181</v>
      </c>
      <c r="V663" s="18" t="n">
        <v>1073</v>
      </c>
      <c r="W663" s="3" t="n"/>
      <c r="X663" s="18" t="n">
        <v>1107</v>
      </c>
      <c r="Y663" s="4" t="inlineStr">
        <is>
          <t>INFO_Slides_Q2-FY2021 p4</t>
        </is>
      </c>
    </row>
    <row r="664">
      <c r="A664" s="14" t="inlineStr">
        <is>
          <t>INFO_Slides_Q2-FY2021 · Quarterly Organic Growth</t>
        </is>
      </c>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row>
    <row r="665">
      <c r="A665" s="38" t="inlineStr">
        <is>
          <t>Recurring - Transportation organic growth</t>
        </is>
      </c>
      <c r="B665" s="3" t="n"/>
      <c r="C665" s="3" t="n"/>
      <c r="D665" s="3" t="n"/>
      <c r="E665" s="3" t="n"/>
      <c r="F665" s="3" t="n"/>
      <c r="G665" s="3" t="n"/>
      <c r="H665" s="3" t="n"/>
      <c r="I665" s="3" t="n"/>
      <c r="J665" s="3" t="n"/>
      <c r="K665" s="3" t="n"/>
      <c r="L665" s="3" t="n"/>
      <c r="M665" s="3" t="n"/>
      <c r="N665" s="3" t="n"/>
      <c r="O665" s="3" t="n"/>
      <c r="P665" s="3" t="n"/>
      <c r="Q665" s="3" t="n"/>
      <c r="R665" s="41" t="n">
        <v>12</v>
      </c>
      <c r="S665" s="41" t="n">
        <v>8</v>
      </c>
      <c r="T665" s="3" t="n"/>
      <c r="U665" s="41" t="n">
        <v>38</v>
      </c>
      <c r="V665" s="3" t="n"/>
      <c r="W665" s="3" t="n"/>
      <c r="X665" s="41" t="n">
        <v>5</v>
      </c>
      <c r="Y665" s="4" t="inlineStr">
        <is>
          <t>INFO_Slides_Q2-FY2021 p5</t>
        </is>
      </c>
    </row>
    <row r="666">
      <c r="A666" s="38" t="inlineStr">
        <is>
          <t>Recurring - Transportation organic growth (Normalized column)</t>
        </is>
      </c>
      <c r="B666" s="3" t="n"/>
      <c r="C666" s="3" t="n"/>
      <c r="D666" s="3" t="n"/>
      <c r="E666" s="3" t="n"/>
      <c r="F666" s="3" t="n"/>
      <c r="G666" s="3" t="n"/>
      <c r="H666" s="41" t="n">
        <v>3</v>
      </c>
      <c r="I666" s="3" t="n"/>
      <c r="J666" s="3" t="n"/>
      <c r="K666" s="3" t="n"/>
      <c r="L666" s="3" t="n"/>
      <c r="M666" s="3" t="n"/>
      <c r="N666" s="3" t="n"/>
      <c r="O666" s="3" t="n"/>
      <c r="P666" s="3" t="n"/>
      <c r="Q666" s="3" t="n"/>
      <c r="R666" s="3" t="n"/>
      <c r="S666" s="3" t="n"/>
      <c r="T666" s="41" t="n">
        <v>-10</v>
      </c>
      <c r="U666" s="3" t="n"/>
      <c r="V666" s="41" t="n">
        <v>5</v>
      </c>
      <c r="W666" s="3" t="n"/>
      <c r="X666" s="3" t="n"/>
      <c r="Y666" s="4" t="inlineStr">
        <is>
          <t>INFO_Slides_Q2-FY2021 p5</t>
        </is>
      </c>
    </row>
    <row r="667">
      <c r="A667" s="38" t="inlineStr">
        <is>
          <t>Total Recurring Organic Growth %</t>
        </is>
      </c>
      <c r="B667" s="3" t="n"/>
      <c r="C667" s="3" t="n"/>
      <c r="D667" s="3" t="n"/>
      <c r="E667" s="3" t="n"/>
      <c r="F667" s="3" t="n"/>
      <c r="G667" s="3" t="n"/>
      <c r="H667" s="3" t="n"/>
      <c r="I667" s="3" t="n"/>
      <c r="J667" s="3" t="n"/>
      <c r="K667" s="3" t="n"/>
      <c r="L667" s="3" t="n"/>
      <c r="M667" s="3" t="n"/>
      <c r="N667" s="3" t="n"/>
      <c r="O667" s="3" t="n"/>
      <c r="P667" s="3" t="n"/>
      <c r="Q667" s="3" t="n"/>
      <c r="R667" s="41" t="n">
        <v>7</v>
      </c>
      <c r="S667" s="41" t="n">
        <v>4</v>
      </c>
      <c r="T667" s="3" t="n"/>
      <c r="U667" s="41" t="n">
        <v>10</v>
      </c>
      <c r="V667" s="3" t="n"/>
      <c r="W667" s="3" t="n"/>
      <c r="X667" s="41" t="n">
        <v>2</v>
      </c>
      <c r="Y667" s="4" t="inlineStr">
        <is>
          <t>INFO_Slides_Q2-FY2021 p5</t>
        </is>
      </c>
    </row>
    <row r="668">
      <c r="A668" s="38" t="inlineStr">
        <is>
          <t>Total Recurring Organic Growth % (Normalized column)</t>
        </is>
      </c>
      <c r="B668" s="3" t="n"/>
      <c r="C668" s="3" t="n"/>
      <c r="D668" s="3" t="n"/>
      <c r="E668" s="3" t="n"/>
      <c r="F668" s="3" t="n"/>
      <c r="G668" s="3" t="n"/>
      <c r="H668" s="41" t="n">
        <v>3</v>
      </c>
      <c r="I668" s="3" t="n"/>
      <c r="J668" s="3" t="n"/>
      <c r="K668" s="3" t="n"/>
      <c r="L668" s="3" t="n"/>
      <c r="M668" s="3" t="n"/>
      <c r="N668" s="3" t="n"/>
      <c r="O668" s="3" t="n"/>
      <c r="P668" s="3" t="n"/>
      <c r="Q668" s="3" t="n"/>
      <c r="R668" s="3" t="n"/>
      <c r="S668" s="3" t="n"/>
      <c r="T668" s="41" t="n">
        <v>1</v>
      </c>
      <c r="U668" s="3" t="n"/>
      <c r="V668" s="41" t="n">
        <v>2</v>
      </c>
      <c r="W668" s="3" t="n"/>
      <c r="X668" s="3" t="n"/>
      <c r="Y668" s="4" t="inlineStr">
        <is>
          <t>INFO_Slides_Q2-FY2021 p5</t>
        </is>
      </c>
    </row>
    <row r="669">
      <c r="A669" s="38" t="inlineStr">
        <is>
          <t>Non-Recurring - Transportation organic growth</t>
        </is>
      </c>
      <c r="B669" s="3" t="n"/>
      <c r="C669" s="3" t="n"/>
      <c r="D669" s="3" t="n"/>
      <c r="E669" s="3" t="n"/>
      <c r="F669" s="3" t="n"/>
      <c r="G669" s="3" t="n"/>
      <c r="H669" s="3" t="n"/>
      <c r="I669" s="3" t="n"/>
      <c r="J669" s="3" t="n"/>
      <c r="K669" s="3" t="n"/>
      <c r="L669" s="3" t="n"/>
      <c r="M669" s="3" t="n"/>
      <c r="N669" s="3" t="n"/>
      <c r="O669" s="3" t="n"/>
      <c r="P669" s="3" t="n"/>
      <c r="Q669" s="3" t="n"/>
      <c r="R669" s="41" t="n">
        <v>-1</v>
      </c>
      <c r="S669" s="41" t="n">
        <v>-8</v>
      </c>
      <c r="T669" s="3" t="n"/>
      <c r="U669" s="41" t="n">
        <v>41</v>
      </c>
      <c r="V669" s="3" t="n"/>
      <c r="W669" s="3" t="n"/>
      <c r="X669" s="41" t="n">
        <v>-9</v>
      </c>
      <c r="Y669" s="4" t="inlineStr">
        <is>
          <t>INFO_Slides_Q2-FY2021 p5</t>
        </is>
      </c>
    </row>
    <row r="670">
      <c r="A670" s="38" t="inlineStr">
        <is>
          <t>Non-Recurring - Transportation organic growth (Normalized column)</t>
        </is>
      </c>
      <c r="B670" s="3" t="n"/>
      <c r="C670" s="3" t="n"/>
      <c r="D670" s="3" t="n"/>
      <c r="E670" s="3" t="n"/>
      <c r="F670" s="3" t="n"/>
      <c r="G670" s="3" t="n"/>
      <c r="H670" s="41" t="n">
        <v>-14</v>
      </c>
      <c r="I670" s="3" t="n"/>
      <c r="J670" s="3" t="n"/>
      <c r="K670" s="3" t="n"/>
      <c r="L670" s="3" t="n"/>
      <c r="M670" s="3" t="n"/>
      <c r="N670" s="3" t="n"/>
      <c r="O670" s="3" t="n"/>
      <c r="P670" s="3" t="n"/>
      <c r="Q670" s="3" t="n"/>
      <c r="R670" s="3" t="n"/>
      <c r="S670" s="3" t="n"/>
      <c r="T670" s="41" t="n">
        <v>-31</v>
      </c>
      <c r="U670" s="3" t="n"/>
      <c r="V670" s="41" t="n">
        <v>-12</v>
      </c>
      <c r="W670" s="3" t="n"/>
      <c r="X670" s="3" t="n"/>
      <c r="Y670" s="4" t="inlineStr">
        <is>
          <t>INFO_Slides_Q2-FY2021 p5</t>
        </is>
      </c>
    </row>
    <row r="671">
      <c r="A671" s="38" t="inlineStr">
        <is>
          <t>Total Non-Recurring Organic Growth %</t>
        </is>
      </c>
      <c r="B671" s="3" t="n"/>
      <c r="C671" s="3" t="n"/>
      <c r="D671" s="3" t="n"/>
      <c r="E671" s="3" t="n"/>
      <c r="F671" s="3" t="n"/>
      <c r="G671" s="3" t="n"/>
      <c r="H671" s="3" t="n"/>
      <c r="I671" s="3" t="n"/>
      <c r="J671" s="3" t="n"/>
      <c r="K671" s="3" t="n"/>
      <c r="L671" s="3" t="n"/>
      <c r="M671" s="3" t="n"/>
      <c r="N671" s="3" t="n"/>
      <c r="O671" s="3" t="n"/>
      <c r="P671" s="3" t="n"/>
      <c r="Q671" s="3" t="n"/>
      <c r="R671" s="41" t="n">
        <v>-5</v>
      </c>
      <c r="S671" s="41" t="n">
        <v>-7</v>
      </c>
      <c r="T671" s="3" t="n"/>
      <c r="U671" s="41" t="n">
        <v>41</v>
      </c>
      <c r="V671" s="3" t="n"/>
      <c r="W671" s="3" t="n"/>
      <c r="X671" s="41" t="n">
        <v>-11</v>
      </c>
      <c r="Y671" s="4" t="inlineStr">
        <is>
          <t>INFO_Slides_Q2-FY2021 p5</t>
        </is>
      </c>
    </row>
    <row r="672">
      <c r="A672" s="38" t="inlineStr">
        <is>
          <t>Total Non-Recurring Organic Growth % (Normalized column)</t>
        </is>
      </c>
      <c r="B672" s="3" t="n"/>
      <c r="C672" s="3" t="n"/>
      <c r="D672" s="3" t="n"/>
      <c r="E672" s="3" t="n"/>
      <c r="F672" s="3" t="n"/>
      <c r="G672" s="3" t="n"/>
      <c r="H672" s="41" t="n">
        <v>-15</v>
      </c>
      <c r="I672" s="3" t="n"/>
      <c r="J672" s="3" t="n"/>
      <c r="K672" s="3" t="n"/>
      <c r="L672" s="3" t="n"/>
      <c r="M672" s="3" t="n"/>
      <c r="N672" s="3" t="n"/>
      <c r="O672" s="3" t="n"/>
      <c r="P672" s="3" t="n"/>
      <c r="Q672" s="3" t="n"/>
      <c r="R672" s="3" t="n"/>
      <c r="S672" s="3" t="n"/>
      <c r="T672" s="41" t="n">
        <v>-26</v>
      </c>
      <c r="U672" s="3" t="n"/>
      <c r="V672" s="41" t="n">
        <v>-18</v>
      </c>
      <c r="W672" s="3" t="n"/>
      <c r="X672" s="3" t="n"/>
      <c r="Y672" s="4" t="inlineStr">
        <is>
          <t>INFO_Slides_Q2-FY2021 p5</t>
        </is>
      </c>
    </row>
    <row r="673">
      <c r="A673" s="38" t="inlineStr">
        <is>
          <t>Total - Transportation organic growth</t>
        </is>
      </c>
      <c r="B673" s="3" t="n"/>
      <c r="C673" s="3" t="n"/>
      <c r="D673" s="3" t="n"/>
      <c r="E673" s="3" t="n"/>
      <c r="F673" s="3" t="n"/>
      <c r="G673" s="3" t="n"/>
      <c r="H673" s="3" t="n"/>
      <c r="I673" s="3" t="n"/>
      <c r="J673" s="3" t="n"/>
      <c r="K673" s="3" t="n"/>
      <c r="L673" s="3" t="n"/>
      <c r="M673" s="3" t="n"/>
      <c r="N673" s="3" t="n"/>
      <c r="O673" s="3" t="n"/>
      <c r="P673" s="3" t="n"/>
      <c r="Q673" s="3" t="n"/>
      <c r="R673" s="41" t="n">
        <v>9</v>
      </c>
      <c r="S673" s="41" t="n">
        <v>4</v>
      </c>
      <c r="T673" s="3" t="n"/>
      <c r="U673" s="41" t="n">
        <v>39</v>
      </c>
      <c r="V673" s="3" t="n"/>
      <c r="W673" s="3" t="n"/>
      <c r="X673" s="41" t="n">
        <v>2</v>
      </c>
      <c r="Y673" s="4" t="inlineStr">
        <is>
          <t>INFO_Slides_Q2-FY2021 p5</t>
        </is>
      </c>
    </row>
    <row r="674">
      <c r="A674" s="38" t="inlineStr">
        <is>
          <t>Total - Transportation organic growth (Normalized column)</t>
        </is>
      </c>
      <c r="B674" s="3" t="n"/>
      <c r="C674" s="3" t="n"/>
      <c r="D674" s="3" t="n"/>
      <c r="E674" s="3" t="n"/>
      <c r="F674" s="3" t="n"/>
      <c r="G674" s="3" t="n"/>
      <c r="H674" s="41" t="n">
        <v>-2</v>
      </c>
      <c r="I674" s="3" t="n"/>
      <c r="J674" s="3" t="n"/>
      <c r="K674" s="3" t="n"/>
      <c r="L674" s="3" t="n"/>
      <c r="M674" s="3" t="n"/>
      <c r="N674" s="3" t="n"/>
      <c r="O674" s="3" t="n"/>
      <c r="P674" s="3" t="n"/>
      <c r="Q674" s="3" t="n"/>
      <c r="R674" s="3" t="n"/>
      <c r="S674" s="3" t="n"/>
      <c r="T674" s="41" t="n">
        <v>-16</v>
      </c>
      <c r="U674" s="3" t="n"/>
      <c r="V674" s="41" t="n">
        <v>0</v>
      </c>
      <c r="W674" s="3" t="n"/>
      <c r="X674" s="3" t="n"/>
      <c r="Y674" s="4" t="inlineStr">
        <is>
          <t>INFO_Slides_Q2-FY2021 p5</t>
        </is>
      </c>
    </row>
    <row r="675">
      <c r="A675" s="38" t="inlineStr">
        <is>
          <t>Total Organic Growth %</t>
        </is>
      </c>
      <c r="B675" s="3" t="n"/>
      <c r="C675" s="3" t="n"/>
      <c r="D675" s="3" t="n"/>
      <c r="E675" s="3" t="n"/>
      <c r="F675" s="3" t="n"/>
      <c r="G675" s="3" t="n"/>
      <c r="H675" s="3" t="n"/>
      <c r="I675" s="3" t="n"/>
      <c r="J675" s="3" t="n"/>
      <c r="K675" s="3" t="n"/>
      <c r="L675" s="3" t="n"/>
      <c r="M675" s="3" t="n"/>
      <c r="N675" s="3" t="n"/>
      <c r="O675" s="3" t="n"/>
      <c r="P675" s="3" t="n"/>
      <c r="Q675" s="3" t="n"/>
      <c r="R675" s="41" t="n">
        <v>6</v>
      </c>
      <c r="S675" s="41" t="n">
        <v>3</v>
      </c>
      <c r="T675" s="3" t="n"/>
      <c r="U675" s="41" t="n">
        <v>13</v>
      </c>
      <c r="V675" s="3" t="n"/>
      <c r="W675" s="3" t="n"/>
      <c r="X675" s="41" t="n">
        <v>0</v>
      </c>
      <c r="Y675" s="4" t="inlineStr">
        <is>
          <t>INFO_Slides_Q2-FY2021 p5</t>
        </is>
      </c>
    </row>
    <row r="676">
      <c r="A676" s="38" t="inlineStr">
        <is>
          <t>Total Organic Growth % (Normalized column)</t>
        </is>
      </c>
      <c r="B676" s="3" t="n"/>
      <c r="C676" s="3" t="n"/>
      <c r="D676" s="3" t="n"/>
      <c r="E676" s="3" t="n"/>
      <c r="F676" s="3" t="n"/>
      <c r="G676" s="3" t="n"/>
      <c r="H676" s="41" t="n">
        <v>0</v>
      </c>
      <c r="I676" s="3" t="n"/>
      <c r="J676" s="3" t="n"/>
      <c r="K676" s="3" t="n"/>
      <c r="L676" s="3" t="n"/>
      <c r="M676" s="3" t="n"/>
      <c r="N676" s="3" t="n"/>
      <c r="O676" s="3" t="n"/>
      <c r="P676" s="3" t="n"/>
      <c r="Q676" s="3" t="n"/>
      <c r="R676" s="3" t="n"/>
      <c r="S676" s="3" t="n"/>
      <c r="T676" s="41" t="n">
        <v>-3</v>
      </c>
      <c r="U676" s="3" t="n"/>
      <c r="V676" s="41" t="n">
        <v>0</v>
      </c>
      <c r="W676" s="3" t="n"/>
      <c r="X676" s="3" t="n"/>
      <c r="Y676" s="4" t="inlineStr">
        <is>
          <t>INFO_Slides_Q2-FY2021 p5</t>
        </is>
      </c>
    </row>
    <row r="677">
      <c r="A677" s="14" t="inlineStr">
        <is>
          <t>INFO_Slides_Q2-FY2021 · Quarterly Adjusted EBITDA View by Reported Segment</t>
        </is>
      </c>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row>
    <row r="678">
      <c r="A678" s="38" t="inlineStr">
        <is>
          <t>Adjusted EBITDA - Transportation</t>
        </is>
      </c>
      <c r="B678" s="3" t="n"/>
      <c r="C678" s="3" t="n"/>
      <c r="D678" s="3" t="n"/>
      <c r="E678" s="3" t="n"/>
      <c r="F678" s="3" t="n"/>
      <c r="G678" s="3" t="n"/>
      <c r="H678" s="30" t="n">
        <v>515</v>
      </c>
      <c r="I678" s="3" t="n"/>
      <c r="J678" s="3" t="n"/>
      <c r="K678" s="3" t="n"/>
      <c r="L678" s="3" t="n"/>
      <c r="M678" s="3" t="n"/>
      <c r="N678" s="3" t="n"/>
      <c r="O678" s="3" t="n"/>
      <c r="P678" s="3" t="n"/>
      <c r="Q678" s="3" t="n"/>
      <c r="R678" s="30" t="n">
        <v>118</v>
      </c>
      <c r="S678" s="30" t="n">
        <v>147</v>
      </c>
      <c r="T678" s="30" t="n">
        <v>102</v>
      </c>
      <c r="U678" s="30" t="n">
        <v>171</v>
      </c>
      <c r="V678" s="30" t="n">
        <v>154</v>
      </c>
      <c r="W678" s="3" t="n"/>
      <c r="X678" s="30" t="n">
        <v>141</v>
      </c>
      <c r="Y678" s="4" t="inlineStr">
        <is>
          <t>INFO_Slides_Q2-FY2021 p7</t>
        </is>
      </c>
    </row>
    <row r="679">
      <c r="A679" s="39" t="inlineStr">
        <is>
          <t>Total IHS Markit Adjusted EBITDA</t>
        </is>
      </c>
      <c r="B679" s="3" t="n"/>
      <c r="C679" s="3" t="n"/>
      <c r="D679" s="3" t="n"/>
      <c r="E679" s="3" t="n"/>
      <c r="F679" s="3" t="n"/>
      <c r="G679" s="3" t="n"/>
      <c r="H679" s="18" t="n">
        <v>1837</v>
      </c>
      <c r="I679" s="3" t="n"/>
      <c r="J679" s="3" t="n"/>
      <c r="K679" s="3" t="n"/>
      <c r="L679" s="3" t="n"/>
      <c r="M679" s="3" t="n"/>
      <c r="N679" s="3" t="n"/>
      <c r="O679" s="3" t="n"/>
      <c r="P679" s="3" t="n"/>
      <c r="Q679" s="3" t="n"/>
      <c r="R679" s="18" t="n">
        <v>432</v>
      </c>
      <c r="S679" s="18" t="n">
        <v>467</v>
      </c>
      <c r="T679" s="18" t="n">
        <v>454</v>
      </c>
      <c r="U679" s="18" t="n">
        <v>517</v>
      </c>
      <c r="V679" s="18" t="n">
        <v>486</v>
      </c>
      <c r="W679" s="3" t="n"/>
      <c r="X679" s="18" t="n">
        <v>465</v>
      </c>
      <c r="Y679" s="4" t="inlineStr">
        <is>
          <t>INFO_Slides_Q2-FY2021 p7</t>
        </is>
      </c>
    </row>
    <row r="680">
      <c r="A680" s="38" t="inlineStr">
        <is>
          <t>Adjusted EBITDA Margin % - Transportation</t>
        </is>
      </c>
      <c r="B680" s="3" t="n"/>
      <c r="C680" s="3" t="n"/>
      <c r="D680" s="3" t="n"/>
      <c r="E680" s="3" t="n"/>
      <c r="F680" s="3" t="n"/>
      <c r="G680" s="3" t="n"/>
      <c r="H680" s="41" t="n">
        <v>44.7</v>
      </c>
      <c r="I680" s="3" t="n"/>
      <c r="J680" s="3" t="n"/>
      <c r="K680" s="3" t="n"/>
      <c r="L680" s="3" t="n"/>
      <c r="M680" s="3" t="n"/>
      <c r="N680" s="3" t="n"/>
      <c r="O680" s="3" t="n"/>
      <c r="P680" s="3" t="n"/>
      <c r="Q680" s="3" t="n"/>
      <c r="R680" s="41" t="n">
        <v>39.7</v>
      </c>
      <c r="S680" s="41" t="n">
        <v>47.1</v>
      </c>
      <c r="T680" s="41" t="n">
        <v>41.8</v>
      </c>
      <c r="U680" s="41" t="n">
        <v>49.6</v>
      </c>
      <c r="V680" s="41" t="n">
        <v>51.4</v>
      </c>
      <c r="W680" s="3" t="n"/>
      <c r="X680" s="41" t="n">
        <v>45.3</v>
      </c>
      <c r="Y680" s="4" t="inlineStr">
        <is>
          <t>INFO_Slides_Q2-FY2021 p7</t>
        </is>
      </c>
    </row>
    <row r="681">
      <c r="A681" s="38" t="inlineStr">
        <is>
          <t>Total Adjusted EBITDA Margin %</t>
        </is>
      </c>
      <c r="B681" s="3" t="n"/>
      <c r="C681" s="3" t="n"/>
      <c r="D681" s="3" t="n"/>
      <c r="E681" s="3" t="n"/>
      <c r="F681" s="3" t="n"/>
      <c r="G681" s="3" t="n"/>
      <c r="H681" s="41" t="n">
        <v>42.8</v>
      </c>
      <c r="I681" s="3" t="n"/>
      <c r="J681" s="3" t="n"/>
      <c r="K681" s="3" t="n"/>
      <c r="L681" s="3" t="n"/>
      <c r="M681" s="3" t="n"/>
      <c r="N681" s="3" t="n"/>
      <c r="O681" s="3" t="n"/>
      <c r="P681" s="3" t="n"/>
      <c r="Q681" s="3" t="n"/>
      <c r="R681" s="41" t="n">
        <v>39.9</v>
      </c>
      <c r="S681" s="41" t="n">
        <v>41.7</v>
      </c>
      <c r="T681" s="41" t="n">
        <v>44.2</v>
      </c>
      <c r="U681" s="41" t="n">
        <v>43.8</v>
      </c>
      <c r="V681" s="41" t="n">
        <v>45.3</v>
      </c>
      <c r="W681" s="3" t="n"/>
      <c r="X681" s="41" t="n">
        <v>42</v>
      </c>
      <c r="Y681" s="4" t="inlineStr">
        <is>
          <t>INFO_Slides_Q2-FY2021 p7</t>
        </is>
      </c>
    </row>
    <row r="682">
      <c r="A682" s="14" t="inlineStr">
        <is>
          <t>INFO_Slides_Q2-FY2021 · Quarterly Organic Growth - footnote (1)</t>
        </is>
      </c>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row>
    <row r="683">
      <c r="A683" s="38" t="inlineStr">
        <is>
          <t>Transportation non-recurring organic revenue growth including impact of cancelled events</t>
        </is>
      </c>
      <c r="B683" s="3" t="n"/>
      <c r="C683" s="3" t="n"/>
      <c r="D683" s="3" t="n"/>
      <c r="E683" s="3" t="n"/>
      <c r="F683" s="3" t="n"/>
      <c r="G683" s="3" t="n"/>
      <c r="H683" s="41" t="n">
        <v>-16</v>
      </c>
      <c r="I683" s="3" t="n"/>
      <c r="J683" s="3" t="n"/>
      <c r="K683" s="3" t="n"/>
      <c r="L683" s="3" t="n"/>
      <c r="M683" s="3" t="n"/>
      <c r="N683" s="3" t="n"/>
      <c r="O683" s="3" t="n"/>
      <c r="P683" s="3" t="n"/>
      <c r="Q683" s="3" t="n"/>
      <c r="R683" s="3" t="n"/>
      <c r="S683" s="3" t="n"/>
      <c r="T683" s="41" t="n">
        <v>-37</v>
      </c>
      <c r="U683" s="3" t="n"/>
      <c r="V683" s="3" t="n"/>
      <c r="W683" s="3" t="n"/>
      <c r="X683" s="3" t="n"/>
      <c r="Y683" s="4" t="inlineStr">
        <is>
          <t>INFO_Slides_Q2-FY2021 p5</t>
        </is>
      </c>
    </row>
    <row r="684">
      <c r="A684" s="38" t="inlineStr">
        <is>
          <t>Transportation total organic revenue growth including impact of cancelled events</t>
        </is>
      </c>
      <c r="B684" s="3" t="n"/>
      <c r="C684" s="3" t="n"/>
      <c r="D684" s="3" t="n"/>
      <c r="E684" s="3" t="n"/>
      <c r="F684" s="3" t="n"/>
      <c r="G684" s="3" t="n"/>
      <c r="H684" s="41" t="n">
        <v>-2</v>
      </c>
      <c r="I684" s="3" t="n"/>
      <c r="J684" s="3" t="n"/>
      <c r="K684" s="3" t="n"/>
      <c r="L684" s="3" t="n"/>
      <c r="M684" s="3" t="n"/>
      <c r="N684" s="3" t="n"/>
      <c r="O684" s="3" t="n"/>
      <c r="P684" s="3" t="n"/>
      <c r="Q684" s="3" t="n"/>
      <c r="R684" s="3" t="n"/>
      <c r="S684" s="3" t="n"/>
      <c r="T684" s="41" t="n">
        <v>-18</v>
      </c>
      <c r="U684" s="3" t="n"/>
      <c r="V684" s="3" t="n"/>
      <c r="W684" s="3" t="n"/>
      <c r="X684" s="3" t="n"/>
      <c r="Y684" s="4" t="inlineStr">
        <is>
          <t>INFO_Slides_Q2-FY2021 p5</t>
        </is>
      </c>
    </row>
    <row r="685">
      <c r="A685" s="14" t="inlineStr">
        <is>
          <t>INFO_Slides_Q3-FY2021 · Quarterly Revenue by Reported Segment</t>
        </is>
      </c>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row>
    <row r="686">
      <c r="A686" s="38" t="inlineStr">
        <is>
          <t>Recurring - Transportation</t>
        </is>
      </c>
      <c r="B686" s="3" t="n"/>
      <c r="C686" s="3" t="n"/>
      <c r="D686" s="3" t="n"/>
      <c r="E686" s="3" t="n"/>
      <c r="F686" s="3" t="n"/>
      <c r="G686" s="3" t="n"/>
      <c r="H686" s="30" t="n">
        <v>879</v>
      </c>
      <c r="I686" s="3" t="n"/>
      <c r="J686" s="3" t="n"/>
      <c r="K686" s="3" t="n"/>
      <c r="L686" s="3" t="n"/>
      <c r="M686" s="3" t="n"/>
      <c r="N686" s="3" t="n"/>
      <c r="O686" s="3" t="n"/>
      <c r="P686" s="3" t="n"/>
      <c r="Q686" s="3" t="n"/>
      <c r="R686" s="30" t="n">
        <v>228</v>
      </c>
      <c r="S686" s="30" t="n">
        <v>247</v>
      </c>
      <c r="T686" s="30" t="n">
        <v>187</v>
      </c>
      <c r="U686" s="30" t="n">
        <v>262</v>
      </c>
      <c r="V686" s="30" t="n">
        <v>227</v>
      </c>
      <c r="W686" s="30" t="n">
        <v>268</v>
      </c>
      <c r="X686" s="30" t="n">
        <v>238</v>
      </c>
      <c r="Y686" s="4" t="inlineStr">
        <is>
          <t>INFO_Slides_Q3-FY2021 p4</t>
        </is>
      </c>
    </row>
    <row r="687">
      <c r="A687" s="39" t="inlineStr">
        <is>
          <t>Total IHS Markit Recurring Revenue</t>
        </is>
      </c>
      <c r="B687" s="3" t="n"/>
      <c r="C687" s="3" t="n"/>
      <c r="D687" s="3" t="n"/>
      <c r="E687" s="3" t="n"/>
      <c r="F687" s="3" t="n"/>
      <c r="G687" s="3" t="n"/>
      <c r="H687" s="18" t="n">
        <v>3782</v>
      </c>
      <c r="I687" s="3" t="n"/>
      <c r="J687" s="3" t="n"/>
      <c r="K687" s="3" t="n"/>
      <c r="L687" s="3" t="n"/>
      <c r="M687" s="3" t="n"/>
      <c r="N687" s="3" t="n"/>
      <c r="O687" s="3" t="n"/>
      <c r="P687" s="3" t="n"/>
      <c r="Q687" s="3" t="n"/>
      <c r="R687" s="18" t="n">
        <v>951</v>
      </c>
      <c r="S687" s="18" t="n">
        <v>999</v>
      </c>
      <c r="T687" s="18" t="n">
        <v>913</v>
      </c>
      <c r="U687" s="18" t="n">
        <v>1019</v>
      </c>
      <c r="V687" s="18" t="n">
        <v>949</v>
      </c>
      <c r="W687" s="18" t="n">
        <v>1030</v>
      </c>
      <c r="X687" s="18" t="n">
        <v>968</v>
      </c>
      <c r="Y687" s="4" t="inlineStr">
        <is>
          <t>INFO_Slides_Q3-FY2021 p4</t>
        </is>
      </c>
    </row>
    <row r="688">
      <c r="A688" s="38" t="inlineStr">
        <is>
          <t>Non-Recurring - Transportation</t>
        </is>
      </c>
      <c r="B688" s="3" t="n"/>
      <c r="C688" s="3" t="n"/>
      <c r="D688" s="3" t="n"/>
      <c r="E688" s="3" t="n"/>
      <c r="F688" s="3" t="n"/>
      <c r="G688" s="3" t="n"/>
      <c r="H688" s="30" t="n">
        <v>273</v>
      </c>
      <c r="I688" s="3" t="n"/>
      <c r="J688" s="3" t="n"/>
      <c r="K688" s="3" t="n"/>
      <c r="L688" s="3" t="n"/>
      <c r="M688" s="3" t="n"/>
      <c r="N688" s="3" t="n"/>
      <c r="O688" s="3" t="n"/>
      <c r="P688" s="3" t="n"/>
      <c r="Q688" s="3" t="n"/>
      <c r="R688" s="30" t="n">
        <v>69</v>
      </c>
      <c r="S688" s="30" t="n">
        <v>65</v>
      </c>
      <c r="T688" s="30" t="n">
        <v>56</v>
      </c>
      <c r="U688" s="30" t="n">
        <v>83</v>
      </c>
      <c r="V688" s="30" t="n">
        <v>72</v>
      </c>
      <c r="W688" s="30" t="n">
        <v>80</v>
      </c>
      <c r="X688" s="30" t="n">
        <v>75</v>
      </c>
      <c r="Y688" s="4" t="inlineStr">
        <is>
          <t>INFO_Slides_Q3-FY2021 p4</t>
        </is>
      </c>
    </row>
    <row r="689">
      <c r="A689" s="39" t="inlineStr">
        <is>
          <t>Total IHS Markit Non-Recurring Revenue</t>
        </is>
      </c>
      <c r="B689" s="3" t="n"/>
      <c r="C689" s="3" t="n"/>
      <c r="D689" s="3" t="n"/>
      <c r="E689" s="3" t="n"/>
      <c r="F689" s="3" t="n"/>
      <c r="G689" s="3" t="n"/>
      <c r="H689" s="18" t="n">
        <v>506</v>
      </c>
      <c r="I689" s="3" t="n"/>
      <c r="J689" s="3" t="n"/>
      <c r="K689" s="3" t="n"/>
      <c r="L689" s="3" t="n"/>
      <c r="M689" s="3" t="n"/>
      <c r="N689" s="3" t="n"/>
      <c r="O689" s="3" t="n"/>
      <c r="P689" s="3" t="n"/>
      <c r="Q689" s="3" t="n"/>
      <c r="R689" s="18" t="n">
        <v>130</v>
      </c>
      <c r="S689" s="18" t="n">
        <v>121</v>
      </c>
      <c r="T689" s="18" t="n">
        <v>113</v>
      </c>
      <c r="U689" s="18" t="n">
        <v>163</v>
      </c>
      <c r="V689" s="18" t="n">
        <v>124</v>
      </c>
      <c r="W689" s="18" t="n">
        <v>151</v>
      </c>
      <c r="X689" s="18" t="n">
        <v>139</v>
      </c>
      <c r="Y689" s="4" t="inlineStr">
        <is>
          <t>INFO_Slides_Q3-FY2021 p4</t>
        </is>
      </c>
    </row>
    <row r="690">
      <c r="A690" s="39" t="inlineStr">
        <is>
          <t>Total - Transportation</t>
        </is>
      </c>
      <c r="B690" s="3" t="n"/>
      <c r="C690" s="3" t="n"/>
      <c r="D690" s="3" t="n"/>
      <c r="E690" s="3" t="n"/>
      <c r="F690" s="3" t="n"/>
      <c r="G690" s="3" t="n"/>
      <c r="H690" s="18" t="n">
        <v>1152</v>
      </c>
      <c r="I690" s="3" t="n"/>
      <c r="J690" s="3" t="n"/>
      <c r="K690" s="3" t="n"/>
      <c r="L690" s="3" t="n"/>
      <c r="M690" s="3" t="n"/>
      <c r="N690" s="3" t="n"/>
      <c r="O690" s="3" t="n"/>
      <c r="P690" s="3" t="n"/>
      <c r="Q690" s="3" t="n"/>
      <c r="R690" s="18" t="n">
        <v>297</v>
      </c>
      <c r="S690" s="18" t="n">
        <v>312</v>
      </c>
      <c r="T690" s="18" t="n">
        <v>243</v>
      </c>
      <c r="U690" s="18" t="n">
        <v>344</v>
      </c>
      <c r="V690" s="18" t="n">
        <v>299</v>
      </c>
      <c r="W690" s="18" t="n">
        <v>347</v>
      </c>
      <c r="X690" s="18" t="n">
        <v>312</v>
      </c>
      <c r="Y690" s="4" t="inlineStr">
        <is>
          <t>INFO_Slides_Q3-FY2021 p4</t>
        </is>
      </c>
    </row>
    <row r="691">
      <c r="A691" s="39" t="inlineStr">
        <is>
          <t>Total IHS Markit Revenue</t>
        </is>
      </c>
      <c r="B691" s="3" t="n"/>
      <c r="C691" s="3" t="n"/>
      <c r="D691" s="3" t="n"/>
      <c r="E691" s="3" t="n"/>
      <c r="F691" s="3" t="n"/>
      <c r="G691" s="3" t="n"/>
      <c r="H691" s="18" t="n">
        <v>4288</v>
      </c>
      <c r="I691" s="3" t="n"/>
      <c r="J691" s="3" t="n"/>
      <c r="K691" s="3" t="n"/>
      <c r="L691" s="3" t="n"/>
      <c r="M691" s="3" t="n"/>
      <c r="N691" s="3" t="n"/>
      <c r="O691" s="3" t="n"/>
      <c r="P691" s="3" t="n"/>
      <c r="Q691" s="3" t="n"/>
      <c r="R691" s="18" t="n">
        <v>1081</v>
      </c>
      <c r="S691" s="18" t="n">
        <v>1120</v>
      </c>
      <c r="T691" s="18" t="n">
        <v>1027</v>
      </c>
      <c r="U691" s="18" t="n">
        <v>1181</v>
      </c>
      <c r="V691" s="18" t="n">
        <v>1073</v>
      </c>
      <c r="W691" s="18" t="n">
        <v>1181</v>
      </c>
      <c r="X691" s="18" t="n">
        <v>1107</v>
      </c>
      <c r="Y691" s="4" t="inlineStr">
        <is>
          <t>INFO_Slides_Q3-FY2021 p4</t>
        </is>
      </c>
    </row>
    <row r="692">
      <c r="A692" s="14" t="inlineStr">
        <is>
          <t>INFO_Slides_Q3-FY2021 · Quarterly Organic Growth</t>
        </is>
      </c>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row>
    <row r="693">
      <c r="A693" s="38" t="inlineStr">
        <is>
          <t>Recurring - Transportation organic growth</t>
        </is>
      </c>
      <c r="B693" s="3" t="n"/>
      <c r="C693" s="3" t="n"/>
      <c r="D693" s="3" t="n"/>
      <c r="E693" s="3" t="n"/>
      <c r="F693" s="3" t="n"/>
      <c r="G693" s="3" t="n"/>
      <c r="H693" s="3" t="n"/>
      <c r="I693" s="3" t="n"/>
      <c r="J693" s="3" t="n"/>
      <c r="K693" s="3" t="n"/>
      <c r="L693" s="3" t="n"/>
      <c r="M693" s="3" t="n"/>
      <c r="N693" s="3" t="n"/>
      <c r="O693" s="3" t="n"/>
      <c r="P693" s="3" t="n"/>
      <c r="Q693" s="3" t="n"/>
      <c r="R693" s="41" t="n">
        <v>12</v>
      </c>
      <c r="S693" s="41" t="n">
        <v>8</v>
      </c>
      <c r="T693" s="3" t="n"/>
      <c r="U693" s="41" t="n">
        <v>38</v>
      </c>
      <c r="V693" s="3" t="n"/>
      <c r="W693" s="3" t="n"/>
      <c r="X693" s="41" t="n">
        <v>6</v>
      </c>
      <c r="Y693" s="4" t="inlineStr">
        <is>
          <t>INFO_Slides_Q3-FY2021 p5</t>
        </is>
      </c>
    </row>
    <row r="694">
      <c r="A694" s="38" t="inlineStr">
        <is>
          <t>Recurring - Transportation organic growth (Normalized column)</t>
        </is>
      </c>
      <c r="B694" s="3" t="n"/>
      <c r="C694" s="3" t="n"/>
      <c r="D694" s="3" t="n"/>
      <c r="E694" s="3" t="n"/>
      <c r="F694" s="3" t="n"/>
      <c r="G694" s="3" t="n"/>
      <c r="H694" s="41" t="n">
        <v>3</v>
      </c>
      <c r="I694" s="3" t="n"/>
      <c r="J694" s="3" t="n"/>
      <c r="K694" s="3" t="n"/>
      <c r="L694" s="3" t="n"/>
      <c r="M694" s="3" t="n"/>
      <c r="N694" s="3" t="n"/>
      <c r="O694" s="3" t="n"/>
      <c r="P694" s="3" t="n"/>
      <c r="Q694" s="3" t="n"/>
      <c r="R694" s="3" t="n"/>
      <c r="S694" s="3" t="n"/>
      <c r="T694" s="41" t="n">
        <v>-10</v>
      </c>
      <c r="U694" s="3" t="n"/>
      <c r="V694" s="41" t="n">
        <v>5</v>
      </c>
      <c r="W694" s="41" t="n">
        <v>17</v>
      </c>
      <c r="X694" s="3" t="n"/>
      <c r="Y694" s="4" t="inlineStr">
        <is>
          <t>INFO_Slides_Q3-FY2021 p5</t>
        </is>
      </c>
    </row>
    <row r="695">
      <c r="A695" s="38" t="inlineStr">
        <is>
          <t>Total Recurring Organic Growth %</t>
        </is>
      </c>
      <c r="B695" s="3" t="n"/>
      <c r="C695" s="3" t="n"/>
      <c r="D695" s="3" t="n"/>
      <c r="E695" s="3" t="n"/>
      <c r="F695" s="3" t="n"/>
      <c r="G695" s="3" t="n"/>
      <c r="H695" s="3" t="n"/>
      <c r="I695" s="3" t="n"/>
      <c r="J695" s="3" t="n"/>
      <c r="K695" s="3" t="n"/>
      <c r="L695" s="3" t="n"/>
      <c r="M695" s="3" t="n"/>
      <c r="N695" s="3" t="n"/>
      <c r="O695" s="3" t="n"/>
      <c r="P695" s="3" t="n"/>
      <c r="Q695" s="3" t="n"/>
      <c r="R695" s="41" t="n">
        <v>7</v>
      </c>
      <c r="S695" s="41" t="n">
        <v>4</v>
      </c>
      <c r="T695" s="3" t="n"/>
      <c r="U695" s="41" t="n">
        <v>10</v>
      </c>
      <c r="V695" s="3" t="n"/>
      <c r="W695" s="3" t="n"/>
      <c r="X695" s="41" t="n">
        <v>2</v>
      </c>
      <c r="Y695" s="4" t="inlineStr">
        <is>
          <t>INFO_Slides_Q3-FY2021 p5</t>
        </is>
      </c>
    </row>
    <row r="696">
      <c r="A696" s="38" t="inlineStr">
        <is>
          <t>Total Recurring Organic Growth % (Normalized column)</t>
        </is>
      </c>
      <c r="B696" s="3" t="n"/>
      <c r="C696" s="3" t="n"/>
      <c r="D696" s="3" t="n"/>
      <c r="E696" s="3" t="n"/>
      <c r="F696" s="3" t="n"/>
      <c r="G696" s="3" t="n"/>
      <c r="H696" s="41" t="n">
        <v>3</v>
      </c>
      <c r="I696" s="3" t="n"/>
      <c r="J696" s="3" t="n"/>
      <c r="K696" s="3" t="n"/>
      <c r="L696" s="3" t="n"/>
      <c r="M696" s="3" t="n"/>
      <c r="N696" s="3" t="n"/>
      <c r="O696" s="3" t="n"/>
      <c r="P696" s="3" t="n"/>
      <c r="Q696" s="3" t="n"/>
      <c r="R696" s="3" t="n"/>
      <c r="S696" s="3" t="n"/>
      <c r="T696" s="41" t="n">
        <v>1</v>
      </c>
      <c r="U696" s="3" t="n"/>
      <c r="V696" s="41" t="n">
        <v>2</v>
      </c>
      <c r="W696" s="41" t="n">
        <v>7</v>
      </c>
      <c r="X696" s="3" t="n"/>
      <c r="Y696" s="4" t="inlineStr">
        <is>
          <t>INFO_Slides_Q3-FY2021 p5</t>
        </is>
      </c>
    </row>
    <row r="697">
      <c r="A697" s="38" t="inlineStr">
        <is>
          <t>Non-Recurring - Transportation organic growth</t>
        </is>
      </c>
      <c r="B697" s="3" t="n"/>
      <c r="C697" s="3" t="n"/>
      <c r="D697" s="3" t="n"/>
      <c r="E697" s="3" t="n"/>
      <c r="F697" s="3" t="n"/>
      <c r="G697" s="3" t="n"/>
      <c r="H697" s="3" t="n"/>
      <c r="I697" s="3" t="n"/>
      <c r="J697" s="3" t="n"/>
      <c r="K697" s="3" t="n"/>
      <c r="L697" s="3" t="n"/>
      <c r="M697" s="3" t="n"/>
      <c r="N697" s="3" t="n"/>
      <c r="O697" s="3" t="n"/>
      <c r="P697" s="3" t="n"/>
      <c r="Q697" s="3" t="n"/>
      <c r="R697" s="41" t="n">
        <v>-1</v>
      </c>
      <c r="S697" s="41" t="n">
        <v>-8</v>
      </c>
      <c r="T697" s="3" t="n"/>
      <c r="U697" s="41" t="n">
        <v>41</v>
      </c>
      <c r="V697" s="3" t="n"/>
      <c r="W697" s="3" t="n"/>
      <c r="X697" s="41" t="n">
        <v>-9</v>
      </c>
      <c r="Y697" s="4" t="inlineStr">
        <is>
          <t>INFO_Slides_Q3-FY2021 p5</t>
        </is>
      </c>
    </row>
    <row r="698">
      <c r="A698" s="38" t="inlineStr">
        <is>
          <t>Non-Recurring - Transportation organic growth (Normalized column)</t>
        </is>
      </c>
      <c r="B698" s="3" t="n"/>
      <c r="C698" s="3" t="n"/>
      <c r="D698" s="3" t="n"/>
      <c r="E698" s="3" t="n"/>
      <c r="F698" s="3" t="n"/>
      <c r="G698" s="3" t="n"/>
      <c r="H698" s="41" t="n">
        <v>-14</v>
      </c>
      <c r="I698" s="3" t="n"/>
      <c r="J698" s="3" t="n"/>
      <c r="K698" s="3" t="n"/>
      <c r="L698" s="3" t="n"/>
      <c r="M698" s="3" t="n"/>
      <c r="N698" s="3" t="n"/>
      <c r="O698" s="3" t="n"/>
      <c r="P698" s="3" t="n"/>
      <c r="Q698" s="3" t="n"/>
      <c r="R698" s="3" t="n"/>
      <c r="S698" s="3" t="n"/>
      <c r="T698" s="41" t="n">
        <v>-31</v>
      </c>
      <c r="U698" s="3" t="n"/>
      <c r="V698" s="41" t="n">
        <v>-12</v>
      </c>
      <c r="W698" s="41" t="n">
        <v>8</v>
      </c>
      <c r="X698" s="3" t="n"/>
      <c r="Y698" s="4" t="inlineStr">
        <is>
          <t>INFO_Slides_Q3-FY2021 p5</t>
        </is>
      </c>
    </row>
    <row r="699">
      <c r="A699" s="38" t="inlineStr">
        <is>
          <t>Total Non-Recurring Organic Growth %</t>
        </is>
      </c>
      <c r="B699" s="3" t="n"/>
      <c r="C699" s="3" t="n"/>
      <c r="D699" s="3" t="n"/>
      <c r="E699" s="3" t="n"/>
      <c r="F699" s="3" t="n"/>
      <c r="G699" s="3" t="n"/>
      <c r="H699" s="3" t="n"/>
      <c r="I699" s="3" t="n"/>
      <c r="J699" s="3" t="n"/>
      <c r="K699" s="3" t="n"/>
      <c r="L699" s="3" t="n"/>
      <c r="M699" s="3" t="n"/>
      <c r="N699" s="3" t="n"/>
      <c r="O699" s="3" t="n"/>
      <c r="P699" s="3" t="n"/>
      <c r="Q699" s="3" t="n"/>
      <c r="R699" s="41" t="n">
        <v>-5</v>
      </c>
      <c r="S699" s="41" t="n">
        <v>-7</v>
      </c>
      <c r="T699" s="3" t="n"/>
      <c r="U699" s="41" t="n">
        <v>41</v>
      </c>
      <c r="V699" s="3" t="n"/>
      <c r="W699" s="3" t="n"/>
      <c r="X699" s="41" t="n">
        <v>-11</v>
      </c>
      <c r="Y699" s="4" t="inlineStr">
        <is>
          <t>INFO_Slides_Q3-FY2021 p5</t>
        </is>
      </c>
    </row>
    <row r="700">
      <c r="A700" s="38" t="inlineStr">
        <is>
          <t>Total Non-Recurring Organic Growth % (Normalized column)</t>
        </is>
      </c>
      <c r="B700" s="3" t="n"/>
      <c r="C700" s="3" t="n"/>
      <c r="D700" s="3" t="n"/>
      <c r="E700" s="3" t="n"/>
      <c r="F700" s="3" t="n"/>
      <c r="G700" s="3" t="n"/>
      <c r="H700" s="41" t="n">
        <v>-15</v>
      </c>
      <c r="I700" s="3" t="n"/>
      <c r="J700" s="3" t="n"/>
      <c r="K700" s="3" t="n"/>
      <c r="L700" s="3" t="n"/>
      <c r="M700" s="3" t="n"/>
      <c r="N700" s="3" t="n"/>
      <c r="O700" s="3" t="n"/>
      <c r="P700" s="3" t="n"/>
      <c r="Q700" s="3" t="n"/>
      <c r="R700" s="3" t="n"/>
      <c r="S700" s="3" t="n"/>
      <c r="T700" s="41" t="n">
        <v>-26</v>
      </c>
      <c r="U700" s="3" t="n"/>
      <c r="V700" s="41" t="n">
        <v>-18</v>
      </c>
      <c r="W700" s="41" t="n">
        <v>14</v>
      </c>
      <c r="X700" s="3" t="n"/>
      <c r="Y700" s="4" t="inlineStr">
        <is>
          <t>INFO_Slides_Q3-FY2021 p5</t>
        </is>
      </c>
    </row>
    <row r="701">
      <c r="A701" s="38" t="inlineStr">
        <is>
          <t>Total - Transportation organic growth</t>
        </is>
      </c>
      <c r="B701" s="3" t="n"/>
      <c r="C701" s="3" t="n"/>
      <c r="D701" s="3" t="n"/>
      <c r="E701" s="3" t="n"/>
      <c r="F701" s="3" t="n"/>
      <c r="G701" s="3" t="n"/>
      <c r="H701" s="3" t="n"/>
      <c r="I701" s="3" t="n"/>
      <c r="J701" s="3" t="n"/>
      <c r="K701" s="3" t="n"/>
      <c r="L701" s="3" t="n"/>
      <c r="M701" s="3" t="n"/>
      <c r="N701" s="3" t="n"/>
      <c r="O701" s="3" t="n"/>
      <c r="P701" s="3" t="n"/>
      <c r="Q701" s="3" t="n"/>
      <c r="R701" s="41" t="n">
        <v>9</v>
      </c>
      <c r="S701" s="41" t="n">
        <v>4</v>
      </c>
      <c r="T701" s="3" t="n"/>
      <c r="U701" s="41" t="n">
        <v>39</v>
      </c>
      <c r="V701" s="3" t="n"/>
      <c r="W701" s="3" t="n"/>
      <c r="X701" s="41" t="n">
        <v>2</v>
      </c>
      <c r="Y701" s="4" t="inlineStr">
        <is>
          <t>INFO_Slides_Q3-FY2021 p5</t>
        </is>
      </c>
    </row>
    <row r="702">
      <c r="A702" s="38" t="inlineStr">
        <is>
          <t>Total - Transportation organic growth (Normalized column)</t>
        </is>
      </c>
      <c r="B702" s="3" t="n"/>
      <c r="C702" s="3" t="n"/>
      <c r="D702" s="3" t="n"/>
      <c r="E702" s="3" t="n"/>
      <c r="F702" s="3" t="n"/>
      <c r="G702" s="3" t="n"/>
      <c r="H702" s="41" t="n">
        <v>-2</v>
      </c>
      <c r="I702" s="3" t="n"/>
      <c r="J702" s="3" t="n"/>
      <c r="K702" s="3" t="n"/>
      <c r="L702" s="3" t="n"/>
      <c r="M702" s="3" t="n"/>
      <c r="N702" s="3" t="n"/>
      <c r="O702" s="3" t="n"/>
      <c r="P702" s="3" t="n"/>
      <c r="Q702" s="3" t="n"/>
      <c r="R702" s="3" t="n"/>
      <c r="S702" s="3" t="n"/>
      <c r="T702" s="41" t="n">
        <v>-16</v>
      </c>
      <c r="U702" s="3" t="n"/>
      <c r="V702" s="41" t="n">
        <v>0</v>
      </c>
      <c r="W702" s="41" t="n">
        <v>15</v>
      </c>
      <c r="X702" s="3" t="n"/>
      <c r="Y702" s="4" t="inlineStr">
        <is>
          <t>INFO_Slides_Q3-FY2021 p5</t>
        </is>
      </c>
    </row>
    <row r="703">
      <c r="A703" s="38" t="inlineStr">
        <is>
          <t>Total Organic Growth %</t>
        </is>
      </c>
      <c r="B703" s="3" t="n"/>
      <c r="C703" s="3" t="n"/>
      <c r="D703" s="3" t="n"/>
      <c r="E703" s="3" t="n"/>
      <c r="F703" s="3" t="n"/>
      <c r="G703" s="3" t="n"/>
      <c r="H703" s="3" t="n"/>
      <c r="I703" s="3" t="n"/>
      <c r="J703" s="3" t="n"/>
      <c r="K703" s="3" t="n"/>
      <c r="L703" s="3" t="n"/>
      <c r="M703" s="3" t="n"/>
      <c r="N703" s="3" t="n"/>
      <c r="O703" s="3" t="n"/>
      <c r="P703" s="3" t="n"/>
      <c r="Q703" s="3" t="n"/>
      <c r="R703" s="41" t="n">
        <v>6</v>
      </c>
      <c r="S703" s="41" t="n">
        <v>3</v>
      </c>
      <c r="T703" s="3" t="n"/>
      <c r="U703" s="41" t="n">
        <v>13</v>
      </c>
      <c r="V703" s="3" t="n"/>
      <c r="W703" s="3" t="n"/>
      <c r="X703" s="41" t="n">
        <v>0</v>
      </c>
      <c r="Y703" s="4" t="inlineStr">
        <is>
          <t>INFO_Slides_Q3-FY2021 p5</t>
        </is>
      </c>
    </row>
    <row r="704">
      <c r="A704" s="38" t="inlineStr">
        <is>
          <t>Total Organic Growth % (Normalized column)</t>
        </is>
      </c>
      <c r="B704" s="3" t="n"/>
      <c r="C704" s="3" t="n"/>
      <c r="D704" s="3" t="n"/>
      <c r="E704" s="3" t="n"/>
      <c r="F704" s="3" t="n"/>
      <c r="G704" s="3" t="n"/>
      <c r="H704" s="41" t="n">
        <v>0</v>
      </c>
      <c r="I704" s="3" t="n"/>
      <c r="J704" s="3" t="n"/>
      <c r="K704" s="3" t="n"/>
      <c r="L704" s="3" t="n"/>
      <c r="M704" s="3" t="n"/>
      <c r="N704" s="3" t="n"/>
      <c r="O704" s="3" t="n"/>
      <c r="P704" s="3" t="n"/>
      <c r="Q704" s="3" t="n"/>
      <c r="R704" s="3" t="n"/>
      <c r="S704" s="3" t="n"/>
      <c r="T704" s="41" t="n">
        <v>-3</v>
      </c>
      <c r="U704" s="3" t="n"/>
      <c r="V704" s="41" t="n">
        <v>0</v>
      </c>
      <c r="W704" s="41" t="n">
        <v>8</v>
      </c>
      <c r="X704" s="3" t="n"/>
      <c r="Y704" s="4" t="inlineStr">
        <is>
          <t>INFO_Slides_Q3-FY2021 p5</t>
        </is>
      </c>
    </row>
    <row r="705">
      <c r="A705" s="14" t="inlineStr">
        <is>
          <t>INFO_Slides_Q3-FY2021 · Quarterly Adjusted EBITDA View by Reported Segment</t>
        </is>
      </c>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row>
    <row r="706">
      <c r="A706" s="38" t="inlineStr">
        <is>
          <t>Adjusted EBITDA - Transportation</t>
        </is>
      </c>
      <c r="B706" s="3" t="n"/>
      <c r="C706" s="3" t="n"/>
      <c r="D706" s="3" t="n"/>
      <c r="E706" s="3" t="n"/>
      <c r="F706" s="3" t="n"/>
      <c r="G706" s="3" t="n"/>
      <c r="H706" s="30" t="n">
        <v>515</v>
      </c>
      <c r="I706" s="3" t="n"/>
      <c r="J706" s="3" t="n"/>
      <c r="K706" s="3" t="n"/>
      <c r="L706" s="3" t="n"/>
      <c r="M706" s="3" t="n"/>
      <c r="N706" s="3" t="n"/>
      <c r="O706" s="3" t="n"/>
      <c r="P706" s="3" t="n"/>
      <c r="Q706" s="3" t="n"/>
      <c r="R706" s="30" t="n">
        <v>118</v>
      </c>
      <c r="S706" s="30" t="n">
        <v>147</v>
      </c>
      <c r="T706" s="30" t="n">
        <v>102</v>
      </c>
      <c r="U706" s="30" t="n">
        <v>171</v>
      </c>
      <c r="V706" s="30" t="n">
        <v>154</v>
      </c>
      <c r="W706" s="30" t="n">
        <v>167</v>
      </c>
      <c r="X706" s="30" t="n">
        <v>141</v>
      </c>
      <c r="Y706" s="4" t="inlineStr">
        <is>
          <t>INFO_Slides_Q3-FY2021 p7</t>
        </is>
      </c>
    </row>
    <row r="707">
      <c r="A707" s="39" t="inlineStr">
        <is>
          <t>Total IHS Markit Adjusted EBITDA</t>
        </is>
      </c>
      <c r="B707" s="3" t="n"/>
      <c r="C707" s="3" t="n"/>
      <c r="D707" s="3" t="n"/>
      <c r="E707" s="3" t="n"/>
      <c r="F707" s="3" t="n"/>
      <c r="G707" s="3" t="n"/>
      <c r="H707" s="18" t="n">
        <v>1837</v>
      </c>
      <c r="I707" s="3" t="n"/>
      <c r="J707" s="3" t="n"/>
      <c r="K707" s="3" t="n"/>
      <c r="L707" s="3" t="n"/>
      <c r="M707" s="3" t="n"/>
      <c r="N707" s="3" t="n"/>
      <c r="O707" s="3" t="n"/>
      <c r="P707" s="3" t="n"/>
      <c r="Q707" s="3" t="n"/>
      <c r="R707" s="18" t="n">
        <v>432</v>
      </c>
      <c r="S707" s="18" t="n">
        <v>467</v>
      </c>
      <c r="T707" s="18" t="n">
        <v>454</v>
      </c>
      <c r="U707" s="18" t="n">
        <v>517</v>
      </c>
      <c r="V707" s="18" t="n">
        <v>486</v>
      </c>
      <c r="W707" s="18" t="n">
        <v>516</v>
      </c>
      <c r="X707" s="18" t="n">
        <v>465</v>
      </c>
      <c r="Y707" s="4" t="inlineStr">
        <is>
          <t>INFO_Slides_Q3-FY2021 p7</t>
        </is>
      </c>
    </row>
    <row r="708">
      <c r="A708" s="38" t="inlineStr">
        <is>
          <t>Adjusted EBITDA Margin % - Transportation</t>
        </is>
      </c>
      <c r="B708" s="3" t="n"/>
      <c r="C708" s="3" t="n"/>
      <c r="D708" s="3" t="n"/>
      <c r="E708" s="3" t="n"/>
      <c r="F708" s="3" t="n"/>
      <c r="G708" s="3" t="n"/>
      <c r="H708" s="41" t="n">
        <v>44.7</v>
      </c>
      <c r="I708" s="3" t="n"/>
      <c r="J708" s="3" t="n"/>
      <c r="K708" s="3" t="n"/>
      <c r="L708" s="3" t="n"/>
      <c r="M708" s="3" t="n"/>
      <c r="N708" s="3" t="n"/>
      <c r="O708" s="3" t="n"/>
      <c r="P708" s="3" t="n"/>
      <c r="Q708" s="3" t="n"/>
      <c r="R708" s="41" t="n">
        <v>39.7</v>
      </c>
      <c r="S708" s="41" t="n">
        <v>47.1</v>
      </c>
      <c r="T708" s="41" t="n">
        <v>41.8</v>
      </c>
      <c r="U708" s="41" t="n">
        <v>49.6</v>
      </c>
      <c r="V708" s="41" t="n">
        <v>51.4</v>
      </c>
      <c r="W708" s="41" t="n">
        <v>48.1</v>
      </c>
      <c r="X708" s="41" t="n">
        <v>45.3</v>
      </c>
      <c r="Y708" s="4" t="inlineStr">
        <is>
          <t>INFO_Slides_Q3-FY2021 p7</t>
        </is>
      </c>
    </row>
    <row r="709">
      <c r="A709" s="38" t="inlineStr">
        <is>
          <t>Total Adjusted EBITDA Margin %</t>
        </is>
      </c>
      <c r="B709" s="3" t="n"/>
      <c r="C709" s="3" t="n"/>
      <c r="D709" s="3" t="n"/>
      <c r="E709" s="3" t="n"/>
      <c r="F709" s="3" t="n"/>
      <c r="G709" s="3" t="n"/>
      <c r="H709" s="41" t="n">
        <v>42.8</v>
      </c>
      <c r="I709" s="3" t="n"/>
      <c r="J709" s="3" t="n"/>
      <c r="K709" s="3" t="n"/>
      <c r="L709" s="3" t="n"/>
      <c r="M709" s="3" t="n"/>
      <c r="N709" s="3" t="n"/>
      <c r="O709" s="3" t="n"/>
      <c r="P709" s="3" t="n"/>
      <c r="Q709" s="3" t="n"/>
      <c r="R709" s="41" t="n">
        <v>39.9</v>
      </c>
      <c r="S709" s="41" t="n">
        <v>41.7</v>
      </c>
      <c r="T709" s="41" t="n">
        <v>44.2</v>
      </c>
      <c r="U709" s="41" t="n">
        <v>43.8</v>
      </c>
      <c r="V709" s="41" t="n">
        <v>45.3</v>
      </c>
      <c r="W709" s="41" t="n">
        <v>43.7</v>
      </c>
      <c r="X709" s="41" t="n">
        <v>42</v>
      </c>
      <c r="Y709" s="4" t="inlineStr">
        <is>
          <t>INFO_Slides_Q3-FY2021 p7</t>
        </is>
      </c>
    </row>
    <row r="710">
      <c r="A710" s="14" t="inlineStr">
        <is>
          <t>INFO_Slides_Q3-FY2021 · Quarterly Organic Growth - footnote (1)</t>
        </is>
      </c>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row>
    <row r="711">
      <c r="A711" s="38" t="inlineStr">
        <is>
          <t>Transportation non-recurring organic revenue growth including impact of cancelled events</t>
        </is>
      </c>
      <c r="B711" s="3" t="n"/>
      <c r="C711" s="3" t="n"/>
      <c r="D711" s="3" t="n"/>
      <c r="E711" s="3" t="n"/>
      <c r="F711" s="3" t="n"/>
      <c r="G711" s="3" t="n"/>
      <c r="H711" s="41" t="n">
        <v>-16</v>
      </c>
      <c r="I711" s="3" t="n"/>
      <c r="J711" s="3" t="n"/>
      <c r="K711" s="3" t="n"/>
      <c r="L711" s="3" t="n"/>
      <c r="M711" s="3" t="n"/>
      <c r="N711" s="3" t="n"/>
      <c r="O711" s="3" t="n"/>
      <c r="P711" s="3" t="n"/>
      <c r="Q711" s="3" t="n"/>
      <c r="R711" s="3" t="n"/>
      <c r="S711" s="3" t="n"/>
      <c r="T711" s="41" t="n">
        <v>-37</v>
      </c>
      <c r="U711" s="3" t="n"/>
      <c r="V711" s="3" t="n"/>
      <c r="W711" s="3" t="n"/>
      <c r="X711" s="3" t="n"/>
      <c r="Y711" s="4" t="inlineStr">
        <is>
          <t>INFO_Slides_Q3-FY2021 p5</t>
        </is>
      </c>
    </row>
    <row r="712">
      <c r="A712" s="38" t="inlineStr">
        <is>
          <t>Transportation total organic revenue growth including impact of cancelled events</t>
        </is>
      </c>
      <c r="B712" s="3" t="n"/>
      <c r="C712" s="3" t="n"/>
      <c r="D712" s="3" t="n"/>
      <c r="E712" s="3" t="n"/>
      <c r="F712" s="3" t="n"/>
      <c r="G712" s="3" t="n"/>
      <c r="H712" s="41" t="n">
        <v>-2</v>
      </c>
      <c r="I712" s="3" t="n"/>
      <c r="J712" s="3" t="n"/>
      <c r="K712" s="3" t="n"/>
      <c r="L712" s="3" t="n"/>
      <c r="M712" s="3" t="n"/>
      <c r="N712" s="3" t="n"/>
      <c r="O712" s="3" t="n"/>
      <c r="P712" s="3" t="n"/>
      <c r="Q712" s="3" t="n"/>
      <c r="R712" s="3" t="n"/>
      <c r="S712" s="3" t="n"/>
      <c r="T712" s="41" t="n">
        <v>-18</v>
      </c>
      <c r="U712" s="3" t="n"/>
      <c r="V712" s="3" t="n"/>
      <c r="W712" s="3" t="n"/>
      <c r="X712" s="3" t="n"/>
      <c r="Y712" s="4" t="inlineStr">
        <is>
          <t>INFO_Slides_Q3-FY2021 p5</t>
        </is>
      </c>
    </row>
    <row r="713">
      <c r="A713" s="14" t="inlineStr">
        <is>
          <t>INFO_Slides_Q3-FY2021 · Guidance (consolidated)</t>
        </is>
      </c>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row>
    <row r="714">
      <c r="A714" s="38" t="inlineStr">
        <is>
          <t>Guidance commentary relevant to segments</t>
        </is>
      </c>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42" t="inlineStr">
        <is>
          <t>FY2021 guidance updated: revenue +$20m for operational strength, Q4 adjusted for MarkitSERV JV (-$45m) and lower FX benefit (-$10m); no segment-level guidance printed.</t>
        </is>
      </c>
      <c r="X714" s="3" t="n"/>
      <c r="Y714" s="4" t="inlineStr">
        <is>
          <t>INFO_Slides_Q3-FY2021 p3</t>
        </is>
      </c>
    </row>
    <row r="715">
      <c r="A715" s="14" t="inlineStr">
        <is>
          <t>INFO_10K_FY2021 · MD&amp;A Revenue by Transaction Type (consolidated)</t>
        </is>
      </c>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row>
    <row r="716">
      <c r="A716" s="38" t="inlineStr">
        <is>
          <t>Recurring fixed</t>
        </is>
      </c>
      <c r="B716" s="3" t="n"/>
      <c r="C716" s="3" t="n"/>
      <c r="D716" s="3" t="n"/>
      <c r="E716" s="3" t="n"/>
      <c r="F716" s="3" t="n"/>
      <c r="G716" s="30" t="n">
        <v>3162.4</v>
      </c>
      <c r="H716" s="30" t="n">
        <v>3165.2</v>
      </c>
      <c r="I716" s="30" t="n">
        <v>3395.7</v>
      </c>
      <c r="J716" s="3" t="n"/>
      <c r="K716" s="3" t="n"/>
      <c r="L716" s="3" t="n"/>
      <c r="M716" s="3" t="n"/>
      <c r="N716" s="3" t="n"/>
      <c r="O716" s="3" t="n"/>
      <c r="P716" s="3" t="n"/>
      <c r="Q716" s="3" t="n"/>
      <c r="R716" s="3" t="n"/>
      <c r="S716" s="3" t="n"/>
      <c r="T716" s="3" t="n"/>
      <c r="U716" s="3" t="n"/>
      <c r="V716" s="3" t="n"/>
      <c r="W716" s="3" t="n"/>
      <c r="X716" s="3" t="n"/>
      <c r="Y716" s="4" t="inlineStr">
        <is>
          <t>INFO_10K_FY2021 p75</t>
        </is>
      </c>
    </row>
    <row r="717">
      <c r="A717" s="38" t="inlineStr">
        <is>
          <t>Recurring fixed % Change Total</t>
        </is>
      </c>
      <c r="B717" s="3" t="n"/>
      <c r="C717" s="3" t="n"/>
      <c r="D717" s="3" t="n"/>
      <c r="E717" s="3" t="n"/>
      <c r="F717" s="3" t="n"/>
      <c r="G717" s="3" t="n"/>
      <c r="H717" s="41" t="n">
        <v>0</v>
      </c>
      <c r="I717" s="41" t="n">
        <v>7</v>
      </c>
      <c r="J717" s="3" t="n"/>
      <c r="K717" s="3" t="n"/>
      <c r="L717" s="3" t="n"/>
      <c r="M717" s="3" t="n"/>
      <c r="N717" s="3" t="n"/>
      <c r="O717" s="3" t="n"/>
      <c r="P717" s="3" t="n"/>
      <c r="Q717" s="3" t="n"/>
      <c r="R717" s="3" t="n"/>
      <c r="S717" s="3" t="n"/>
      <c r="T717" s="3" t="n"/>
      <c r="U717" s="3" t="n"/>
      <c r="V717" s="3" t="n"/>
      <c r="W717" s="3" t="n"/>
      <c r="X717" s="3" t="n"/>
      <c r="Y717" s="4" t="inlineStr">
        <is>
          <t>INFO_10K_FY2021 p75</t>
        </is>
      </c>
    </row>
    <row r="718">
      <c r="A718" s="38" t="inlineStr">
        <is>
          <t>Recurring fixed % Change Organic</t>
        </is>
      </c>
      <c r="B718" s="3" t="n"/>
      <c r="C718" s="3" t="n"/>
      <c r="D718" s="3" t="n"/>
      <c r="E718" s="3" t="n"/>
      <c r="F718" s="3" t="n"/>
      <c r="G718" s="3" t="n"/>
      <c r="H718" s="41" t="n">
        <v>2</v>
      </c>
      <c r="I718" s="41" t="n">
        <v>7</v>
      </c>
      <c r="J718" s="3" t="n"/>
      <c r="K718" s="3" t="n"/>
      <c r="L718" s="3" t="n"/>
      <c r="M718" s="3" t="n"/>
      <c r="N718" s="3" t="n"/>
      <c r="O718" s="3" t="n"/>
      <c r="P718" s="3" t="n"/>
      <c r="Q718" s="3" t="n"/>
      <c r="R718" s="3" t="n"/>
      <c r="S718" s="3" t="n"/>
      <c r="T718" s="3" t="n"/>
      <c r="U718" s="3" t="n"/>
      <c r="V718" s="3" t="n"/>
      <c r="W718" s="3" t="n"/>
      <c r="X718" s="3" t="n"/>
      <c r="Y718" s="4" t="inlineStr">
        <is>
          <t>INFO_10K_FY2021 p75</t>
        </is>
      </c>
    </row>
    <row r="719">
      <c r="A719" s="38" t="inlineStr">
        <is>
          <t>Recurring variable</t>
        </is>
      </c>
      <c r="B719" s="3" t="n"/>
      <c r="C719" s="3" t="n"/>
      <c r="D719" s="3" t="n"/>
      <c r="E719" s="3" t="n"/>
      <c r="F719" s="3" t="n"/>
      <c r="G719" s="30" t="n">
        <v>572.9</v>
      </c>
      <c r="H719" s="30" t="n">
        <v>616.3</v>
      </c>
      <c r="I719" s="30" t="n">
        <v>669.9</v>
      </c>
      <c r="J719" s="3" t="n"/>
      <c r="K719" s="3" t="n"/>
      <c r="L719" s="3" t="n"/>
      <c r="M719" s="3" t="n"/>
      <c r="N719" s="3" t="n"/>
      <c r="O719" s="3" t="n"/>
      <c r="P719" s="3" t="n"/>
      <c r="Q719" s="3" t="n"/>
      <c r="R719" s="3" t="n"/>
      <c r="S719" s="3" t="n"/>
      <c r="T719" s="3" t="n"/>
      <c r="U719" s="3" t="n"/>
      <c r="V719" s="3" t="n"/>
      <c r="W719" s="3" t="n"/>
      <c r="X719" s="3" t="n"/>
      <c r="Y719" s="4" t="inlineStr">
        <is>
          <t>INFO_10K_FY2021 p75</t>
        </is>
      </c>
    </row>
    <row r="720">
      <c r="A720" s="38" t="inlineStr">
        <is>
          <t>Recurring variable % Change Total</t>
        </is>
      </c>
      <c r="B720" s="3" t="n"/>
      <c r="C720" s="3" t="n"/>
      <c r="D720" s="3" t="n"/>
      <c r="E720" s="3" t="n"/>
      <c r="F720" s="3" t="n"/>
      <c r="G720" s="3" t="n"/>
      <c r="H720" s="41" t="n">
        <v>8</v>
      </c>
      <c r="I720" s="41" t="n">
        <v>9</v>
      </c>
      <c r="J720" s="3" t="n"/>
      <c r="K720" s="3" t="n"/>
      <c r="L720" s="3" t="n"/>
      <c r="M720" s="3" t="n"/>
      <c r="N720" s="3" t="n"/>
      <c r="O720" s="3" t="n"/>
      <c r="P720" s="3" t="n"/>
      <c r="Q720" s="3" t="n"/>
      <c r="R720" s="3" t="n"/>
      <c r="S720" s="3" t="n"/>
      <c r="T720" s="3" t="n"/>
      <c r="U720" s="3" t="n"/>
      <c r="V720" s="3" t="n"/>
      <c r="W720" s="3" t="n"/>
      <c r="X720" s="3" t="n"/>
      <c r="Y720" s="4" t="inlineStr">
        <is>
          <t>INFO_10K_FY2021 p75</t>
        </is>
      </c>
    </row>
    <row r="721">
      <c r="A721" s="38" t="inlineStr">
        <is>
          <t>Recurring variable % Change Organic</t>
        </is>
      </c>
      <c r="B721" s="3" t="n"/>
      <c r="C721" s="3" t="n"/>
      <c r="D721" s="3" t="n"/>
      <c r="E721" s="3" t="n"/>
      <c r="F721" s="3" t="n"/>
      <c r="G721" s="3" t="n"/>
      <c r="H721" s="41" t="n">
        <v>7</v>
      </c>
      <c r="I721" s="41" t="n">
        <v>12</v>
      </c>
      <c r="J721" s="3" t="n"/>
      <c r="K721" s="3" t="n"/>
      <c r="L721" s="3" t="n"/>
      <c r="M721" s="3" t="n"/>
      <c r="N721" s="3" t="n"/>
      <c r="O721" s="3" t="n"/>
      <c r="P721" s="3" t="n"/>
      <c r="Q721" s="3" t="n"/>
      <c r="R721" s="3" t="n"/>
      <c r="S721" s="3" t="n"/>
      <c r="T721" s="3" t="n"/>
      <c r="U721" s="3" t="n"/>
      <c r="V721" s="3" t="n"/>
      <c r="W721" s="3" t="n"/>
      <c r="X721" s="3" t="n"/>
      <c r="Y721" s="4" t="inlineStr">
        <is>
          <t>INFO_10K_FY2021 p75</t>
        </is>
      </c>
    </row>
    <row r="722">
      <c r="A722" s="38" t="inlineStr">
        <is>
          <t>Non-recurring</t>
        </is>
      </c>
      <c r="B722" s="3" t="n"/>
      <c r="C722" s="3" t="n"/>
      <c r="D722" s="3" t="n"/>
      <c r="E722" s="3" t="n"/>
      <c r="F722" s="3" t="n"/>
      <c r="G722" s="30" t="n">
        <v>679.3</v>
      </c>
      <c r="H722" s="30" t="n">
        <v>506.3</v>
      </c>
      <c r="I722" s="30" t="n">
        <v>592.5</v>
      </c>
      <c r="J722" s="3" t="n"/>
      <c r="K722" s="3" t="n"/>
      <c r="L722" s="3" t="n"/>
      <c r="M722" s="3" t="n"/>
      <c r="N722" s="3" t="n"/>
      <c r="O722" s="3" t="n"/>
      <c r="P722" s="3" t="n"/>
      <c r="Q722" s="3" t="n"/>
      <c r="R722" s="3" t="n"/>
      <c r="S722" s="3" t="n"/>
      <c r="T722" s="3" t="n"/>
      <c r="U722" s="3" t="n"/>
      <c r="V722" s="3" t="n"/>
      <c r="W722" s="3" t="n"/>
      <c r="X722" s="3" t="n"/>
      <c r="Y722" s="4" t="inlineStr">
        <is>
          <t>INFO_10K_FY2021 p75</t>
        </is>
      </c>
    </row>
    <row r="723">
      <c r="A723" s="38" t="inlineStr">
        <is>
          <t>Non-recurring % Change Total</t>
        </is>
      </c>
      <c r="B723" s="3" t="n"/>
      <c r="C723" s="3" t="n"/>
      <c r="D723" s="3" t="n"/>
      <c r="E723" s="3" t="n"/>
      <c r="F723" s="3" t="n"/>
      <c r="G723" s="3" t="n"/>
      <c r="H723" s="41" t="n">
        <v>-25</v>
      </c>
      <c r="I723" s="41" t="n">
        <v>17</v>
      </c>
      <c r="J723" s="3" t="n"/>
      <c r="K723" s="3" t="n"/>
      <c r="L723" s="3" t="n"/>
      <c r="M723" s="3" t="n"/>
      <c r="N723" s="3" t="n"/>
      <c r="O723" s="3" t="n"/>
      <c r="P723" s="3" t="n"/>
      <c r="Q723" s="3" t="n"/>
      <c r="R723" s="3" t="n"/>
      <c r="S723" s="3" t="n"/>
      <c r="T723" s="3" t="n"/>
      <c r="U723" s="3" t="n"/>
      <c r="V723" s="3" t="n"/>
      <c r="W723" s="3" t="n"/>
      <c r="X723" s="3" t="n"/>
      <c r="Y723" s="4" t="inlineStr">
        <is>
          <t>INFO_10K_FY2021 p75</t>
        </is>
      </c>
    </row>
    <row r="724">
      <c r="A724" s="38" t="inlineStr">
        <is>
          <t>Non-recurring % Change Organic</t>
        </is>
      </c>
      <c r="B724" s="3" t="n"/>
      <c r="C724" s="3" t="n"/>
      <c r="D724" s="3" t="n"/>
      <c r="E724" s="3" t="n"/>
      <c r="F724" s="3" t="n"/>
      <c r="G724" s="3" t="n"/>
      <c r="H724" s="41" t="n">
        <v>-21</v>
      </c>
      <c r="I724" s="41" t="n">
        <v>16</v>
      </c>
      <c r="J724" s="3" t="n"/>
      <c r="K724" s="3" t="n"/>
      <c r="L724" s="3" t="n"/>
      <c r="M724" s="3" t="n"/>
      <c r="N724" s="3" t="n"/>
      <c r="O724" s="3" t="n"/>
      <c r="P724" s="3" t="n"/>
      <c r="Q724" s="3" t="n"/>
      <c r="R724" s="3" t="n"/>
      <c r="S724" s="3" t="n"/>
      <c r="T724" s="3" t="n"/>
      <c r="U724" s="3" t="n"/>
      <c r="V724" s="3" t="n"/>
      <c r="W724" s="3" t="n"/>
      <c r="X724" s="3" t="n"/>
      <c r="Y724" s="4" t="inlineStr">
        <is>
          <t>INFO_10K_FY2021 p75</t>
        </is>
      </c>
    </row>
    <row r="725">
      <c r="A725" s="39" t="inlineStr">
        <is>
          <t>Total revenue</t>
        </is>
      </c>
      <c r="B725" s="3" t="n"/>
      <c r="C725" s="3" t="n"/>
      <c r="D725" s="3" t="n"/>
      <c r="E725" s="3" t="n"/>
      <c r="F725" s="3" t="n"/>
      <c r="G725" s="18" t="n">
        <v>4414.6</v>
      </c>
      <c r="H725" s="18" t="n">
        <v>4287.8</v>
      </c>
      <c r="I725" s="18" t="n">
        <v>4658.1</v>
      </c>
      <c r="J725" s="3" t="n"/>
      <c r="K725" s="3" t="n"/>
      <c r="L725" s="3" t="n"/>
      <c r="M725" s="3" t="n"/>
      <c r="N725" s="3" t="n"/>
      <c r="O725" s="3" t="n"/>
      <c r="P725" s="3" t="n"/>
      <c r="Q725" s="3" t="n"/>
      <c r="R725" s="3" t="n"/>
      <c r="S725" s="3" t="n"/>
      <c r="T725" s="3" t="n"/>
      <c r="U725" s="3" t="n"/>
      <c r="V725" s="3" t="n"/>
      <c r="W725" s="3" t="n"/>
      <c r="X725" s="3" t="n"/>
      <c r="Y725" s="4" t="inlineStr">
        <is>
          <t>INFO_10K_FY2021 p75</t>
        </is>
      </c>
    </row>
    <row r="726">
      <c r="A726" s="38" t="inlineStr">
        <is>
          <t>Total revenue % Change Total</t>
        </is>
      </c>
      <c r="B726" s="3" t="n"/>
      <c r="C726" s="3" t="n"/>
      <c r="D726" s="3" t="n"/>
      <c r="E726" s="3" t="n"/>
      <c r="F726" s="3" t="n"/>
      <c r="G726" s="3" t="n"/>
      <c r="H726" s="41" t="n">
        <v>-3</v>
      </c>
      <c r="I726" s="41" t="n">
        <v>9</v>
      </c>
      <c r="J726" s="3" t="n"/>
      <c r="K726" s="3" t="n"/>
      <c r="L726" s="3" t="n"/>
      <c r="M726" s="3" t="n"/>
      <c r="N726" s="3" t="n"/>
      <c r="O726" s="3" t="n"/>
      <c r="P726" s="3" t="n"/>
      <c r="Q726" s="3" t="n"/>
      <c r="R726" s="3" t="n"/>
      <c r="S726" s="3" t="n"/>
      <c r="T726" s="3" t="n"/>
      <c r="U726" s="3" t="n"/>
      <c r="V726" s="3" t="n"/>
      <c r="W726" s="3" t="n"/>
      <c r="X726" s="3" t="n"/>
      <c r="Y726" s="4" t="inlineStr">
        <is>
          <t>INFO_10K_FY2021 p75</t>
        </is>
      </c>
    </row>
    <row r="727">
      <c r="A727" s="38" t="inlineStr">
        <is>
          <t>Total revenue % Change Organic</t>
        </is>
      </c>
      <c r="B727" s="3" t="n"/>
      <c r="C727" s="3" t="n"/>
      <c r="D727" s="3" t="n"/>
      <c r="E727" s="3" t="n"/>
      <c r="F727" s="3" t="n"/>
      <c r="G727" s="3" t="n"/>
      <c r="H727" s="41" t="n">
        <v>-1</v>
      </c>
      <c r="I727" s="41" t="n">
        <v>9</v>
      </c>
      <c r="J727" s="3" t="n"/>
      <c r="K727" s="3" t="n"/>
      <c r="L727" s="3" t="n"/>
      <c r="M727" s="3" t="n"/>
      <c r="N727" s="3" t="n"/>
      <c r="O727" s="3" t="n"/>
      <c r="P727" s="3" t="n"/>
      <c r="Q727" s="3" t="n"/>
      <c r="R727" s="3" t="n"/>
      <c r="S727" s="3" t="n"/>
      <c r="T727" s="3" t="n"/>
      <c r="U727" s="3" t="n"/>
      <c r="V727" s="3" t="n"/>
      <c r="W727" s="3" t="n"/>
      <c r="X727" s="3" t="n"/>
      <c r="Y727" s="4" t="inlineStr">
        <is>
          <t>INFO_10K_FY2021 p75</t>
        </is>
      </c>
    </row>
    <row r="728">
      <c r="A728" s="14" t="inlineStr">
        <is>
          <t>INFO_10K_FY2021 · MD&amp;A Revenue by Transaction Type (consolidated) - as a percent of total revenue</t>
        </is>
      </c>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row>
    <row r="729">
      <c r="A729" s="38" t="inlineStr">
        <is>
          <t>Recurring fixed</t>
        </is>
      </c>
      <c r="B729" s="3" t="n"/>
      <c r="C729" s="3" t="n"/>
      <c r="D729" s="3" t="n"/>
      <c r="E729" s="3" t="n"/>
      <c r="F729" s="3" t="n"/>
      <c r="G729" s="41" t="n">
        <v>72</v>
      </c>
      <c r="H729" s="41" t="n">
        <v>74</v>
      </c>
      <c r="I729" s="41" t="n">
        <v>73</v>
      </c>
      <c r="J729" s="3" t="n"/>
      <c r="K729" s="3" t="n"/>
      <c r="L729" s="3" t="n"/>
      <c r="M729" s="3" t="n"/>
      <c r="N729" s="3" t="n"/>
      <c r="O729" s="3" t="n"/>
      <c r="P729" s="3" t="n"/>
      <c r="Q729" s="3" t="n"/>
      <c r="R729" s="3" t="n"/>
      <c r="S729" s="3" t="n"/>
      <c r="T729" s="3" t="n"/>
      <c r="U729" s="3" t="n"/>
      <c r="V729" s="3" t="n"/>
      <c r="W729" s="3" t="n"/>
      <c r="X729" s="3" t="n"/>
      <c r="Y729" s="4" t="inlineStr">
        <is>
          <t>INFO_10K_FY2021 p75</t>
        </is>
      </c>
    </row>
    <row r="730">
      <c r="A730" s="38" t="inlineStr">
        <is>
          <t>Recurring variable</t>
        </is>
      </c>
      <c r="B730" s="3" t="n"/>
      <c r="C730" s="3" t="n"/>
      <c r="D730" s="3" t="n"/>
      <c r="E730" s="3" t="n"/>
      <c r="F730" s="3" t="n"/>
      <c r="G730" s="41" t="n">
        <v>13</v>
      </c>
      <c r="H730" s="41" t="n">
        <v>14</v>
      </c>
      <c r="I730" s="41" t="n">
        <v>14</v>
      </c>
      <c r="J730" s="3" t="n"/>
      <c r="K730" s="3" t="n"/>
      <c r="L730" s="3" t="n"/>
      <c r="M730" s="3" t="n"/>
      <c r="N730" s="3" t="n"/>
      <c r="O730" s="3" t="n"/>
      <c r="P730" s="3" t="n"/>
      <c r="Q730" s="3" t="n"/>
      <c r="R730" s="3" t="n"/>
      <c r="S730" s="3" t="n"/>
      <c r="T730" s="3" t="n"/>
      <c r="U730" s="3" t="n"/>
      <c r="V730" s="3" t="n"/>
      <c r="W730" s="3" t="n"/>
      <c r="X730" s="3" t="n"/>
      <c r="Y730" s="4" t="inlineStr">
        <is>
          <t>INFO_10K_FY2021 p75</t>
        </is>
      </c>
    </row>
    <row r="731">
      <c r="A731" s="38" t="inlineStr">
        <is>
          <t>Non-recurring</t>
        </is>
      </c>
      <c r="B731" s="3" t="n"/>
      <c r="C731" s="3" t="n"/>
      <c r="D731" s="3" t="n"/>
      <c r="E731" s="3" t="n"/>
      <c r="F731" s="3" t="n"/>
      <c r="G731" s="41" t="n">
        <v>15</v>
      </c>
      <c r="H731" s="41" t="n">
        <v>12</v>
      </c>
      <c r="I731" s="41" t="n">
        <v>13</v>
      </c>
      <c r="J731" s="3" t="n"/>
      <c r="K731" s="3" t="n"/>
      <c r="L731" s="3" t="n"/>
      <c r="M731" s="3" t="n"/>
      <c r="N731" s="3" t="n"/>
      <c r="O731" s="3" t="n"/>
      <c r="P731" s="3" t="n"/>
      <c r="Q731" s="3" t="n"/>
      <c r="R731" s="3" t="n"/>
      <c r="S731" s="3" t="n"/>
      <c r="T731" s="3" t="n"/>
      <c r="U731" s="3" t="n"/>
      <c r="V731" s="3" t="n"/>
      <c r="W731" s="3" t="n"/>
      <c r="X731" s="3" t="n"/>
      <c r="Y731" s="4" t="inlineStr">
        <is>
          <t>INFO_10K_FY2021 p75</t>
        </is>
      </c>
    </row>
    <row r="732">
      <c r="A732" s="14" t="inlineStr">
        <is>
          <t>INFO_10K_FY2021 · MD&amp;A Revenue by Transaction Type (narrative, consolidated)</t>
        </is>
      </c>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row>
    <row r="733">
      <c r="A733" s="38" t="inlineStr">
        <is>
          <t>Recurring-based business as percent of total revenue</t>
        </is>
      </c>
      <c r="B733" s="3" t="n"/>
      <c r="C733" s="3" t="n"/>
      <c r="D733" s="3" t="n"/>
      <c r="E733" s="3" t="n"/>
      <c r="F733" s="3" t="n"/>
      <c r="G733" s="41" t="n">
        <v>85</v>
      </c>
      <c r="H733" s="41" t="n">
        <v>88</v>
      </c>
      <c r="I733" s="41" t="n">
        <v>87</v>
      </c>
      <c r="J733" s="3" t="n"/>
      <c r="K733" s="3" t="n"/>
      <c r="L733" s="3" t="n"/>
      <c r="M733" s="3" t="n"/>
      <c r="N733" s="3" t="n"/>
      <c r="O733" s="3" t="n"/>
      <c r="P733" s="3" t="n"/>
      <c r="Q733" s="3" t="n"/>
      <c r="R733" s="3" t="n"/>
      <c r="S733" s="3" t="n"/>
      <c r="T733" s="3" t="n"/>
      <c r="U733" s="3" t="n"/>
      <c r="V733" s="3" t="n"/>
      <c r="W733" s="3" t="n"/>
      <c r="X733" s="3" t="n"/>
      <c r="Y733" s="4" t="inlineStr">
        <is>
          <t>INFO_10K_FY2021 p75</t>
        </is>
      </c>
    </row>
    <row r="734">
      <c r="A734" s="38" t="inlineStr">
        <is>
          <t>Non-recurring narrative (Transportation reference)</t>
        </is>
      </c>
      <c r="B734" s="3" t="n"/>
      <c r="C734" s="3" t="n"/>
      <c r="D734" s="3" t="n"/>
      <c r="E734" s="3" t="n"/>
      <c r="F734" s="3" t="n"/>
      <c r="G734" s="3" t="n"/>
      <c r="H734" s="3" t="n"/>
      <c r="I734" s="42" t="inlineStr">
        <is>
          <t>2021 non-recurring organic increase driven partly by more normal activity in Transportation offerings; 2020 non-recurring decreased 21% organically partly due to lower OEM activity within Transportation.</t>
        </is>
      </c>
      <c r="J734" s="3" t="n"/>
      <c r="K734" s="3" t="n"/>
      <c r="L734" s="3" t="n"/>
      <c r="M734" s="3" t="n"/>
      <c r="N734" s="3" t="n"/>
      <c r="O734" s="3" t="n"/>
      <c r="P734" s="3" t="n"/>
      <c r="Q734" s="3" t="n"/>
      <c r="R734" s="3" t="n"/>
      <c r="S734" s="3" t="n"/>
      <c r="T734" s="3" t="n"/>
      <c r="U734" s="3" t="n"/>
      <c r="V734" s="3" t="n"/>
      <c r="W734" s="3" t="n"/>
      <c r="X734" s="3" t="n"/>
      <c r="Y734" s="4" t="inlineStr">
        <is>
          <t>INFO_10K_FY2021 p75</t>
        </is>
      </c>
    </row>
    <row r="735">
      <c r="A735" s="14" t="inlineStr">
        <is>
          <t>INFO_10K_FY2021 · Note 20 Segment Information (consolidated totals)</t>
        </is>
      </c>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row>
    <row r="736">
      <c r="A736" s="39" t="inlineStr">
        <is>
          <t>Total Adjusted EBITDA</t>
        </is>
      </c>
      <c r="B736" s="3" t="n"/>
      <c r="C736" s="3" t="n"/>
      <c r="D736" s="3" t="n"/>
      <c r="E736" s="3" t="n"/>
      <c r="F736" s="3" t="n"/>
      <c r="G736" s="18" t="n">
        <v>1778.9</v>
      </c>
      <c r="H736" s="18" t="n">
        <v>1836.7</v>
      </c>
      <c r="I736" s="18" t="n">
        <v>2030.3</v>
      </c>
      <c r="J736" s="3" t="n"/>
      <c r="K736" s="3" t="n"/>
      <c r="L736" s="3" t="n"/>
      <c r="M736" s="3" t="n"/>
      <c r="N736" s="3" t="n"/>
      <c r="O736" s="3" t="n"/>
      <c r="P736" s="3" t="n"/>
      <c r="Q736" s="3" t="n"/>
      <c r="R736" s="3" t="n"/>
      <c r="S736" s="3" t="n"/>
      <c r="T736" s="3" t="n"/>
      <c r="U736" s="3" t="n"/>
      <c r="V736" s="3" t="n"/>
      <c r="W736" s="3" t="n"/>
      <c r="X736" s="3" t="n"/>
      <c r="Y736" s="4" t="inlineStr">
        <is>
          <t>INFO_10K_FY2021 p138</t>
        </is>
      </c>
    </row>
    <row r="737">
      <c r="A737" s="14" t="inlineStr">
        <is>
          <t>INFO_10K_FY2021 · Note 20 Geographic information</t>
        </is>
      </c>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row>
    <row r="738">
      <c r="A738" s="38" t="inlineStr">
        <is>
          <t>Revenue by geography by segment</t>
        </is>
      </c>
      <c r="B738" s="3" t="n"/>
      <c r="C738" s="3" t="n"/>
      <c r="D738" s="3" t="n"/>
      <c r="E738" s="3" t="n"/>
      <c r="F738" s="3" t="n"/>
      <c r="G738" s="3" t="n"/>
      <c r="H738" s="3" t="n"/>
      <c r="I738" s="42" t="inlineStr">
        <is>
          <t>Not disclosed: geography table (U.S., U.K., Rest of world) is consolidated only.</t>
        </is>
      </c>
      <c r="J738" s="3" t="n"/>
      <c r="K738" s="3" t="n"/>
      <c r="L738" s="3" t="n"/>
      <c r="M738" s="3" t="n"/>
      <c r="N738" s="3" t="n"/>
      <c r="O738" s="3" t="n"/>
      <c r="P738" s="3" t="n"/>
      <c r="Q738" s="3" t="n"/>
      <c r="R738" s="3" t="n"/>
      <c r="S738" s="3" t="n"/>
      <c r="T738" s="3" t="n"/>
      <c r="U738" s="3" t="n"/>
      <c r="V738" s="3" t="n"/>
      <c r="W738" s="3" t="n"/>
      <c r="X738" s="3" t="n"/>
      <c r="Y738" s="4" t="inlineStr">
        <is>
          <t>INFO_10K_FY2021 p139</t>
        </is>
      </c>
    </row>
    <row r="739">
      <c r="A739" s="14" t="inlineStr">
        <is>
          <t>INFO_10K_FY2021 · Item 1 Our People (consolidated)</t>
        </is>
      </c>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row>
    <row r="740">
      <c r="A740" s="38" t="inlineStr">
        <is>
          <t>Employees (more than; consolidated, no segment split)</t>
        </is>
      </c>
      <c r="B740" s="3" t="n"/>
      <c r="C740" s="3" t="n"/>
      <c r="D740" s="3" t="n"/>
      <c r="E740" s="3" t="n"/>
      <c r="F740" s="3" t="n"/>
      <c r="G740" s="3" t="n"/>
      <c r="H740" s="3" t="n"/>
      <c r="I740" s="40" t="n">
        <v>16000</v>
      </c>
      <c r="J740" s="3" t="n"/>
      <c r="K740" s="3" t="n"/>
      <c r="L740" s="3" t="n"/>
      <c r="M740" s="3" t="n"/>
      <c r="N740" s="3" t="n"/>
      <c r="O740" s="3" t="n"/>
      <c r="P740" s="3" t="n"/>
      <c r="Q740" s="3" t="n"/>
      <c r="R740" s="3" t="n"/>
      <c r="S740" s="3" t="n"/>
      <c r="T740" s="3" t="n"/>
      <c r="U740" s="3" t="n"/>
      <c r="V740" s="3" t="n"/>
      <c r="W740" s="3" t="n"/>
      <c r="X740" s="3" t="n"/>
      <c r="Y740" s="4" t="inlineStr">
        <is>
          <t>INFO_10K_FY2021 p17</t>
        </is>
      </c>
    </row>
    <row r="741">
      <c r="A741" s="14" t="inlineStr">
        <is>
          <t>INFO_10K_FY2020 · MD&amp;A Revenue by Transaction Type (consolidated)</t>
        </is>
      </c>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row>
    <row r="742">
      <c r="A742" s="38" t="inlineStr">
        <is>
          <t>Recurring fixed</t>
        </is>
      </c>
      <c r="B742" s="3" t="n"/>
      <c r="C742" s="3" t="n"/>
      <c r="D742" s="3" t="n"/>
      <c r="E742" s="3" t="n"/>
      <c r="F742" s="30" t="n">
        <v>2861.5</v>
      </c>
      <c r="G742" s="30" t="n">
        <v>3162.4</v>
      </c>
      <c r="H742" s="30" t="n">
        <v>3165.2</v>
      </c>
      <c r="I742" s="3" t="n"/>
      <c r="J742" s="3" t="n"/>
      <c r="K742" s="3" t="n"/>
      <c r="L742" s="3" t="n"/>
      <c r="M742" s="3" t="n"/>
      <c r="N742" s="3" t="n"/>
      <c r="O742" s="3" t="n"/>
      <c r="P742" s="3" t="n"/>
      <c r="Q742" s="3" t="n"/>
      <c r="R742" s="3" t="n"/>
      <c r="S742" s="3" t="n"/>
      <c r="T742" s="3" t="n"/>
      <c r="U742" s="3" t="n"/>
      <c r="V742" s="3" t="n"/>
      <c r="W742" s="3" t="n"/>
      <c r="X742" s="3" t="n"/>
      <c r="Y742" s="4" t="inlineStr">
        <is>
          <t>INFO_10K_FY2020 p80</t>
        </is>
      </c>
    </row>
    <row r="743">
      <c r="A743" s="38" t="inlineStr">
        <is>
          <t>Recurring fixed % Change Total</t>
        </is>
      </c>
      <c r="B743" s="3" t="n"/>
      <c r="C743" s="3" t="n"/>
      <c r="D743" s="3" t="n"/>
      <c r="E743" s="3" t="n"/>
      <c r="F743" s="3" t="n"/>
      <c r="G743" s="41" t="n">
        <v>11</v>
      </c>
      <c r="H743" s="41" t="n">
        <v>0</v>
      </c>
      <c r="I743" s="3" t="n"/>
      <c r="J743" s="3" t="n"/>
      <c r="K743" s="3" t="n"/>
      <c r="L743" s="3" t="n"/>
      <c r="M743" s="3" t="n"/>
      <c r="N743" s="3" t="n"/>
      <c r="O743" s="3" t="n"/>
      <c r="P743" s="3" t="n"/>
      <c r="Q743" s="3" t="n"/>
      <c r="R743" s="3" t="n"/>
      <c r="S743" s="3" t="n"/>
      <c r="T743" s="3" t="n"/>
      <c r="U743" s="3" t="n"/>
      <c r="V743" s="3" t="n"/>
      <c r="W743" s="3" t="n"/>
      <c r="X743" s="3" t="n"/>
      <c r="Y743" s="4" t="inlineStr">
        <is>
          <t>INFO_10K_FY2020 p80</t>
        </is>
      </c>
    </row>
    <row r="744">
      <c r="A744" s="38" t="inlineStr">
        <is>
          <t>Recurring fixed % Change Organic</t>
        </is>
      </c>
      <c r="B744" s="3" t="n"/>
      <c r="C744" s="3" t="n"/>
      <c r="D744" s="3" t="n"/>
      <c r="E744" s="3" t="n"/>
      <c r="F744" s="3" t="n"/>
      <c r="G744" s="41" t="n">
        <v>6</v>
      </c>
      <c r="H744" s="41" t="n">
        <v>2</v>
      </c>
      <c r="I744" s="3" t="n"/>
      <c r="J744" s="3" t="n"/>
      <c r="K744" s="3" t="n"/>
      <c r="L744" s="3" t="n"/>
      <c r="M744" s="3" t="n"/>
      <c r="N744" s="3" t="n"/>
      <c r="O744" s="3" t="n"/>
      <c r="P744" s="3" t="n"/>
      <c r="Q744" s="3" t="n"/>
      <c r="R744" s="3" t="n"/>
      <c r="S744" s="3" t="n"/>
      <c r="T744" s="3" t="n"/>
      <c r="U744" s="3" t="n"/>
      <c r="V744" s="3" t="n"/>
      <c r="W744" s="3" t="n"/>
      <c r="X744" s="3" t="n"/>
      <c r="Y744" s="4" t="inlineStr">
        <is>
          <t>INFO_10K_FY2020 p80</t>
        </is>
      </c>
    </row>
    <row r="745">
      <c r="A745" s="38" t="inlineStr">
        <is>
          <t>Recurring variable</t>
        </is>
      </c>
      <c r="B745" s="3" t="n"/>
      <c r="C745" s="3" t="n"/>
      <c r="D745" s="3" t="n"/>
      <c r="E745" s="3" t="n"/>
      <c r="F745" s="30" t="n">
        <v>506.3</v>
      </c>
      <c r="G745" s="30" t="n">
        <v>572.9</v>
      </c>
      <c r="H745" s="30" t="n">
        <v>616.3</v>
      </c>
      <c r="I745" s="3" t="n"/>
      <c r="J745" s="3" t="n"/>
      <c r="K745" s="3" t="n"/>
      <c r="L745" s="3" t="n"/>
      <c r="M745" s="3" t="n"/>
      <c r="N745" s="3" t="n"/>
      <c r="O745" s="3" t="n"/>
      <c r="P745" s="3" t="n"/>
      <c r="Q745" s="3" t="n"/>
      <c r="R745" s="3" t="n"/>
      <c r="S745" s="3" t="n"/>
      <c r="T745" s="3" t="n"/>
      <c r="U745" s="3" t="n"/>
      <c r="V745" s="3" t="n"/>
      <c r="W745" s="3" t="n"/>
      <c r="X745" s="3" t="n"/>
      <c r="Y745" s="4" t="inlineStr">
        <is>
          <t>INFO_10K_FY2020 p80</t>
        </is>
      </c>
    </row>
    <row r="746">
      <c r="A746" s="38" t="inlineStr">
        <is>
          <t>Recurring variable % Change Total</t>
        </is>
      </c>
      <c r="B746" s="3" t="n"/>
      <c r="C746" s="3" t="n"/>
      <c r="D746" s="3" t="n"/>
      <c r="E746" s="3" t="n"/>
      <c r="F746" s="3" t="n"/>
      <c r="G746" s="41" t="n">
        <v>13</v>
      </c>
      <c r="H746" s="41" t="n">
        <v>8</v>
      </c>
      <c r="I746" s="3" t="n"/>
      <c r="J746" s="3" t="n"/>
      <c r="K746" s="3" t="n"/>
      <c r="L746" s="3" t="n"/>
      <c r="M746" s="3" t="n"/>
      <c r="N746" s="3" t="n"/>
      <c r="O746" s="3" t="n"/>
      <c r="P746" s="3" t="n"/>
      <c r="Q746" s="3" t="n"/>
      <c r="R746" s="3" t="n"/>
      <c r="S746" s="3" t="n"/>
      <c r="T746" s="3" t="n"/>
      <c r="U746" s="3" t="n"/>
      <c r="V746" s="3" t="n"/>
      <c r="W746" s="3" t="n"/>
      <c r="X746" s="3" t="n"/>
      <c r="Y746" s="4" t="inlineStr">
        <is>
          <t>INFO_10K_FY2020 p80</t>
        </is>
      </c>
    </row>
    <row r="747">
      <c r="A747" s="38" t="inlineStr">
        <is>
          <t>Recurring variable % Change Organic</t>
        </is>
      </c>
      <c r="B747" s="3" t="n"/>
      <c r="C747" s="3" t="n"/>
      <c r="D747" s="3" t="n"/>
      <c r="E747" s="3" t="n"/>
      <c r="F747" s="3" t="n"/>
      <c r="G747" s="41" t="n">
        <v>4</v>
      </c>
      <c r="H747" s="41" t="n">
        <v>7</v>
      </c>
      <c r="I747" s="3" t="n"/>
      <c r="J747" s="3" t="n"/>
      <c r="K747" s="3" t="n"/>
      <c r="L747" s="3" t="n"/>
      <c r="M747" s="3" t="n"/>
      <c r="N747" s="3" t="n"/>
      <c r="O747" s="3" t="n"/>
      <c r="P747" s="3" t="n"/>
      <c r="Q747" s="3" t="n"/>
      <c r="R747" s="3" t="n"/>
      <c r="S747" s="3" t="n"/>
      <c r="T747" s="3" t="n"/>
      <c r="U747" s="3" t="n"/>
      <c r="V747" s="3" t="n"/>
      <c r="W747" s="3" t="n"/>
      <c r="X747" s="3" t="n"/>
      <c r="Y747" s="4" t="inlineStr">
        <is>
          <t>INFO_10K_FY2020 p80</t>
        </is>
      </c>
    </row>
    <row r="748">
      <c r="A748" s="38" t="inlineStr">
        <is>
          <t>Non-recurring</t>
        </is>
      </c>
      <c r="B748" s="3" t="n"/>
      <c r="C748" s="3" t="n"/>
      <c r="D748" s="3" t="n"/>
      <c r="E748" s="3" t="n"/>
      <c r="F748" s="30" t="n">
        <v>641.4</v>
      </c>
      <c r="G748" s="30" t="n">
        <v>679.3</v>
      </c>
      <c r="H748" s="30" t="n">
        <v>506.3</v>
      </c>
      <c r="I748" s="3" t="n"/>
      <c r="J748" s="3" t="n"/>
      <c r="K748" s="3" t="n"/>
      <c r="L748" s="3" t="n"/>
      <c r="M748" s="3" t="n"/>
      <c r="N748" s="3" t="n"/>
      <c r="O748" s="3" t="n"/>
      <c r="P748" s="3" t="n"/>
      <c r="Q748" s="3" t="n"/>
      <c r="R748" s="3" t="n"/>
      <c r="S748" s="3" t="n"/>
      <c r="T748" s="3" t="n"/>
      <c r="U748" s="3" t="n"/>
      <c r="V748" s="3" t="n"/>
      <c r="W748" s="3" t="n"/>
      <c r="X748" s="3" t="n"/>
      <c r="Y748" s="4" t="inlineStr">
        <is>
          <t>INFO_10K_FY2020 p80</t>
        </is>
      </c>
    </row>
    <row r="749">
      <c r="A749" s="38" t="inlineStr">
        <is>
          <t>Non-recurring % Change Total</t>
        </is>
      </c>
      <c r="B749" s="3" t="n"/>
      <c r="C749" s="3" t="n"/>
      <c r="D749" s="3" t="n"/>
      <c r="E749" s="3" t="n"/>
      <c r="F749" s="3" t="n"/>
      <c r="G749" s="41" t="n">
        <v>6</v>
      </c>
      <c r="H749" s="41" t="n">
        <v>-25</v>
      </c>
      <c r="I749" s="3" t="n"/>
      <c r="J749" s="3" t="n"/>
      <c r="K749" s="3" t="n"/>
      <c r="L749" s="3" t="n"/>
      <c r="M749" s="3" t="n"/>
      <c r="N749" s="3" t="n"/>
      <c r="O749" s="3" t="n"/>
      <c r="P749" s="3" t="n"/>
      <c r="Q749" s="3" t="n"/>
      <c r="R749" s="3" t="n"/>
      <c r="S749" s="3" t="n"/>
      <c r="T749" s="3" t="n"/>
      <c r="U749" s="3" t="n"/>
      <c r="V749" s="3" t="n"/>
      <c r="W749" s="3" t="n"/>
      <c r="X749" s="3" t="n"/>
      <c r="Y749" s="4" t="inlineStr">
        <is>
          <t>INFO_10K_FY2020 p80</t>
        </is>
      </c>
    </row>
    <row r="750">
      <c r="A750" s="38" t="inlineStr">
        <is>
          <t>Non-recurring % Change Organic</t>
        </is>
      </c>
      <c r="B750" s="3" t="n"/>
      <c r="C750" s="3" t="n"/>
      <c r="D750" s="3" t="n"/>
      <c r="E750" s="3" t="n"/>
      <c r="F750" s="3" t="n"/>
      <c r="G750" s="41" t="n">
        <v>6</v>
      </c>
      <c r="H750" s="41" t="n">
        <v>-21</v>
      </c>
      <c r="I750" s="3" t="n"/>
      <c r="J750" s="3" t="n"/>
      <c r="K750" s="3" t="n"/>
      <c r="L750" s="3" t="n"/>
      <c r="M750" s="3" t="n"/>
      <c r="N750" s="3" t="n"/>
      <c r="O750" s="3" t="n"/>
      <c r="P750" s="3" t="n"/>
      <c r="Q750" s="3" t="n"/>
      <c r="R750" s="3" t="n"/>
      <c r="S750" s="3" t="n"/>
      <c r="T750" s="3" t="n"/>
      <c r="U750" s="3" t="n"/>
      <c r="V750" s="3" t="n"/>
      <c r="W750" s="3" t="n"/>
      <c r="X750" s="3" t="n"/>
      <c r="Y750" s="4" t="inlineStr">
        <is>
          <t>INFO_10K_FY2020 p80</t>
        </is>
      </c>
    </row>
    <row r="751">
      <c r="A751" s="39" t="inlineStr">
        <is>
          <t>Total revenue</t>
        </is>
      </c>
      <c r="B751" s="3" t="n"/>
      <c r="C751" s="3" t="n"/>
      <c r="D751" s="3" t="n"/>
      <c r="E751" s="3" t="n"/>
      <c r="F751" s="18" t="n">
        <v>4009.2</v>
      </c>
      <c r="G751" s="18" t="n">
        <v>4414.6</v>
      </c>
      <c r="H751" s="18" t="n">
        <v>4287.8</v>
      </c>
      <c r="I751" s="3" t="n"/>
      <c r="J751" s="3" t="n"/>
      <c r="K751" s="3" t="n"/>
      <c r="L751" s="3" t="n"/>
      <c r="M751" s="3" t="n"/>
      <c r="N751" s="3" t="n"/>
      <c r="O751" s="3" t="n"/>
      <c r="P751" s="3" t="n"/>
      <c r="Q751" s="3" t="n"/>
      <c r="R751" s="3" t="n"/>
      <c r="S751" s="3" t="n"/>
      <c r="T751" s="3" t="n"/>
      <c r="U751" s="3" t="n"/>
      <c r="V751" s="3" t="n"/>
      <c r="W751" s="3" t="n"/>
      <c r="X751" s="3" t="n"/>
      <c r="Y751" s="4" t="inlineStr">
        <is>
          <t>INFO_10K_FY2020 p80</t>
        </is>
      </c>
    </row>
    <row r="752">
      <c r="A752" s="38" t="inlineStr">
        <is>
          <t>Total revenue % Change Total</t>
        </is>
      </c>
      <c r="B752" s="3" t="n"/>
      <c r="C752" s="3" t="n"/>
      <c r="D752" s="3" t="n"/>
      <c r="E752" s="3" t="n"/>
      <c r="F752" s="3" t="n"/>
      <c r="G752" s="41" t="n">
        <v>10</v>
      </c>
      <c r="H752" s="41" t="n">
        <v>-3</v>
      </c>
      <c r="I752" s="3" t="n"/>
      <c r="J752" s="3" t="n"/>
      <c r="K752" s="3" t="n"/>
      <c r="L752" s="3" t="n"/>
      <c r="M752" s="3" t="n"/>
      <c r="N752" s="3" t="n"/>
      <c r="O752" s="3" t="n"/>
      <c r="P752" s="3" t="n"/>
      <c r="Q752" s="3" t="n"/>
      <c r="R752" s="3" t="n"/>
      <c r="S752" s="3" t="n"/>
      <c r="T752" s="3" t="n"/>
      <c r="U752" s="3" t="n"/>
      <c r="V752" s="3" t="n"/>
      <c r="W752" s="3" t="n"/>
      <c r="X752" s="3" t="n"/>
      <c r="Y752" s="4" t="inlineStr">
        <is>
          <t>INFO_10K_FY2020 p80</t>
        </is>
      </c>
    </row>
    <row r="753">
      <c r="A753" s="38" t="inlineStr">
        <is>
          <t>Total revenue % Change Organic</t>
        </is>
      </c>
      <c r="B753" s="3" t="n"/>
      <c r="C753" s="3" t="n"/>
      <c r="D753" s="3" t="n"/>
      <c r="E753" s="3" t="n"/>
      <c r="F753" s="3" t="n"/>
      <c r="G753" s="41" t="n">
        <v>6</v>
      </c>
      <c r="H753" s="41" t="n">
        <v>-1</v>
      </c>
      <c r="I753" s="3" t="n"/>
      <c r="J753" s="3" t="n"/>
      <c r="K753" s="3" t="n"/>
      <c r="L753" s="3" t="n"/>
      <c r="M753" s="3" t="n"/>
      <c r="N753" s="3" t="n"/>
      <c r="O753" s="3" t="n"/>
      <c r="P753" s="3" t="n"/>
      <c r="Q753" s="3" t="n"/>
      <c r="R753" s="3" t="n"/>
      <c r="S753" s="3" t="n"/>
      <c r="T753" s="3" t="n"/>
      <c r="U753" s="3" t="n"/>
      <c r="V753" s="3" t="n"/>
      <c r="W753" s="3" t="n"/>
      <c r="X753" s="3" t="n"/>
      <c r="Y753" s="4" t="inlineStr">
        <is>
          <t>INFO_10K_FY2020 p80</t>
        </is>
      </c>
    </row>
    <row r="754">
      <c r="A754" s="14" t="inlineStr">
        <is>
          <t>INFO_10K_FY2020 · MD&amp;A Revenue by Transaction Type (consolidated) - as a percent of total revenue</t>
        </is>
      </c>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row>
    <row r="755">
      <c r="A755" s="38" t="inlineStr">
        <is>
          <t>Recurring fixed</t>
        </is>
      </c>
      <c r="B755" s="3" t="n"/>
      <c r="C755" s="3" t="n"/>
      <c r="D755" s="3" t="n"/>
      <c r="E755" s="3" t="n"/>
      <c r="F755" s="41" t="n">
        <v>71</v>
      </c>
      <c r="G755" s="41" t="n">
        <v>72</v>
      </c>
      <c r="H755" s="41" t="n">
        <v>74</v>
      </c>
      <c r="I755" s="3" t="n"/>
      <c r="J755" s="3" t="n"/>
      <c r="K755" s="3" t="n"/>
      <c r="L755" s="3" t="n"/>
      <c r="M755" s="3" t="n"/>
      <c r="N755" s="3" t="n"/>
      <c r="O755" s="3" t="n"/>
      <c r="P755" s="3" t="n"/>
      <c r="Q755" s="3" t="n"/>
      <c r="R755" s="3" t="n"/>
      <c r="S755" s="3" t="n"/>
      <c r="T755" s="3" t="n"/>
      <c r="U755" s="3" t="n"/>
      <c r="V755" s="3" t="n"/>
      <c r="W755" s="3" t="n"/>
      <c r="X755" s="3" t="n"/>
      <c r="Y755" s="4" t="inlineStr">
        <is>
          <t>INFO_10K_FY2020 p80</t>
        </is>
      </c>
    </row>
    <row r="756">
      <c r="A756" s="38" t="inlineStr">
        <is>
          <t>Recurring variable</t>
        </is>
      </c>
      <c r="B756" s="3" t="n"/>
      <c r="C756" s="3" t="n"/>
      <c r="D756" s="3" t="n"/>
      <c r="E756" s="3" t="n"/>
      <c r="F756" s="41" t="n">
        <v>13</v>
      </c>
      <c r="G756" s="41" t="n">
        <v>13</v>
      </c>
      <c r="H756" s="41" t="n">
        <v>14</v>
      </c>
      <c r="I756" s="3" t="n"/>
      <c r="J756" s="3" t="n"/>
      <c r="K756" s="3" t="n"/>
      <c r="L756" s="3" t="n"/>
      <c r="M756" s="3" t="n"/>
      <c r="N756" s="3" t="n"/>
      <c r="O756" s="3" t="n"/>
      <c r="P756" s="3" t="n"/>
      <c r="Q756" s="3" t="n"/>
      <c r="R756" s="3" t="n"/>
      <c r="S756" s="3" t="n"/>
      <c r="T756" s="3" t="n"/>
      <c r="U756" s="3" t="n"/>
      <c r="V756" s="3" t="n"/>
      <c r="W756" s="3" t="n"/>
      <c r="X756" s="3" t="n"/>
      <c r="Y756" s="4" t="inlineStr">
        <is>
          <t>INFO_10K_FY2020 p80</t>
        </is>
      </c>
    </row>
    <row r="757">
      <c r="A757" s="38" t="inlineStr">
        <is>
          <t>Non-recurring</t>
        </is>
      </c>
      <c r="B757" s="3" t="n"/>
      <c r="C757" s="3" t="n"/>
      <c r="D757" s="3" t="n"/>
      <c r="E757" s="3" t="n"/>
      <c r="F757" s="41" t="n">
        <v>16</v>
      </c>
      <c r="G757" s="41" t="n">
        <v>15</v>
      </c>
      <c r="H757" s="41" t="n">
        <v>12</v>
      </c>
      <c r="I757" s="3" t="n"/>
      <c r="J757" s="3" t="n"/>
      <c r="K757" s="3" t="n"/>
      <c r="L757" s="3" t="n"/>
      <c r="M757" s="3" t="n"/>
      <c r="N757" s="3" t="n"/>
      <c r="O757" s="3" t="n"/>
      <c r="P757" s="3" t="n"/>
      <c r="Q757" s="3" t="n"/>
      <c r="R757" s="3" t="n"/>
      <c r="S757" s="3" t="n"/>
      <c r="T757" s="3" t="n"/>
      <c r="U757" s="3" t="n"/>
      <c r="V757" s="3" t="n"/>
      <c r="W757" s="3" t="n"/>
      <c r="X757" s="3" t="n"/>
      <c r="Y757" s="4" t="inlineStr">
        <is>
          <t>INFO_10K_FY2020 p80</t>
        </is>
      </c>
    </row>
    <row r="758">
      <c r="A758" s="14" t="inlineStr">
        <is>
          <t>INFO_10K_FY2020 · MD&amp;A Revenue by Transaction Type (narrative, consolidated)</t>
        </is>
      </c>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row>
    <row r="759">
      <c r="A759" s="38" t="inlineStr">
        <is>
          <t>Recurring-based business as percent of total revenue</t>
        </is>
      </c>
      <c r="B759" s="3" t="n"/>
      <c r="C759" s="3" t="n"/>
      <c r="D759" s="3" t="n"/>
      <c r="E759" s="3" t="n"/>
      <c r="F759" s="41" t="n">
        <v>84</v>
      </c>
      <c r="G759" s="41" t="n">
        <v>85</v>
      </c>
      <c r="H759" s="41" t="n">
        <v>88</v>
      </c>
      <c r="I759" s="3" t="n"/>
      <c r="J759" s="3" t="n"/>
      <c r="K759" s="3" t="n"/>
      <c r="L759" s="3" t="n"/>
      <c r="M759" s="3" t="n"/>
      <c r="N759" s="3" t="n"/>
      <c r="O759" s="3" t="n"/>
      <c r="P759" s="3" t="n"/>
      <c r="Q759" s="3" t="n"/>
      <c r="R759" s="3" t="n"/>
      <c r="S759" s="3" t="n"/>
      <c r="T759" s="3" t="n"/>
      <c r="U759" s="3" t="n"/>
      <c r="V759" s="3" t="n"/>
      <c r="W759" s="3" t="n"/>
      <c r="X759" s="3" t="n"/>
      <c r="Y759" s="4" t="inlineStr">
        <is>
          <t>INFO_10K_FY2020 p80</t>
        </is>
      </c>
    </row>
    <row r="760">
      <c r="A760" s="38" t="inlineStr">
        <is>
          <t>Recurring variable organic growth (narrative; table prints 4%)</t>
        </is>
      </c>
      <c r="B760" s="3" t="n"/>
      <c r="C760" s="3" t="n"/>
      <c r="D760" s="3" t="n"/>
      <c r="E760" s="3" t="n"/>
      <c r="F760" s="3" t="n"/>
      <c r="G760" s="41" t="n">
        <v>6</v>
      </c>
      <c r="H760" s="3" t="n"/>
      <c r="I760" s="3" t="n"/>
      <c r="J760" s="3" t="n"/>
      <c r="K760" s="3" t="n"/>
      <c r="L760" s="3" t="n"/>
      <c r="M760" s="3" t="n"/>
      <c r="N760" s="3" t="n"/>
      <c r="O760" s="3" t="n"/>
      <c r="P760" s="3" t="n"/>
      <c r="Q760" s="3" t="n"/>
      <c r="R760" s="3" t="n"/>
      <c r="S760" s="3" t="n"/>
      <c r="T760" s="3" t="n"/>
      <c r="U760" s="3" t="n"/>
      <c r="V760" s="3" t="n"/>
      <c r="W760" s="3" t="n"/>
      <c r="X760" s="3" t="n"/>
      <c r="Y760" s="4" t="inlineStr">
        <is>
          <t>INFO_10K_FY2020 p80</t>
        </is>
      </c>
    </row>
    <row r="761">
      <c r="A761" s="38" t="inlineStr">
        <is>
          <t>Non-recurring narrative (Transportation reference)</t>
        </is>
      </c>
      <c r="B761" s="3" t="n"/>
      <c r="C761" s="3" t="n"/>
      <c r="D761" s="3" t="n"/>
      <c r="E761" s="3" t="n"/>
      <c r="F761" s="3" t="n"/>
      <c r="G761" s="3" t="n"/>
      <c r="H761" s="42" t="inlineStr">
        <is>
          <t>2020 non-recurring decline (-21% organic) partly due to cancelled events and lower OEM activity within Transportation; 2019 non-recurring increase primarily driven by automotive and Resources offerings.</t>
        </is>
      </c>
      <c r="I761" s="3" t="n"/>
      <c r="J761" s="3" t="n"/>
      <c r="K761" s="3" t="n"/>
      <c r="L761" s="3" t="n"/>
      <c r="M761" s="3" t="n"/>
      <c r="N761" s="3" t="n"/>
      <c r="O761" s="3" t="n"/>
      <c r="P761" s="3" t="n"/>
      <c r="Q761" s="3" t="n"/>
      <c r="R761" s="3" t="n"/>
      <c r="S761" s="3" t="n"/>
      <c r="T761" s="3" t="n"/>
      <c r="U761" s="3" t="n"/>
      <c r="V761" s="3" t="n"/>
      <c r="W761" s="3" t="n"/>
      <c r="X761" s="3" t="n"/>
      <c r="Y761" s="4" t="inlineStr">
        <is>
          <t>INFO_10K_FY2020 p80</t>
        </is>
      </c>
    </row>
    <row r="762">
      <c r="A762" s="14" t="inlineStr">
        <is>
          <t>INFO_10K_FY2020 · MD&amp;A Total Revenue (narrative)</t>
        </is>
      </c>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row>
    <row r="763">
      <c r="A763" s="38" t="inlineStr">
        <is>
          <t>Recurring / non-recurring organic growth 2019 (Transportation reference)</t>
        </is>
      </c>
      <c r="B763" s="3" t="n"/>
      <c r="C763" s="3" t="n"/>
      <c r="D763" s="3" t="n"/>
      <c r="E763" s="3" t="n"/>
      <c r="F763" s="3" t="n"/>
      <c r="G763" s="42" t="inlineStr">
        <is>
          <t>2019 recurring-based business +6% organic led by Financial Services and Transportation; non-recurring +6% organic led by Transportation and Resources.</t>
        </is>
      </c>
      <c r="H763" s="3" t="n"/>
      <c r="I763" s="3" t="n"/>
      <c r="J763" s="3" t="n"/>
      <c r="K763" s="3" t="n"/>
      <c r="L763" s="3" t="n"/>
      <c r="M763" s="3" t="n"/>
      <c r="N763" s="3" t="n"/>
      <c r="O763" s="3" t="n"/>
      <c r="P763" s="3" t="n"/>
      <c r="Q763" s="3" t="n"/>
      <c r="R763" s="3" t="n"/>
      <c r="S763" s="3" t="n"/>
      <c r="T763" s="3" t="n"/>
      <c r="U763" s="3" t="n"/>
      <c r="V763" s="3" t="n"/>
      <c r="W763" s="3" t="n"/>
      <c r="X763" s="3" t="n"/>
      <c r="Y763" s="4" t="inlineStr">
        <is>
          <t>INFO_10K_FY2020 p77</t>
        </is>
      </c>
    </row>
    <row r="764">
      <c r="A764" s="38" t="inlineStr">
        <is>
          <t>Transportation quarterly pattern 2020</t>
        </is>
      </c>
      <c r="B764" s="3" t="n"/>
      <c r="C764" s="3" t="n"/>
      <c r="D764" s="3" t="n"/>
      <c r="E764" s="3" t="n"/>
      <c r="F764" s="3" t="n"/>
      <c r="G764" s="3" t="n"/>
      <c r="H764" s="42" t="inlineStr">
        <is>
          <t>Dealer-facing Transportation products were most negatively impacted in Q2 2020, with recovery beginning in Q3 and Q4 2020; Transportation events cancelled in Q2 2020.</t>
        </is>
      </c>
      <c r="I764" s="3" t="n"/>
      <c r="J764" s="3" t="n"/>
      <c r="K764" s="3" t="n"/>
      <c r="L764" s="3" t="n"/>
      <c r="M764" s="3" t="n"/>
      <c r="N764" s="3" t="n"/>
      <c r="O764" s="3" t="n"/>
      <c r="P764" s="3" t="n"/>
      <c r="Q764" s="3" t="n"/>
      <c r="R764" s="3" t="n"/>
      <c r="S764" s="3" t="n"/>
      <c r="T764" s="3" t="n"/>
      <c r="U764" s="3" t="n"/>
      <c r="V764" s="3" t="n"/>
      <c r="W764" s="3" t="n"/>
      <c r="X764" s="3" t="n"/>
      <c r="Y764" s="4" t="inlineStr">
        <is>
          <t>INFO_10K_FY2020 p77</t>
        </is>
      </c>
    </row>
    <row r="765">
      <c r="A765" s="14" t="inlineStr">
        <is>
          <t>INFO_10K_FY2020 · Item 1 Our Customers (consolidated)</t>
        </is>
      </c>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row>
    <row r="766">
      <c r="A766" s="38" t="inlineStr">
        <is>
          <t>Customers (more than; consolidated)</t>
        </is>
      </c>
      <c r="B766" s="3" t="n"/>
      <c r="C766" s="3" t="n"/>
      <c r="D766" s="3" t="n"/>
      <c r="E766" s="3" t="n"/>
      <c r="F766" s="3" t="n"/>
      <c r="G766" s="3" t="n"/>
      <c r="H766" s="40" t="n">
        <v>50000</v>
      </c>
      <c r="I766" s="3" t="n"/>
      <c r="J766" s="3" t="n"/>
      <c r="K766" s="3" t="n"/>
      <c r="L766" s="3" t="n"/>
      <c r="M766" s="3" t="n"/>
      <c r="N766" s="3" t="n"/>
      <c r="O766" s="3" t="n"/>
      <c r="P766" s="3" t="n"/>
      <c r="Q766" s="3" t="n"/>
      <c r="R766" s="3" t="n"/>
      <c r="S766" s="3" t="n"/>
      <c r="T766" s="3" t="n"/>
      <c r="U766" s="3" t="n"/>
      <c r="V766" s="3" t="n"/>
      <c r="W766" s="3" t="n"/>
      <c r="X766" s="3" t="n"/>
      <c r="Y766" s="4" t="inlineStr">
        <is>
          <t>INFO_10K_FY2020 p10</t>
        </is>
      </c>
    </row>
    <row r="767">
      <c r="A767" s="38" t="inlineStr">
        <is>
          <t>Recurring revenue share (approximately)</t>
        </is>
      </c>
      <c r="B767" s="3" t="n"/>
      <c r="C767" s="3" t="n"/>
      <c r="D767" s="3" t="n"/>
      <c r="E767" s="3" t="n"/>
      <c r="F767" s="3" t="n"/>
      <c r="G767" s="3" t="n"/>
      <c r="H767" s="41" t="n">
        <v>88</v>
      </c>
      <c r="I767" s="3" t="n"/>
      <c r="J767" s="3" t="n"/>
      <c r="K767" s="3" t="n"/>
      <c r="L767" s="3" t="n"/>
      <c r="M767" s="3" t="n"/>
      <c r="N767" s="3" t="n"/>
      <c r="O767" s="3" t="n"/>
      <c r="P767" s="3" t="n"/>
      <c r="Q767" s="3" t="n"/>
      <c r="R767" s="3" t="n"/>
      <c r="S767" s="3" t="n"/>
      <c r="T767" s="3" t="n"/>
      <c r="U767" s="3" t="n"/>
      <c r="V767" s="3" t="n"/>
      <c r="W767" s="3" t="n"/>
      <c r="X767" s="3" t="n"/>
      <c r="Y767" s="4" t="inlineStr">
        <is>
          <t>INFO_10K_FY2020 p10</t>
        </is>
      </c>
    </row>
    <row r="768">
      <c r="A768" s="14" t="inlineStr">
        <is>
          <t>INFO_10K_FY2020 · Item 1 Our People (consolidated)</t>
        </is>
      </c>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row>
    <row r="769">
      <c r="A769" s="38" t="inlineStr">
        <is>
          <t>Employees (more than; consolidated, no segment split)</t>
        </is>
      </c>
      <c r="B769" s="3" t="n"/>
      <c r="C769" s="3" t="n"/>
      <c r="D769" s="3" t="n"/>
      <c r="E769" s="3" t="n"/>
      <c r="F769" s="3" t="n"/>
      <c r="G769" s="3" t="n"/>
      <c r="H769" s="40" t="n">
        <v>16000</v>
      </c>
      <c r="I769" s="3" t="n"/>
      <c r="J769" s="3" t="n"/>
      <c r="K769" s="3" t="n"/>
      <c r="L769" s="3" t="n"/>
      <c r="M769" s="3" t="n"/>
      <c r="N769" s="3" t="n"/>
      <c r="O769" s="3" t="n"/>
      <c r="P769" s="3" t="n"/>
      <c r="Q769" s="3" t="n"/>
      <c r="R769" s="3" t="n"/>
      <c r="S769" s="3" t="n"/>
      <c r="T769" s="3" t="n"/>
      <c r="U769" s="3" t="n"/>
      <c r="V769" s="3" t="n"/>
      <c r="W769" s="3" t="n"/>
      <c r="X769" s="3" t="n"/>
      <c r="Y769" s="4" t="inlineStr">
        <is>
          <t>INFO_10K_FY2020 p16</t>
        </is>
      </c>
    </row>
    <row r="770">
      <c r="A770" s="14" t="inlineStr">
        <is>
          <t>INFO_10K_FY2019 · MD&amp;A Revenue by Transaction Type (consolidated)</t>
        </is>
      </c>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row>
    <row r="771">
      <c r="A771" s="38" t="inlineStr">
        <is>
          <t>Recurring fixed</t>
        </is>
      </c>
      <c r="B771" s="3" t="n"/>
      <c r="C771" s="3" t="n"/>
      <c r="D771" s="3" t="n"/>
      <c r="E771" s="30" t="n">
        <v>2550</v>
      </c>
      <c r="F771" s="30" t="n">
        <v>2861.5</v>
      </c>
      <c r="G771" s="30" t="n">
        <v>3162.4</v>
      </c>
      <c r="H771" s="3" t="n"/>
      <c r="I771" s="3" t="n"/>
      <c r="J771" s="3" t="n"/>
      <c r="K771" s="3" t="n"/>
      <c r="L771" s="3" t="n"/>
      <c r="M771" s="3" t="n"/>
      <c r="N771" s="3" t="n"/>
      <c r="O771" s="3" t="n"/>
      <c r="P771" s="3" t="n"/>
      <c r="Q771" s="3" t="n"/>
      <c r="R771" s="3" t="n"/>
      <c r="S771" s="3" t="n"/>
      <c r="T771" s="3" t="n"/>
      <c r="U771" s="3" t="n"/>
      <c r="V771" s="3" t="n"/>
      <c r="W771" s="3" t="n"/>
      <c r="X771" s="3" t="n"/>
      <c r="Y771" s="4" t="inlineStr">
        <is>
          <t>INFO_10K_FY2019 p41</t>
        </is>
      </c>
    </row>
    <row r="772">
      <c r="A772" s="38" t="inlineStr">
        <is>
          <t>Recurring fixed % Change Total</t>
        </is>
      </c>
      <c r="B772" s="3" t="n"/>
      <c r="C772" s="3" t="n"/>
      <c r="D772" s="3" t="n"/>
      <c r="E772" s="3" t="n"/>
      <c r="F772" s="41" t="n">
        <v>12</v>
      </c>
      <c r="G772" s="41" t="n">
        <v>11</v>
      </c>
      <c r="H772" s="3" t="n"/>
      <c r="I772" s="3" t="n"/>
      <c r="J772" s="3" t="n"/>
      <c r="K772" s="3" t="n"/>
      <c r="L772" s="3" t="n"/>
      <c r="M772" s="3" t="n"/>
      <c r="N772" s="3" t="n"/>
      <c r="O772" s="3" t="n"/>
      <c r="P772" s="3" t="n"/>
      <c r="Q772" s="3" t="n"/>
      <c r="R772" s="3" t="n"/>
      <c r="S772" s="3" t="n"/>
      <c r="T772" s="3" t="n"/>
      <c r="U772" s="3" t="n"/>
      <c r="V772" s="3" t="n"/>
      <c r="W772" s="3" t="n"/>
      <c r="X772" s="3" t="n"/>
      <c r="Y772" s="4" t="inlineStr">
        <is>
          <t>INFO_10K_FY2019 p41</t>
        </is>
      </c>
    </row>
    <row r="773">
      <c r="A773" s="38" t="inlineStr">
        <is>
          <t>Recurring fixed % Change Organic</t>
        </is>
      </c>
      <c r="B773" s="3" t="n"/>
      <c r="C773" s="3" t="n"/>
      <c r="D773" s="3" t="n"/>
      <c r="E773" s="3" t="n"/>
      <c r="F773" s="41" t="n">
        <v>6</v>
      </c>
      <c r="G773" s="41" t="n">
        <v>6</v>
      </c>
      <c r="H773" s="3" t="n"/>
      <c r="I773" s="3" t="n"/>
      <c r="J773" s="3" t="n"/>
      <c r="K773" s="3" t="n"/>
      <c r="L773" s="3" t="n"/>
      <c r="M773" s="3" t="n"/>
      <c r="N773" s="3" t="n"/>
      <c r="O773" s="3" t="n"/>
      <c r="P773" s="3" t="n"/>
      <c r="Q773" s="3" t="n"/>
      <c r="R773" s="3" t="n"/>
      <c r="S773" s="3" t="n"/>
      <c r="T773" s="3" t="n"/>
      <c r="U773" s="3" t="n"/>
      <c r="V773" s="3" t="n"/>
      <c r="W773" s="3" t="n"/>
      <c r="X773" s="3" t="n"/>
      <c r="Y773" s="4" t="inlineStr">
        <is>
          <t>INFO_10K_FY2019 p41</t>
        </is>
      </c>
    </row>
    <row r="774">
      <c r="A774" s="38" t="inlineStr">
        <is>
          <t>Recurring variable</t>
        </is>
      </c>
      <c r="B774" s="3" t="n"/>
      <c r="C774" s="3" t="n"/>
      <c r="D774" s="3" t="n"/>
      <c r="E774" s="30" t="n">
        <v>449</v>
      </c>
      <c r="F774" s="30" t="n">
        <v>506.3</v>
      </c>
      <c r="G774" s="30" t="n">
        <v>572.9</v>
      </c>
      <c r="H774" s="3" t="n"/>
      <c r="I774" s="3" t="n"/>
      <c r="J774" s="3" t="n"/>
      <c r="K774" s="3" t="n"/>
      <c r="L774" s="3" t="n"/>
      <c r="M774" s="3" t="n"/>
      <c r="N774" s="3" t="n"/>
      <c r="O774" s="3" t="n"/>
      <c r="P774" s="3" t="n"/>
      <c r="Q774" s="3" t="n"/>
      <c r="R774" s="3" t="n"/>
      <c r="S774" s="3" t="n"/>
      <c r="T774" s="3" t="n"/>
      <c r="U774" s="3" t="n"/>
      <c r="V774" s="3" t="n"/>
      <c r="W774" s="3" t="n"/>
      <c r="X774" s="3" t="n"/>
      <c r="Y774" s="4" t="inlineStr">
        <is>
          <t>INFO_10K_FY2019 p41</t>
        </is>
      </c>
    </row>
    <row r="775">
      <c r="A775" s="38" t="inlineStr">
        <is>
          <t>Recurring variable % Change Total</t>
        </is>
      </c>
      <c r="B775" s="3" t="n"/>
      <c r="C775" s="3" t="n"/>
      <c r="D775" s="3" t="n"/>
      <c r="E775" s="3" t="n"/>
      <c r="F775" s="41" t="n">
        <v>13</v>
      </c>
      <c r="G775" s="41" t="n">
        <v>13</v>
      </c>
      <c r="H775" s="3" t="n"/>
      <c r="I775" s="3" t="n"/>
      <c r="J775" s="3" t="n"/>
      <c r="K775" s="3" t="n"/>
      <c r="L775" s="3" t="n"/>
      <c r="M775" s="3" t="n"/>
      <c r="N775" s="3" t="n"/>
      <c r="O775" s="3" t="n"/>
      <c r="P775" s="3" t="n"/>
      <c r="Q775" s="3" t="n"/>
      <c r="R775" s="3" t="n"/>
      <c r="S775" s="3" t="n"/>
      <c r="T775" s="3" t="n"/>
      <c r="U775" s="3" t="n"/>
      <c r="V775" s="3" t="n"/>
      <c r="W775" s="3" t="n"/>
      <c r="X775" s="3" t="n"/>
      <c r="Y775" s="4" t="inlineStr">
        <is>
          <t>INFO_10K_FY2019 p41</t>
        </is>
      </c>
    </row>
    <row r="776">
      <c r="A776" s="38" t="inlineStr">
        <is>
          <t>Recurring variable % Change Organic</t>
        </is>
      </c>
      <c r="B776" s="3" t="n"/>
      <c r="C776" s="3" t="n"/>
      <c r="D776" s="3" t="n"/>
      <c r="E776" s="3" t="n"/>
      <c r="F776" s="41" t="n">
        <v>6</v>
      </c>
      <c r="G776" s="41" t="n">
        <v>4</v>
      </c>
      <c r="H776" s="3" t="n"/>
      <c r="I776" s="3" t="n"/>
      <c r="J776" s="3" t="n"/>
      <c r="K776" s="3" t="n"/>
      <c r="L776" s="3" t="n"/>
      <c r="M776" s="3" t="n"/>
      <c r="N776" s="3" t="n"/>
      <c r="O776" s="3" t="n"/>
      <c r="P776" s="3" t="n"/>
      <c r="Q776" s="3" t="n"/>
      <c r="R776" s="3" t="n"/>
      <c r="S776" s="3" t="n"/>
      <c r="T776" s="3" t="n"/>
      <c r="U776" s="3" t="n"/>
      <c r="V776" s="3" t="n"/>
      <c r="W776" s="3" t="n"/>
      <c r="X776" s="3" t="n"/>
      <c r="Y776" s="4" t="inlineStr">
        <is>
          <t>INFO_10K_FY2019 p41</t>
        </is>
      </c>
    </row>
    <row r="777">
      <c r="A777" s="38" t="inlineStr">
        <is>
          <t>Non-recurring</t>
        </is>
      </c>
      <c r="B777" s="3" t="n"/>
      <c r="C777" s="3" t="n"/>
      <c r="D777" s="3" t="n"/>
      <c r="E777" s="30" t="n">
        <v>600.7</v>
      </c>
      <c r="F777" s="30" t="n">
        <v>641.4</v>
      </c>
      <c r="G777" s="30" t="n">
        <v>679.3</v>
      </c>
      <c r="H777" s="3" t="n"/>
      <c r="I777" s="3" t="n"/>
      <c r="J777" s="3" t="n"/>
      <c r="K777" s="3" t="n"/>
      <c r="L777" s="3" t="n"/>
      <c r="M777" s="3" t="n"/>
      <c r="N777" s="3" t="n"/>
      <c r="O777" s="3" t="n"/>
      <c r="P777" s="3" t="n"/>
      <c r="Q777" s="3" t="n"/>
      <c r="R777" s="3" t="n"/>
      <c r="S777" s="3" t="n"/>
      <c r="T777" s="3" t="n"/>
      <c r="U777" s="3" t="n"/>
      <c r="V777" s="3" t="n"/>
      <c r="W777" s="3" t="n"/>
      <c r="X777" s="3" t="n"/>
      <c r="Y777" s="4" t="inlineStr">
        <is>
          <t>INFO_10K_FY2019 p41</t>
        </is>
      </c>
    </row>
    <row r="778">
      <c r="A778" s="38" t="inlineStr">
        <is>
          <t>Non-recurring % Change Total</t>
        </is>
      </c>
      <c r="B778" s="3" t="n"/>
      <c r="C778" s="3" t="n"/>
      <c r="D778" s="3" t="n"/>
      <c r="E778" s="3" t="n"/>
      <c r="F778" s="41" t="n">
        <v>7</v>
      </c>
      <c r="G778" s="41" t="n">
        <v>6</v>
      </c>
      <c r="H778" s="3" t="n"/>
      <c r="I778" s="3" t="n"/>
      <c r="J778" s="3" t="n"/>
      <c r="K778" s="3" t="n"/>
      <c r="L778" s="3" t="n"/>
      <c r="M778" s="3" t="n"/>
      <c r="N778" s="3" t="n"/>
      <c r="O778" s="3" t="n"/>
      <c r="P778" s="3" t="n"/>
      <c r="Q778" s="3" t="n"/>
      <c r="R778" s="3" t="n"/>
      <c r="S778" s="3" t="n"/>
      <c r="T778" s="3" t="n"/>
      <c r="U778" s="3" t="n"/>
      <c r="V778" s="3" t="n"/>
      <c r="W778" s="3" t="n"/>
      <c r="X778" s="3" t="n"/>
      <c r="Y778" s="4" t="inlineStr">
        <is>
          <t>INFO_10K_FY2019 p41</t>
        </is>
      </c>
    </row>
    <row r="779">
      <c r="A779" s="38" t="inlineStr">
        <is>
          <t>Non-recurring % Change Organic</t>
        </is>
      </c>
      <c r="B779" s="3" t="n"/>
      <c r="C779" s="3" t="n"/>
      <c r="D779" s="3" t="n"/>
      <c r="E779" s="3" t="n"/>
      <c r="F779" s="41" t="n">
        <v>6</v>
      </c>
      <c r="G779" s="41" t="n">
        <v>6</v>
      </c>
      <c r="H779" s="3" t="n"/>
      <c r="I779" s="3" t="n"/>
      <c r="J779" s="3" t="n"/>
      <c r="K779" s="3" t="n"/>
      <c r="L779" s="3" t="n"/>
      <c r="M779" s="3" t="n"/>
      <c r="N779" s="3" t="n"/>
      <c r="O779" s="3" t="n"/>
      <c r="P779" s="3" t="n"/>
      <c r="Q779" s="3" t="n"/>
      <c r="R779" s="3" t="n"/>
      <c r="S779" s="3" t="n"/>
      <c r="T779" s="3" t="n"/>
      <c r="U779" s="3" t="n"/>
      <c r="V779" s="3" t="n"/>
      <c r="W779" s="3" t="n"/>
      <c r="X779" s="3" t="n"/>
      <c r="Y779" s="4" t="inlineStr">
        <is>
          <t>INFO_10K_FY2019 p41</t>
        </is>
      </c>
    </row>
    <row r="780">
      <c r="A780" s="39" t="inlineStr">
        <is>
          <t>Total revenue</t>
        </is>
      </c>
      <c r="B780" s="3" t="n"/>
      <c r="C780" s="3" t="n"/>
      <c r="D780" s="3" t="n"/>
      <c r="E780" s="18" t="n">
        <v>3599.7</v>
      </c>
      <c r="F780" s="18" t="n">
        <v>4009.2</v>
      </c>
      <c r="G780" s="18" t="n">
        <v>4414.6</v>
      </c>
      <c r="H780" s="3" t="n"/>
      <c r="I780" s="3" t="n"/>
      <c r="J780" s="3" t="n"/>
      <c r="K780" s="3" t="n"/>
      <c r="L780" s="3" t="n"/>
      <c r="M780" s="3" t="n"/>
      <c r="N780" s="3" t="n"/>
      <c r="O780" s="3" t="n"/>
      <c r="P780" s="3" t="n"/>
      <c r="Q780" s="3" t="n"/>
      <c r="R780" s="3" t="n"/>
      <c r="S780" s="3" t="n"/>
      <c r="T780" s="3" t="n"/>
      <c r="U780" s="3" t="n"/>
      <c r="V780" s="3" t="n"/>
      <c r="W780" s="3" t="n"/>
      <c r="X780" s="3" t="n"/>
      <c r="Y780" s="4" t="inlineStr">
        <is>
          <t>INFO_10K_FY2019 p41</t>
        </is>
      </c>
    </row>
    <row r="781">
      <c r="A781" s="38" t="inlineStr">
        <is>
          <t>Total revenue % Change Total</t>
        </is>
      </c>
      <c r="B781" s="3" t="n"/>
      <c r="C781" s="3" t="n"/>
      <c r="D781" s="3" t="n"/>
      <c r="E781" s="3" t="n"/>
      <c r="F781" s="41" t="n">
        <v>11</v>
      </c>
      <c r="G781" s="41" t="n">
        <v>10</v>
      </c>
      <c r="H781" s="3" t="n"/>
      <c r="I781" s="3" t="n"/>
      <c r="J781" s="3" t="n"/>
      <c r="K781" s="3" t="n"/>
      <c r="L781" s="3" t="n"/>
      <c r="M781" s="3" t="n"/>
      <c r="N781" s="3" t="n"/>
      <c r="O781" s="3" t="n"/>
      <c r="P781" s="3" t="n"/>
      <c r="Q781" s="3" t="n"/>
      <c r="R781" s="3" t="n"/>
      <c r="S781" s="3" t="n"/>
      <c r="T781" s="3" t="n"/>
      <c r="U781" s="3" t="n"/>
      <c r="V781" s="3" t="n"/>
      <c r="W781" s="3" t="n"/>
      <c r="X781" s="3" t="n"/>
      <c r="Y781" s="4" t="inlineStr">
        <is>
          <t>INFO_10K_FY2019 p41</t>
        </is>
      </c>
    </row>
    <row r="782">
      <c r="A782" s="38" t="inlineStr">
        <is>
          <t>Total revenue % Change Organic</t>
        </is>
      </c>
      <c r="B782" s="3" t="n"/>
      <c r="C782" s="3" t="n"/>
      <c r="D782" s="3" t="n"/>
      <c r="E782" s="3" t="n"/>
      <c r="F782" s="41" t="n">
        <v>6</v>
      </c>
      <c r="G782" s="41" t="n">
        <v>6</v>
      </c>
      <c r="H782" s="3" t="n"/>
      <c r="I782" s="3" t="n"/>
      <c r="J782" s="3" t="n"/>
      <c r="K782" s="3" t="n"/>
      <c r="L782" s="3" t="n"/>
      <c r="M782" s="3" t="n"/>
      <c r="N782" s="3" t="n"/>
      <c r="O782" s="3" t="n"/>
      <c r="P782" s="3" t="n"/>
      <c r="Q782" s="3" t="n"/>
      <c r="R782" s="3" t="n"/>
      <c r="S782" s="3" t="n"/>
      <c r="T782" s="3" t="n"/>
      <c r="U782" s="3" t="n"/>
      <c r="V782" s="3" t="n"/>
      <c r="W782" s="3" t="n"/>
      <c r="X782" s="3" t="n"/>
      <c r="Y782" s="4" t="inlineStr">
        <is>
          <t>INFO_10K_FY2019 p41</t>
        </is>
      </c>
    </row>
    <row r="783">
      <c r="A783" s="14" t="inlineStr">
        <is>
          <t>INFO_10K_FY2019 · MD&amp;A Revenue by Transaction Type (consolidated) - as a percent of total revenue</t>
        </is>
      </c>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row>
    <row r="784">
      <c r="A784" s="38" t="inlineStr">
        <is>
          <t>Recurring fixed</t>
        </is>
      </c>
      <c r="B784" s="3" t="n"/>
      <c r="C784" s="3" t="n"/>
      <c r="D784" s="3" t="n"/>
      <c r="E784" s="41" t="n">
        <v>71</v>
      </c>
      <c r="F784" s="41" t="n">
        <v>71</v>
      </c>
      <c r="G784" s="41" t="n">
        <v>72</v>
      </c>
      <c r="H784" s="3" t="n"/>
      <c r="I784" s="3" t="n"/>
      <c r="J784" s="3" t="n"/>
      <c r="K784" s="3" t="n"/>
      <c r="L784" s="3" t="n"/>
      <c r="M784" s="3" t="n"/>
      <c r="N784" s="3" t="n"/>
      <c r="O784" s="3" t="n"/>
      <c r="P784" s="3" t="n"/>
      <c r="Q784" s="3" t="n"/>
      <c r="R784" s="3" t="n"/>
      <c r="S784" s="3" t="n"/>
      <c r="T784" s="3" t="n"/>
      <c r="U784" s="3" t="n"/>
      <c r="V784" s="3" t="n"/>
      <c r="W784" s="3" t="n"/>
      <c r="X784" s="3" t="n"/>
      <c r="Y784" s="4" t="inlineStr">
        <is>
          <t>INFO_10K_FY2019 p41</t>
        </is>
      </c>
    </row>
    <row r="785">
      <c r="A785" s="38" t="inlineStr">
        <is>
          <t>Recurring variable</t>
        </is>
      </c>
      <c r="B785" s="3" t="n"/>
      <c r="C785" s="3" t="n"/>
      <c r="D785" s="3" t="n"/>
      <c r="E785" s="41" t="n">
        <v>12</v>
      </c>
      <c r="F785" s="41" t="n">
        <v>13</v>
      </c>
      <c r="G785" s="41" t="n">
        <v>13</v>
      </c>
      <c r="H785" s="3" t="n"/>
      <c r="I785" s="3" t="n"/>
      <c r="J785" s="3" t="n"/>
      <c r="K785" s="3" t="n"/>
      <c r="L785" s="3" t="n"/>
      <c r="M785" s="3" t="n"/>
      <c r="N785" s="3" t="n"/>
      <c r="O785" s="3" t="n"/>
      <c r="P785" s="3" t="n"/>
      <c r="Q785" s="3" t="n"/>
      <c r="R785" s="3" t="n"/>
      <c r="S785" s="3" t="n"/>
      <c r="T785" s="3" t="n"/>
      <c r="U785" s="3" t="n"/>
      <c r="V785" s="3" t="n"/>
      <c r="W785" s="3" t="n"/>
      <c r="X785" s="3" t="n"/>
      <c r="Y785" s="4" t="inlineStr">
        <is>
          <t>INFO_10K_FY2019 p41</t>
        </is>
      </c>
    </row>
    <row r="786">
      <c r="A786" s="38" t="inlineStr">
        <is>
          <t>Non-recurring</t>
        </is>
      </c>
      <c r="B786" s="3" t="n"/>
      <c r="C786" s="3" t="n"/>
      <c r="D786" s="3" t="n"/>
      <c r="E786" s="41" t="n">
        <v>17</v>
      </c>
      <c r="F786" s="41" t="n">
        <v>16</v>
      </c>
      <c r="G786" s="41" t="n">
        <v>15</v>
      </c>
      <c r="H786" s="3" t="n"/>
      <c r="I786" s="3" t="n"/>
      <c r="J786" s="3" t="n"/>
      <c r="K786" s="3" t="n"/>
      <c r="L786" s="3" t="n"/>
      <c r="M786" s="3" t="n"/>
      <c r="N786" s="3" t="n"/>
      <c r="O786" s="3" t="n"/>
      <c r="P786" s="3" t="n"/>
      <c r="Q786" s="3" t="n"/>
      <c r="R786" s="3" t="n"/>
      <c r="S786" s="3" t="n"/>
      <c r="T786" s="3" t="n"/>
      <c r="U786" s="3" t="n"/>
      <c r="V786" s="3" t="n"/>
      <c r="W786" s="3" t="n"/>
      <c r="X786" s="3" t="n"/>
      <c r="Y786" s="4" t="inlineStr">
        <is>
          <t>INFO_10K_FY2019 p41</t>
        </is>
      </c>
    </row>
    <row r="787">
      <c r="A787" s="14" t="inlineStr">
        <is>
          <t>INFO_10K_FY2019 · MD&amp;A Total Revenue (narrative, consolidated)</t>
        </is>
      </c>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row>
    <row r="788">
      <c r="A788" s="38" t="inlineStr">
        <is>
          <t>Recurring-based business as percent of total revenue</t>
        </is>
      </c>
      <c r="B788" s="3" t="n"/>
      <c r="C788" s="3" t="n"/>
      <c r="D788" s="3" t="n"/>
      <c r="E788" s="41" t="n">
        <v>83</v>
      </c>
      <c r="F788" s="41" t="n">
        <v>84</v>
      </c>
      <c r="G788" s="41" t="n">
        <v>85</v>
      </c>
      <c r="H788" s="3" t="n"/>
      <c r="I788" s="3" t="n"/>
      <c r="J788" s="3" t="n"/>
      <c r="K788" s="3" t="n"/>
      <c r="L788" s="3" t="n"/>
      <c r="M788" s="3" t="n"/>
      <c r="N788" s="3" t="n"/>
      <c r="O788" s="3" t="n"/>
      <c r="P788" s="3" t="n"/>
      <c r="Q788" s="3" t="n"/>
      <c r="R788" s="3" t="n"/>
      <c r="S788" s="3" t="n"/>
      <c r="T788" s="3" t="n"/>
      <c r="U788" s="3" t="n"/>
      <c r="V788" s="3" t="n"/>
      <c r="W788" s="3" t="n"/>
      <c r="X788" s="3" t="n"/>
      <c r="Y788" s="4" t="inlineStr">
        <is>
          <t>INFO_10K_FY2019 p40</t>
        </is>
      </c>
    </row>
    <row r="789">
      <c r="A789" s="38" t="inlineStr">
        <is>
          <t>Recurring/non-recurring organic growth narrative (Transportation reference)</t>
        </is>
      </c>
      <c r="B789" s="3" t="n"/>
      <c r="C789" s="3" t="n"/>
      <c r="D789" s="3" t="n"/>
      <c r="E789" s="3" t="n"/>
      <c r="F789" s="3" t="n"/>
      <c r="G789" s="42" t="inlineStr">
        <is>
          <t>Recurring-based business +6% organic in 2019 and 2018, led by Financial Services and Transportation; non-recurring +6% organic in 2019 and 2018, led by Transportation and Resources.</t>
        </is>
      </c>
      <c r="H789" s="3" t="n"/>
      <c r="I789" s="3" t="n"/>
      <c r="J789" s="3" t="n"/>
      <c r="K789" s="3" t="n"/>
      <c r="L789" s="3" t="n"/>
      <c r="M789" s="3" t="n"/>
      <c r="N789" s="3" t="n"/>
      <c r="O789" s="3" t="n"/>
      <c r="P789" s="3" t="n"/>
      <c r="Q789" s="3" t="n"/>
      <c r="R789" s="3" t="n"/>
      <c r="S789" s="3" t="n"/>
      <c r="T789" s="3" t="n"/>
      <c r="U789" s="3" t="n"/>
      <c r="V789" s="3" t="n"/>
      <c r="W789" s="3" t="n"/>
      <c r="X789" s="3" t="n"/>
      <c r="Y789" s="4" t="inlineStr">
        <is>
          <t>INFO_10K_FY2019 p40</t>
        </is>
      </c>
    </row>
    <row r="790">
      <c r="A790" s="14" t="inlineStr">
        <is>
          <t>INFO_10K_FY2019 · MD&amp;A Revenue by Transaction Type (narrative)</t>
        </is>
      </c>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row>
    <row r="791">
      <c r="A791" s="38" t="inlineStr">
        <is>
          <t>Transportation recurring revenue organic growth</t>
        </is>
      </c>
      <c r="B791" s="3" t="n"/>
      <c r="C791" s="3" t="n"/>
      <c r="D791" s="3" t="n"/>
      <c r="E791" s="3" t="n"/>
      <c r="F791" s="41" t="n">
        <v>11</v>
      </c>
      <c r="G791" s="41" t="n">
        <v>10</v>
      </c>
      <c r="H791" s="3" t="n"/>
      <c r="I791" s="3" t="n"/>
      <c r="J791" s="3" t="n"/>
      <c r="K791" s="3" t="n"/>
      <c r="L791" s="3" t="n"/>
      <c r="M791" s="3" t="n"/>
      <c r="N791" s="3" t="n"/>
      <c r="O791" s="3" t="n"/>
      <c r="P791" s="3" t="n"/>
      <c r="Q791" s="3" t="n"/>
      <c r="R791" s="3" t="n"/>
      <c r="S791" s="3" t="n"/>
      <c r="T791" s="3" t="n"/>
      <c r="U791" s="3" t="n"/>
      <c r="V791" s="3" t="n"/>
      <c r="W791" s="3" t="n"/>
      <c r="X791" s="3" t="n"/>
      <c r="Y791" s="4" t="inlineStr">
        <is>
          <t>INFO_10K_FY2019 p42</t>
        </is>
      </c>
    </row>
    <row r="792">
      <c r="A792" s="38" t="inlineStr">
        <is>
          <t>Non-recurring narrative (Transportation reference)</t>
        </is>
      </c>
      <c r="B792" s="3" t="n"/>
      <c r="C792" s="3" t="n"/>
      <c r="D792" s="3" t="n"/>
      <c r="E792" s="3" t="n"/>
      <c r="F792" s="3" t="n"/>
      <c r="G792" s="42" t="inlineStr">
        <is>
          <t>2019 and 2018 non-recurring increases primarily driven by automotive and Resources product offerings.</t>
        </is>
      </c>
      <c r="H792" s="3" t="n"/>
      <c r="I792" s="3" t="n"/>
      <c r="J792" s="3" t="n"/>
      <c r="K792" s="3" t="n"/>
      <c r="L792" s="3" t="n"/>
      <c r="M792" s="3" t="n"/>
      <c r="N792" s="3" t="n"/>
      <c r="O792" s="3" t="n"/>
      <c r="P792" s="3" t="n"/>
      <c r="Q792" s="3" t="n"/>
      <c r="R792" s="3" t="n"/>
      <c r="S792" s="3" t="n"/>
      <c r="T792" s="3" t="n"/>
      <c r="U792" s="3" t="n"/>
      <c r="V792" s="3" t="n"/>
      <c r="W792" s="3" t="n"/>
      <c r="X792" s="3" t="n"/>
      <c r="Y792" s="4" t="inlineStr">
        <is>
          <t>INFO_10K_FY2019 p42</t>
        </is>
      </c>
    </row>
    <row r="793">
      <c r="A793" s="14" t="inlineStr">
        <is>
          <t>INFO_10K_FY2019 · MD&amp;A Acquisition-Related Costs (aM performance awards)</t>
        </is>
      </c>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row>
    <row r="794">
      <c r="A794" s="38" t="inlineStr">
        <is>
          <t>Compensation costs related to aM performance awards</t>
        </is>
      </c>
      <c r="B794" s="3" t="n"/>
      <c r="C794" s="3" t="n"/>
      <c r="D794" s="3" t="n"/>
      <c r="E794" s="30" t="n">
        <v>10</v>
      </c>
      <c r="F794" s="30" t="n">
        <v>54</v>
      </c>
      <c r="G794" s="30" t="n">
        <v>42</v>
      </c>
      <c r="H794" s="3" t="n"/>
      <c r="I794" s="3" t="n"/>
      <c r="J794" s="3" t="n"/>
      <c r="K794" s="3" t="n"/>
      <c r="L794" s="3" t="n"/>
      <c r="M794" s="3" t="n"/>
      <c r="N794" s="3" t="n"/>
      <c r="O794" s="3" t="n"/>
      <c r="P794" s="3" t="n"/>
      <c r="Q794" s="3" t="n"/>
      <c r="R794" s="3" t="n"/>
      <c r="S794" s="3" t="n"/>
      <c r="T794" s="3" t="n"/>
      <c r="U794" s="3" t="n"/>
      <c r="V794" s="3" t="n"/>
      <c r="W794" s="3" t="n"/>
      <c r="X794" s="3" t="n"/>
      <c r="Y794" s="4" t="inlineStr">
        <is>
          <t>INFO_10K_FY2019 p42</t>
        </is>
      </c>
    </row>
    <row r="795">
      <c r="A795" s="38" t="inlineStr">
        <is>
          <t>Expected additional aM performance award costs over next three years (low)</t>
        </is>
      </c>
      <c r="B795" s="3" t="n"/>
      <c r="C795" s="3" t="n"/>
      <c r="D795" s="3" t="n"/>
      <c r="E795" s="3" t="n"/>
      <c r="F795" s="3" t="n"/>
      <c r="G795" s="30" t="n">
        <v>40</v>
      </c>
      <c r="H795" s="3" t="n"/>
      <c r="I795" s="3" t="n"/>
      <c r="J795" s="3" t="n"/>
      <c r="K795" s="3" t="n"/>
      <c r="L795" s="3" t="n"/>
      <c r="M795" s="3" t="n"/>
      <c r="N795" s="3" t="n"/>
      <c r="O795" s="3" t="n"/>
      <c r="P795" s="3" t="n"/>
      <c r="Q795" s="3" t="n"/>
      <c r="R795" s="3" t="n"/>
      <c r="S795" s="3" t="n"/>
      <c r="T795" s="3" t="n"/>
      <c r="U795" s="3" t="n"/>
      <c r="V795" s="3" t="n"/>
      <c r="W795" s="3" t="n"/>
      <c r="X795" s="3" t="n"/>
      <c r="Y795" s="4" t="inlineStr">
        <is>
          <t>INFO_10K_FY2019 p42</t>
        </is>
      </c>
    </row>
    <row r="796">
      <c r="A796" s="38" t="inlineStr">
        <is>
          <t>Expected additional aM performance award costs over next three years (high)</t>
        </is>
      </c>
      <c r="B796" s="3" t="n"/>
      <c r="C796" s="3" t="n"/>
      <c r="D796" s="3" t="n"/>
      <c r="E796" s="3" t="n"/>
      <c r="F796" s="3" t="n"/>
      <c r="G796" s="30" t="n">
        <v>45</v>
      </c>
      <c r="H796" s="3" t="n"/>
      <c r="I796" s="3" t="n"/>
      <c r="J796" s="3" t="n"/>
      <c r="K796" s="3" t="n"/>
      <c r="L796" s="3" t="n"/>
      <c r="M796" s="3" t="n"/>
      <c r="N796" s="3" t="n"/>
      <c r="O796" s="3" t="n"/>
      <c r="P796" s="3" t="n"/>
      <c r="Q796" s="3" t="n"/>
      <c r="R796" s="3" t="n"/>
      <c r="S796" s="3" t="n"/>
      <c r="T796" s="3" t="n"/>
      <c r="U796" s="3" t="n"/>
      <c r="V796" s="3" t="n"/>
      <c r="W796" s="3" t="n"/>
      <c r="X796" s="3" t="n"/>
      <c r="Y796" s="4" t="inlineStr">
        <is>
          <t>INFO_10K_FY2019 p42</t>
        </is>
      </c>
    </row>
    <row r="797">
      <c r="A797" s="14" t="inlineStr">
        <is>
          <t>INFO_10K_FY2019 · Item 1 Employees (consolidated)</t>
        </is>
      </c>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row>
    <row r="798">
      <c r="A798" s="38" t="inlineStr">
        <is>
          <t>Employees (more than; consolidated, no segment split)</t>
        </is>
      </c>
      <c r="B798" s="3" t="n"/>
      <c r="C798" s="3" t="n"/>
      <c r="D798" s="3" t="n"/>
      <c r="E798" s="3" t="n"/>
      <c r="F798" s="3" t="n"/>
      <c r="G798" s="40" t="n">
        <v>15500</v>
      </c>
      <c r="H798" s="3" t="n"/>
      <c r="I798" s="3" t="n"/>
      <c r="J798" s="3" t="n"/>
      <c r="K798" s="3" t="n"/>
      <c r="L798" s="3" t="n"/>
      <c r="M798" s="3" t="n"/>
      <c r="N798" s="3" t="n"/>
      <c r="O798" s="3" t="n"/>
      <c r="P798" s="3" t="n"/>
      <c r="Q798" s="3" t="n"/>
      <c r="R798" s="3" t="n"/>
      <c r="S798" s="3" t="n"/>
      <c r="T798" s="3" t="n"/>
      <c r="U798" s="3" t="n"/>
      <c r="V798" s="3" t="n"/>
      <c r="W798" s="3" t="n"/>
      <c r="X798" s="3" t="n"/>
      <c r="Y798" s="4" t="inlineStr">
        <is>
          <t>INFO_10K_FY2019 p13</t>
        </is>
      </c>
    </row>
    <row r="799">
      <c r="A799" s="14" t="inlineStr">
        <is>
          <t>INFO_10K_FY2018 · MD&amp;A Revenue by Transaction Type (consolidated)</t>
        </is>
      </c>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row>
    <row r="800">
      <c r="A800" s="38" t="inlineStr">
        <is>
          <t>Recurring fixed</t>
        </is>
      </c>
      <c r="B800" s="3" t="n"/>
      <c r="C800" s="3" t="n"/>
      <c r="D800" s="30" t="n">
        <v>2074.5</v>
      </c>
      <c r="E800" s="30" t="n">
        <v>2550</v>
      </c>
      <c r="F800" s="30" t="n">
        <v>2861.5</v>
      </c>
      <c r="G800" s="3" t="n"/>
      <c r="H800" s="3" t="n"/>
      <c r="I800" s="3" t="n"/>
      <c r="J800" s="3" t="n"/>
      <c r="K800" s="3" t="n"/>
      <c r="L800" s="3" t="n"/>
      <c r="M800" s="3" t="n"/>
      <c r="N800" s="3" t="n"/>
      <c r="O800" s="3" t="n"/>
      <c r="P800" s="3" t="n"/>
      <c r="Q800" s="3" t="n"/>
      <c r="R800" s="3" t="n"/>
      <c r="S800" s="3" t="n"/>
      <c r="T800" s="3" t="n"/>
      <c r="U800" s="3" t="n"/>
      <c r="V800" s="3" t="n"/>
      <c r="W800" s="3" t="n"/>
      <c r="X800" s="3" t="n"/>
      <c r="Y800" s="4" t="inlineStr">
        <is>
          <t>INFO_10K_FY2018 p43</t>
        </is>
      </c>
    </row>
    <row r="801">
      <c r="A801" s="38" t="inlineStr">
        <is>
          <t>Recurring fixed % Change</t>
        </is>
      </c>
      <c r="B801" s="3" t="n"/>
      <c r="C801" s="3" t="n"/>
      <c r="D801" s="3" t="n"/>
      <c r="E801" s="41" t="n">
        <v>23</v>
      </c>
      <c r="F801" s="41" t="n">
        <v>12</v>
      </c>
      <c r="G801" s="3" t="n"/>
      <c r="H801" s="3" t="n"/>
      <c r="I801" s="3" t="n"/>
      <c r="J801" s="3" t="n"/>
      <c r="K801" s="3" t="n"/>
      <c r="L801" s="3" t="n"/>
      <c r="M801" s="3" t="n"/>
      <c r="N801" s="3" t="n"/>
      <c r="O801" s="3" t="n"/>
      <c r="P801" s="3" t="n"/>
      <c r="Q801" s="3" t="n"/>
      <c r="R801" s="3" t="n"/>
      <c r="S801" s="3" t="n"/>
      <c r="T801" s="3" t="n"/>
      <c r="U801" s="3" t="n"/>
      <c r="V801" s="3" t="n"/>
      <c r="W801" s="3" t="n"/>
      <c r="X801" s="3" t="n"/>
      <c r="Y801" s="4" t="inlineStr">
        <is>
          <t>INFO_10K_FY2018 p43</t>
        </is>
      </c>
    </row>
    <row r="802">
      <c r="A802" s="38" t="inlineStr">
        <is>
          <t>Recurring variable</t>
        </is>
      </c>
      <c r="B802" s="3" t="n"/>
      <c r="C802" s="3" t="n"/>
      <c r="D802" s="30" t="n">
        <v>164.1</v>
      </c>
      <c r="E802" s="30" t="n">
        <v>449</v>
      </c>
      <c r="F802" s="30" t="n">
        <v>506.3</v>
      </c>
      <c r="G802" s="3" t="n"/>
      <c r="H802" s="3" t="n"/>
      <c r="I802" s="3" t="n"/>
      <c r="J802" s="3" t="n"/>
      <c r="K802" s="3" t="n"/>
      <c r="L802" s="3" t="n"/>
      <c r="M802" s="3" t="n"/>
      <c r="N802" s="3" t="n"/>
      <c r="O802" s="3" t="n"/>
      <c r="P802" s="3" t="n"/>
      <c r="Q802" s="3" t="n"/>
      <c r="R802" s="3" t="n"/>
      <c r="S802" s="3" t="n"/>
      <c r="T802" s="3" t="n"/>
      <c r="U802" s="3" t="n"/>
      <c r="V802" s="3" t="n"/>
      <c r="W802" s="3" t="n"/>
      <c r="X802" s="3" t="n"/>
      <c r="Y802" s="4" t="inlineStr">
        <is>
          <t>INFO_10K_FY2018 p43</t>
        </is>
      </c>
    </row>
    <row r="803">
      <c r="A803" s="38" t="inlineStr">
        <is>
          <t>Recurring variable % Change</t>
        </is>
      </c>
      <c r="B803" s="3" t="n"/>
      <c r="C803" s="3" t="n"/>
      <c r="D803" s="3" t="n"/>
      <c r="E803" s="42" t="inlineStr">
        <is>
          <t>N/M</t>
        </is>
      </c>
      <c r="F803" s="41" t="n">
        <v>13</v>
      </c>
      <c r="G803" s="3" t="n"/>
      <c r="H803" s="3" t="n"/>
      <c r="I803" s="3" t="n"/>
      <c r="J803" s="3" t="n"/>
      <c r="K803" s="3" t="n"/>
      <c r="L803" s="3" t="n"/>
      <c r="M803" s="3" t="n"/>
      <c r="N803" s="3" t="n"/>
      <c r="O803" s="3" t="n"/>
      <c r="P803" s="3" t="n"/>
      <c r="Q803" s="3" t="n"/>
      <c r="R803" s="3" t="n"/>
      <c r="S803" s="3" t="n"/>
      <c r="T803" s="3" t="n"/>
      <c r="U803" s="3" t="n"/>
      <c r="V803" s="3" t="n"/>
      <c r="W803" s="3" t="n"/>
      <c r="X803" s="3" t="n"/>
      <c r="Y803" s="4" t="inlineStr">
        <is>
          <t>INFO_10K_FY2018 p43</t>
        </is>
      </c>
    </row>
    <row r="804">
      <c r="A804" s="38" t="inlineStr">
        <is>
          <t>Non-recurring</t>
        </is>
      </c>
      <c r="B804" s="3" t="n"/>
      <c r="C804" s="3" t="n"/>
      <c r="D804" s="30" t="n">
        <v>496.2</v>
      </c>
      <c r="E804" s="30" t="n">
        <v>600.7</v>
      </c>
      <c r="F804" s="30" t="n">
        <v>641.4</v>
      </c>
      <c r="G804" s="3" t="n"/>
      <c r="H804" s="3" t="n"/>
      <c r="I804" s="3" t="n"/>
      <c r="J804" s="3" t="n"/>
      <c r="K804" s="3" t="n"/>
      <c r="L804" s="3" t="n"/>
      <c r="M804" s="3" t="n"/>
      <c r="N804" s="3" t="n"/>
      <c r="O804" s="3" t="n"/>
      <c r="P804" s="3" t="n"/>
      <c r="Q804" s="3" t="n"/>
      <c r="R804" s="3" t="n"/>
      <c r="S804" s="3" t="n"/>
      <c r="T804" s="3" t="n"/>
      <c r="U804" s="3" t="n"/>
      <c r="V804" s="3" t="n"/>
      <c r="W804" s="3" t="n"/>
      <c r="X804" s="3" t="n"/>
      <c r="Y804" s="4" t="inlineStr">
        <is>
          <t>INFO_10K_FY2018 p43</t>
        </is>
      </c>
    </row>
    <row r="805">
      <c r="A805" s="38" t="inlineStr">
        <is>
          <t>Non-recurring % Change</t>
        </is>
      </c>
      <c r="B805" s="3" t="n"/>
      <c r="C805" s="3" t="n"/>
      <c r="D805" s="3" t="n"/>
      <c r="E805" s="41" t="n">
        <v>21</v>
      </c>
      <c r="F805" s="41" t="n">
        <v>7</v>
      </c>
      <c r="G805" s="3" t="n"/>
      <c r="H805" s="3" t="n"/>
      <c r="I805" s="3" t="n"/>
      <c r="J805" s="3" t="n"/>
      <c r="K805" s="3" t="n"/>
      <c r="L805" s="3" t="n"/>
      <c r="M805" s="3" t="n"/>
      <c r="N805" s="3" t="n"/>
      <c r="O805" s="3" t="n"/>
      <c r="P805" s="3" t="n"/>
      <c r="Q805" s="3" t="n"/>
      <c r="R805" s="3" t="n"/>
      <c r="S805" s="3" t="n"/>
      <c r="T805" s="3" t="n"/>
      <c r="U805" s="3" t="n"/>
      <c r="V805" s="3" t="n"/>
      <c r="W805" s="3" t="n"/>
      <c r="X805" s="3" t="n"/>
      <c r="Y805" s="4" t="inlineStr">
        <is>
          <t>INFO_10K_FY2018 p43</t>
        </is>
      </c>
    </row>
    <row r="806">
      <c r="A806" s="39" t="inlineStr">
        <is>
          <t>Total revenue</t>
        </is>
      </c>
      <c r="B806" s="3" t="n"/>
      <c r="C806" s="3" t="n"/>
      <c r="D806" s="18" t="n">
        <v>2734.8</v>
      </c>
      <c r="E806" s="18" t="n">
        <v>3599.7</v>
      </c>
      <c r="F806" s="18" t="n">
        <v>4009.2</v>
      </c>
      <c r="G806" s="3" t="n"/>
      <c r="H806" s="3" t="n"/>
      <c r="I806" s="3" t="n"/>
      <c r="J806" s="3" t="n"/>
      <c r="K806" s="3" t="n"/>
      <c r="L806" s="3" t="n"/>
      <c r="M806" s="3" t="n"/>
      <c r="N806" s="3" t="n"/>
      <c r="O806" s="3" t="n"/>
      <c r="P806" s="3" t="n"/>
      <c r="Q806" s="3" t="n"/>
      <c r="R806" s="3" t="n"/>
      <c r="S806" s="3" t="n"/>
      <c r="T806" s="3" t="n"/>
      <c r="U806" s="3" t="n"/>
      <c r="V806" s="3" t="n"/>
      <c r="W806" s="3" t="n"/>
      <c r="X806" s="3" t="n"/>
      <c r="Y806" s="4" t="inlineStr">
        <is>
          <t>INFO_10K_FY2018 p43</t>
        </is>
      </c>
    </row>
    <row r="807">
      <c r="A807" s="38" t="inlineStr">
        <is>
          <t>Total revenue % Change</t>
        </is>
      </c>
      <c r="B807" s="3" t="n"/>
      <c r="C807" s="3" t="n"/>
      <c r="D807" s="3" t="n"/>
      <c r="E807" s="41" t="n">
        <v>32</v>
      </c>
      <c r="F807" s="41" t="n">
        <v>11</v>
      </c>
      <c r="G807" s="3" t="n"/>
      <c r="H807" s="3" t="n"/>
      <c r="I807" s="3" t="n"/>
      <c r="J807" s="3" t="n"/>
      <c r="K807" s="3" t="n"/>
      <c r="L807" s="3" t="n"/>
      <c r="M807" s="3" t="n"/>
      <c r="N807" s="3" t="n"/>
      <c r="O807" s="3" t="n"/>
      <c r="P807" s="3" t="n"/>
      <c r="Q807" s="3" t="n"/>
      <c r="R807" s="3" t="n"/>
      <c r="S807" s="3" t="n"/>
      <c r="T807" s="3" t="n"/>
      <c r="U807" s="3" t="n"/>
      <c r="V807" s="3" t="n"/>
      <c r="W807" s="3" t="n"/>
      <c r="X807" s="3" t="n"/>
      <c r="Y807" s="4" t="inlineStr">
        <is>
          <t>INFO_10K_FY2018 p43</t>
        </is>
      </c>
    </row>
    <row r="808">
      <c r="A808" s="14" t="inlineStr">
        <is>
          <t>INFO_10K_FY2018 · MD&amp;A Revenue by Transaction Type (consolidated) - as a percent of total revenue</t>
        </is>
      </c>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row>
    <row r="809">
      <c r="A809" s="38" t="inlineStr">
        <is>
          <t>Recurring fixed</t>
        </is>
      </c>
      <c r="B809" s="3" t="n"/>
      <c r="C809" s="3" t="n"/>
      <c r="D809" s="41" t="n">
        <v>76</v>
      </c>
      <c r="E809" s="41" t="n">
        <v>71</v>
      </c>
      <c r="F809" s="41" t="n">
        <v>71</v>
      </c>
      <c r="G809" s="3" t="n"/>
      <c r="H809" s="3" t="n"/>
      <c r="I809" s="3" t="n"/>
      <c r="J809" s="3" t="n"/>
      <c r="K809" s="3" t="n"/>
      <c r="L809" s="3" t="n"/>
      <c r="M809" s="3" t="n"/>
      <c r="N809" s="3" t="n"/>
      <c r="O809" s="3" t="n"/>
      <c r="P809" s="3" t="n"/>
      <c r="Q809" s="3" t="n"/>
      <c r="R809" s="3" t="n"/>
      <c r="S809" s="3" t="n"/>
      <c r="T809" s="3" t="n"/>
      <c r="U809" s="3" t="n"/>
      <c r="V809" s="3" t="n"/>
      <c r="W809" s="3" t="n"/>
      <c r="X809" s="3" t="n"/>
      <c r="Y809" s="4" t="inlineStr">
        <is>
          <t>INFO_10K_FY2018 p43</t>
        </is>
      </c>
    </row>
    <row r="810">
      <c r="A810" s="38" t="inlineStr">
        <is>
          <t>Recurring variable</t>
        </is>
      </c>
      <c r="B810" s="3" t="n"/>
      <c r="C810" s="3" t="n"/>
      <c r="D810" s="41" t="n">
        <v>6</v>
      </c>
      <c r="E810" s="41" t="n">
        <v>12</v>
      </c>
      <c r="F810" s="41" t="n">
        <v>13</v>
      </c>
      <c r="G810" s="3" t="n"/>
      <c r="H810" s="3" t="n"/>
      <c r="I810" s="3" t="n"/>
      <c r="J810" s="3" t="n"/>
      <c r="K810" s="3" t="n"/>
      <c r="L810" s="3" t="n"/>
      <c r="M810" s="3" t="n"/>
      <c r="N810" s="3" t="n"/>
      <c r="O810" s="3" t="n"/>
      <c r="P810" s="3" t="n"/>
      <c r="Q810" s="3" t="n"/>
      <c r="R810" s="3" t="n"/>
      <c r="S810" s="3" t="n"/>
      <c r="T810" s="3" t="n"/>
      <c r="U810" s="3" t="n"/>
      <c r="V810" s="3" t="n"/>
      <c r="W810" s="3" t="n"/>
      <c r="X810" s="3" t="n"/>
      <c r="Y810" s="4" t="inlineStr">
        <is>
          <t>INFO_10K_FY2018 p43</t>
        </is>
      </c>
    </row>
    <row r="811">
      <c r="A811" s="38" t="inlineStr">
        <is>
          <t>Non-recurring</t>
        </is>
      </c>
      <c r="B811" s="3" t="n"/>
      <c r="C811" s="3" t="n"/>
      <c r="D811" s="41" t="n">
        <v>18</v>
      </c>
      <c r="E811" s="41" t="n">
        <v>17</v>
      </c>
      <c r="F811" s="41" t="n">
        <v>16</v>
      </c>
      <c r="G811" s="3" t="n"/>
      <c r="H811" s="3" t="n"/>
      <c r="I811" s="3" t="n"/>
      <c r="J811" s="3" t="n"/>
      <c r="K811" s="3" t="n"/>
      <c r="L811" s="3" t="n"/>
      <c r="M811" s="3" t="n"/>
      <c r="N811" s="3" t="n"/>
      <c r="O811" s="3" t="n"/>
      <c r="P811" s="3" t="n"/>
      <c r="Q811" s="3" t="n"/>
      <c r="R811" s="3" t="n"/>
      <c r="S811" s="3" t="n"/>
      <c r="T811" s="3" t="n"/>
      <c r="U811" s="3" t="n"/>
      <c r="V811" s="3" t="n"/>
      <c r="W811" s="3" t="n"/>
      <c r="X811" s="3" t="n"/>
      <c r="Y811" s="4" t="inlineStr">
        <is>
          <t>INFO_10K_FY2018 p43</t>
        </is>
      </c>
    </row>
    <row r="812">
      <c r="A812" s="14" t="inlineStr">
        <is>
          <t>INFO_10K_FY2018 · MD&amp;A Total Revenue (narrative, consolidated)</t>
        </is>
      </c>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row>
    <row r="813">
      <c r="A813" s="38" t="inlineStr">
        <is>
          <t>Recurring-based business as percent of total revenue</t>
        </is>
      </c>
      <c r="B813" s="3" t="n"/>
      <c r="C813" s="3" t="n"/>
      <c r="D813" s="41" t="n">
        <v>82</v>
      </c>
      <c r="E813" s="41" t="n">
        <v>83</v>
      </c>
      <c r="F813" s="41" t="n">
        <v>84</v>
      </c>
      <c r="G813" s="3" t="n"/>
      <c r="H813" s="3" t="n"/>
      <c r="I813" s="3" t="n"/>
      <c r="J813" s="3" t="n"/>
      <c r="K813" s="3" t="n"/>
      <c r="L813" s="3" t="n"/>
      <c r="M813" s="3" t="n"/>
      <c r="N813" s="3" t="n"/>
      <c r="O813" s="3" t="n"/>
      <c r="P813" s="3" t="n"/>
      <c r="Q813" s="3" t="n"/>
      <c r="R813" s="3" t="n"/>
      <c r="S813" s="3" t="n"/>
      <c r="T813" s="3" t="n"/>
      <c r="U813" s="3" t="n"/>
      <c r="V813" s="3" t="n"/>
      <c r="W813" s="3" t="n"/>
      <c r="X813" s="3" t="n"/>
      <c r="Y813" s="4" t="inlineStr">
        <is>
          <t>INFO_10K_FY2018 p40</t>
        </is>
      </c>
    </row>
    <row r="814">
      <c r="A814" s="38" t="inlineStr">
        <is>
          <t>Recurring/non-recurring organic growth narrative (Transportation reference)</t>
        </is>
      </c>
      <c r="B814" s="3" t="n"/>
      <c r="C814" s="3" t="n"/>
      <c r="D814" s="3" t="n"/>
      <c r="E814" s="3" t="n"/>
      <c r="F814" s="42" t="inlineStr">
        <is>
          <t>Recurring-based business +6% organic in 2018 and +3% in 2017, led each year by Transportation and Financial Services; non-recurring +6% organic in 2018 (led by Transportation and Resources) and +9% in 2017 (led by Transportation and Financial Services).</t>
        </is>
      </c>
      <c r="G814" s="3" t="n"/>
      <c r="H814" s="3" t="n"/>
      <c r="I814" s="3" t="n"/>
      <c r="J814" s="3" t="n"/>
      <c r="K814" s="3" t="n"/>
      <c r="L814" s="3" t="n"/>
      <c r="M814" s="3" t="n"/>
      <c r="N814" s="3" t="n"/>
      <c r="O814" s="3" t="n"/>
      <c r="P814" s="3" t="n"/>
      <c r="Q814" s="3" t="n"/>
      <c r="R814" s="3" t="n"/>
      <c r="S814" s="3" t="n"/>
      <c r="T814" s="3" t="n"/>
      <c r="U814" s="3" t="n"/>
      <c r="V814" s="3" t="n"/>
      <c r="W814" s="3" t="n"/>
      <c r="X814" s="3" t="n"/>
      <c r="Y814" s="4" t="inlineStr">
        <is>
          <t>INFO_10K_FY2018 p40</t>
        </is>
      </c>
    </row>
    <row r="815">
      <c r="A815" s="14" t="inlineStr">
        <is>
          <t>INFO_10K_FY2018 · Item 1 Employees (consolidated)</t>
        </is>
      </c>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row>
    <row r="816">
      <c r="A816" s="38" t="inlineStr">
        <is>
          <t>Employees (approximately; consolidated, no segment split)</t>
        </is>
      </c>
      <c r="B816" s="3" t="n"/>
      <c r="C816" s="3" t="n"/>
      <c r="D816" s="3" t="n"/>
      <c r="E816" s="3" t="n"/>
      <c r="F816" s="40" t="n">
        <v>14900</v>
      </c>
      <c r="G816" s="3" t="n"/>
      <c r="H816" s="3" t="n"/>
      <c r="I816" s="3" t="n"/>
      <c r="J816" s="3" t="n"/>
      <c r="K816" s="3" t="n"/>
      <c r="L816" s="3" t="n"/>
      <c r="M816" s="3" t="n"/>
      <c r="N816" s="3" t="n"/>
      <c r="O816" s="3" t="n"/>
      <c r="P816" s="3" t="n"/>
      <c r="Q816" s="3" t="n"/>
      <c r="R816" s="3" t="n"/>
      <c r="S816" s="3" t="n"/>
      <c r="T816" s="3" t="n"/>
      <c r="U816" s="3" t="n"/>
      <c r="V816" s="3" t="n"/>
      <c r="W816" s="3" t="n"/>
      <c r="X816" s="3" t="n"/>
      <c r="Y816" s="4" t="inlineStr">
        <is>
          <t>INFO_10K_FY2018 p14</t>
        </is>
      </c>
    </row>
    <row r="817">
      <c r="A817" s="14" t="inlineStr">
        <is>
          <t>INFO_10K_FY2017 · Note Segment Information</t>
        </is>
      </c>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row>
    <row r="818">
      <c r="A818" s="38" t="inlineStr">
        <is>
          <t>Revenue - Transportation</t>
        </is>
      </c>
      <c r="B818" s="3" t="n"/>
      <c r="C818" s="30" t="n">
        <v>758.4</v>
      </c>
      <c r="D818" s="30" t="n">
        <v>892.8</v>
      </c>
      <c r="E818" s="30" t="n">
        <v>991.6</v>
      </c>
      <c r="F818" s="3" t="n"/>
      <c r="G818" s="3" t="n"/>
      <c r="H818" s="3" t="n"/>
      <c r="I818" s="3" t="n"/>
      <c r="J818" s="3" t="n"/>
      <c r="K818" s="3" t="n"/>
      <c r="L818" s="3" t="n"/>
      <c r="M818" s="3" t="n"/>
      <c r="N818" s="3" t="n"/>
      <c r="O818" s="3" t="n"/>
      <c r="P818" s="3" t="n"/>
      <c r="Q818" s="3" t="n"/>
      <c r="R818" s="3" t="n"/>
      <c r="S818" s="3" t="n"/>
      <c r="T818" s="3" t="n"/>
      <c r="U818" s="3" t="n"/>
      <c r="V818" s="3" t="n"/>
      <c r="W818" s="3" t="n"/>
      <c r="X818" s="3" t="n"/>
      <c r="Y818" s="4" t="inlineStr">
        <is>
          <t>INFO_10K_FY2017 p82</t>
        </is>
      </c>
    </row>
    <row r="819">
      <c r="A819" s="39" t="inlineStr">
        <is>
          <t>Total revenue</t>
        </is>
      </c>
      <c r="B819" s="3" t="n"/>
      <c r="C819" s="18" t="n">
        <v>2184.3</v>
      </c>
      <c r="D819" s="18" t="n">
        <v>2734.8</v>
      </c>
      <c r="E819" s="18" t="n">
        <v>3599.7</v>
      </c>
      <c r="F819" s="3" t="n"/>
      <c r="G819" s="3" t="n"/>
      <c r="H819" s="3" t="n"/>
      <c r="I819" s="3" t="n"/>
      <c r="J819" s="3" t="n"/>
      <c r="K819" s="3" t="n"/>
      <c r="L819" s="3" t="n"/>
      <c r="M819" s="3" t="n"/>
      <c r="N819" s="3" t="n"/>
      <c r="O819" s="3" t="n"/>
      <c r="P819" s="3" t="n"/>
      <c r="Q819" s="3" t="n"/>
      <c r="R819" s="3" t="n"/>
      <c r="S819" s="3" t="n"/>
      <c r="T819" s="3" t="n"/>
      <c r="U819" s="3" t="n"/>
      <c r="V819" s="3" t="n"/>
      <c r="W819" s="3" t="n"/>
      <c r="X819" s="3" t="n"/>
      <c r="Y819" s="4" t="inlineStr">
        <is>
          <t>INFO_10K_FY2017 p82</t>
        </is>
      </c>
    </row>
    <row r="820">
      <c r="A820" s="38" t="inlineStr">
        <is>
          <t>Adjusted EBITDA - Transportation</t>
        </is>
      </c>
      <c r="B820" s="3" t="n"/>
      <c r="C820" s="30" t="n">
        <v>282.7</v>
      </c>
      <c r="D820" s="30" t="n">
        <v>353.3</v>
      </c>
      <c r="E820" s="30" t="n">
        <v>408.6</v>
      </c>
      <c r="F820" s="3" t="n"/>
      <c r="G820" s="3" t="n"/>
      <c r="H820" s="3" t="n"/>
      <c r="I820" s="3" t="n"/>
      <c r="J820" s="3" t="n"/>
      <c r="K820" s="3" t="n"/>
      <c r="L820" s="3" t="n"/>
      <c r="M820" s="3" t="n"/>
      <c r="N820" s="3" t="n"/>
      <c r="O820" s="3" t="n"/>
      <c r="P820" s="3" t="n"/>
      <c r="Q820" s="3" t="n"/>
      <c r="R820" s="3" t="n"/>
      <c r="S820" s="3" t="n"/>
      <c r="T820" s="3" t="n"/>
      <c r="U820" s="3" t="n"/>
      <c r="V820" s="3" t="n"/>
      <c r="W820" s="3" t="n"/>
      <c r="X820" s="3" t="n"/>
      <c r="Y820" s="4" t="inlineStr">
        <is>
          <t>INFO_10K_FY2017 p82</t>
        </is>
      </c>
    </row>
    <row r="821">
      <c r="A821" s="39" t="inlineStr">
        <is>
          <t>Total Adjusted EBITDA</t>
        </is>
      </c>
      <c r="B821" s="3" t="n"/>
      <c r="C821" s="18" t="n">
        <v>696.4</v>
      </c>
      <c r="D821" s="18" t="n">
        <v>987.7</v>
      </c>
      <c r="E821" s="18" t="n">
        <v>1389.9</v>
      </c>
      <c r="F821" s="3" t="n"/>
      <c r="G821" s="3" t="n"/>
      <c r="H821" s="3" t="n"/>
      <c r="I821" s="3" t="n"/>
      <c r="J821" s="3" t="n"/>
      <c r="K821" s="3" t="n"/>
      <c r="L821" s="3" t="n"/>
      <c r="M821" s="3" t="n"/>
      <c r="N821" s="3" t="n"/>
      <c r="O821" s="3" t="n"/>
      <c r="P821" s="3" t="n"/>
      <c r="Q821" s="3" t="n"/>
      <c r="R821" s="3" t="n"/>
      <c r="S821" s="3" t="n"/>
      <c r="T821" s="3" t="n"/>
      <c r="U821" s="3" t="n"/>
      <c r="V821" s="3" t="n"/>
      <c r="W821" s="3" t="n"/>
      <c r="X821" s="3" t="n"/>
      <c r="Y821" s="4" t="inlineStr">
        <is>
          <t>INFO_10K_FY2017 p82</t>
        </is>
      </c>
    </row>
    <row r="822">
      <c r="A822" s="14" t="inlineStr">
        <is>
          <t>INFO_10K_FY2017 · Note Segment Information (reconciliation)</t>
        </is>
      </c>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row>
    <row r="823">
      <c r="A823" s="38" t="inlineStr">
        <is>
          <t>Acquisition-related performance compensation</t>
        </is>
      </c>
      <c r="B823" s="3" t="n"/>
      <c r="C823" s="3" t="n"/>
      <c r="D823" s="3" t="n"/>
      <c r="E823" s="30" t="n">
        <v>-9.9</v>
      </c>
      <c r="F823" s="3" t="n"/>
      <c r="G823" s="3" t="n"/>
      <c r="H823" s="3" t="n"/>
      <c r="I823" s="3" t="n"/>
      <c r="J823" s="3" t="n"/>
      <c r="K823" s="3" t="n"/>
      <c r="L823" s="3" t="n"/>
      <c r="M823" s="3" t="n"/>
      <c r="N823" s="3" t="n"/>
      <c r="O823" s="3" t="n"/>
      <c r="P823" s="3" t="n"/>
      <c r="Q823" s="3" t="n"/>
      <c r="R823" s="3" t="n"/>
      <c r="S823" s="3" t="n"/>
      <c r="T823" s="3" t="n"/>
      <c r="U823" s="3" t="n"/>
      <c r="V823" s="3" t="n"/>
      <c r="W823" s="3" t="n"/>
      <c r="X823" s="3" t="n"/>
      <c r="Y823" s="4" t="inlineStr">
        <is>
          <t>INFO_10K_FY2017 p82</t>
        </is>
      </c>
    </row>
    <row r="824">
      <c r="A824" s="14" t="inlineStr">
        <is>
          <t>INFO_10K_FY2017 · Note Revenue by transaction type (consolidated)</t>
        </is>
      </c>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row>
    <row r="825">
      <c r="A825" s="38" t="inlineStr">
        <is>
          <t>Recurring fixed revenue</t>
        </is>
      </c>
      <c r="B825" s="3" t="n"/>
      <c r="C825" s="30" t="n">
        <v>1768.5</v>
      </c>
      <c r="D825" s="30" t="n">
        <v>2074.5</v>
      </c>
      <c r="E825" s="30" t="n">
        <v>2550</v>
      </c>
      <c r="F825" s="3" t="n"/>
      <c r="G825" s="3" t="n"/>
      <c r="H825" s="3" t="n"/>
      <c r="I825" s="3" t="n"/>
      <c r="J825" s="3" t="n"/>
      <c r="K825" s="3" t="n"/>
      <c r="L825" s="3" t="n"/>
      <c r="M825" s="3" t="n"/>
      <c r="N825" s="3" t="n"/>
      <c r="O825" s="3" t="n"/>
      <c r="P825" s="3" t="n"/>
      <c r="Q825" s="3" t="n"/>
      <c r="R825" s="3" t="n"/>
      <c r="S825" s="3" t="n"/>
      <c r="T825" s="3" t="n"/>
      <c r="U825" s="3" t="n"/>
      <c r="V825" s="3" t="n"/>
      <c r="W825" s="3" t="n"/>
      <c r="X825" s="3" t="n"/>
      <c r="Y825" s="4" t="inlineStr">
        <is>
          <t>INFO_10K_FY2017 p83</t>
        </is>
      </c>
    </row>
    <row r="826">
      <c r="A826" s="38" t="inlineStr">
        <is>
          <t>Recurring variable revenue</t>
        </is>
      </c>
      <c r="B826" s="3" t="n"/>
      <c r="C826" s="30" t="n">
        <v>0</v>
      </c>
      <c r="D826" s="30" t="n">
        <v>164.1</v>
      </c>
      <c r="E826" s="30" t="n">
        <v>449</v>
      </c>
      <c r="F826" s="3" t="n"/>
      <c r="G826" s="3" t="n"/>
      <c r="H826" s="3" t="n"/>
      <c r="I826" s="3" t="n"/>
      <c r="J826" s="3" t="n"/>
      <c r="K826" s="3" t="n"/>
      <c r="L826" s="3" t="n"/>
      <c r="M826" s="3" t="n"/>
      <c r="N826" s="3" t="n"/>
      <c r="O826" s="3" t="n"/>
      <c r="P826" s="3" t="n"/>
      <c r="Q826" s="3" t="n"/>
      <c r="R826" s="3" t="n"/>
      <c r="S826" s="3" t="n"/>
      <c r="T826" s="3" t="n"/>
      <c r="U826" s="3" t="n"/>
      <c r="V826" s="3" t="n"/>
      <c r="W826" s="3" t="n"/>
      <c r="X826" s="3" t="n"/>
      <c r="Y826" s="4" t="inlineStr">
        <is>
          <t>INFO_10K_FY2017 p83</t>
        </is>
      </c>
    </row>
    <row r="827">
      <c r="A827" s="38" t="inlineStr">
        <is>
          <t>Non-recurring revenue</t>
        </is>
      </c>
      <c r="B827" s="3" t="n"/>
      <c r="C827" s="30" t="n">
        <v>415.8</v>
      </c>
      <c r="D827" s="30" t="n">
        <v>496.2</v>
      </c>
      <c r="E827" s="30" t="n">
        <v>600.7</v>
      </c>
      <c r="F827" s="3" t="n"/>
      <c r="G827" s="3" t="n"/>
      <c r="H827" s="3" t="n"/>
      <c r="I827" s="3" t="n"/>
      <c r="J827" s="3" t="n"/>
      <c r="K827" s="3" t="n"/>
      <c r="L827" s="3" t="n"/>
      <c r="M827" s="3" t="n"/>
      <c r="N827" s="3" t="n"/>
      <c r="O827" s="3" t="n"/>
      <c r="P827" s="3" t="n"/>
      <c r="Q827" s="3" t="n"/>
      <c r="R827" s="3" t="n"/>
      <c r="S827" s="3" t="n"/>
      <c r="T827" s="3" t="n"/>
      <c r="U827" s="3" t="n"/>
      <c r="V827" s="3" t="n"/>
      <c r="W827" s="3" t="n"/>
      <c r="X827" s="3" t="n"/>
      <c r="Y827" s="4" t="inlineStr">
        <is>
          <t>INFO_10K_FY2017 p83</t>
        </is>
      </c>
    </row>
    <row r="828">
      <c r="A828" s="39" t="inlineStr">
        <is>
          <t>Total revenue</t>
        </is>
      </c>
      <c r="B828" s="3" t="n"/>
      <c r="C828" s="18" t="n">
        <v>2184.3</v>
      </c>
      <c r="D828" s="18" t="n">
        <v>2734.8</v>
      </c>
      <c r="E828" s="18" t="n">
        <v>3599.7</v>
      </c>
      <c r="F828" s="3" t="n"/>
      <c r="G828" s="3" t="n"/>
      <c r="H828" s="3" t="n"/>
      <c r="I828" s="3" t="n"/>
      <c r="J828" s="3" t="n"/>
      <c r="K828" s="3" t="n"/>
      <c r="L828" s="3" t="n"/>
      <c r="M828" s="3" t="n"/>
      <c r="N828" s="3" t="n"/>
      <c r="O828" s="3" t="n"/>
      <c r="P828" s="3" t="n"/>
      <c r="Q828" s="3" t="n"/>
      <c r="R828" s="3" t="n"/>
      <c r="S828" s="3" t="n"/>
      <c r="T828" s="3" t="n"/>
      <c r="U828" s="3" t="n"/>
      <c r="V828" s="3" t="n"/>
      <c r="W828" s="3" t="n"/>
      <c r="X828" s="3" t="n"/>
      <c r="Y828" s="4" t="inlineStr">
        <is>
          <t>INFO_10K_FY2017 p83</t>
        </is>
      </c>
    </row>
    <row r="829">
      <c r="A829" s="14" t="inlineStr">
        <is>
          <t>INFO_10K_FY2017 · MD&amp;A Revenue by Transaction Type (consolidated)</t>
        </is>
      </c>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row>
    <row r="830">
      <c r="A830" s="38" t="inlineStr">
        <is>
          <t>Recurring fixed % Change</t>
        </is>
      </c>
      <c r="B830" s="3" t="n"/>
      <c r="C830" s="3" t="n"/>
      <c r="D830" s="41" t="n">
        <v>17</v>
      </c>
      <c r="E830" s="41" t="n">
        <v>23</v>
      </c>
      <c r="F830" s="3" t="n"/>
      <c r="G830" s="3" t="n"/>
      <c r="H830" s="3" t="n"/>
      <c r="I830" s="3" t="n"/>
      <c r="J830" s="3" t="n"/>
      <c r="K830" s="3" t="n"/>
      <c r="L830" s="3" t="n"/>
      <c r="M830" s="3" t="n"/>
      <c r="N830" s="3" t="n"/>
      <c r="O830" s="3" t="n"/>
      <c r="P830" s="3" t="n"/>
      <c r="Q830" s="3" t="n"/>
      <c r="R830" s="3" t="n"/>
      <c r="S830" s="3" t="n"/>
      <c r="T830" s="3" t="n"/>
      <c r="U830" s="3" t="n"/>
      <c r="V830" s="3" t="n"/>
      <c r="W830" s="3" t="n"/>
      <c r="X830" s="3" t="n"/>
      <c r="Y830" s="4" t="inlineStr">
        <is>
          <t>INFO_10K_FY2017 p41</t>
        </is>
      </c>
    </row>
    <row r="831">
      <c r="A831" s="38" t="inlineStr">
        <is>
          <t>Recurring variable % Change</t>
        </is>
      </c>
      <c r="B831" s="3" t="n"/>
      <c r="C831" s="3" t="n"/>
      <c r="D831" s="42" t="inlineStr">
        <is>
          <t>N/M</t>
        </is>
      </c>
      <c r="E831" s="42" t="inlineStr">
        <is>
          <t>N/M</t>
        </is>
      </c>
      <c r="F831" s="3" t="n"/>
      <c r="G831" s="3" t="n"/>
      <c r="H831" s="3" t="n"/>
      <c r="I831" s="3" t="n"/>
      <c r="J831" s="3" t="n"/>
      <c r="K831" s="3" t="n"/>
      <c r="L831" s="3" t="n"/>
      <c r="M831" s="3" t="n"/>
      <c r="N831" s="3" t="n"/>
      <c r="O831" s="3" t="n"/>
      <c r="P831" s="3" t="n"/>
      <c r="Q831" s="3" t="n"/>
      <c r="R831" s="3" t="n"/>
      <c r="S831" s="3" t="n"/>
      <c r="T831" s="3" t="n"/>
      <c r="U831" s="3" t="n"/>
      <c r="V831" s="3" t="n"/>
      <c r="W831" s="3" t="n"/>
      <c r="X831" s="3" t="n"/>
      <c r="Y831" s="4" t="inlineStr">
        <is>
          <t>INFO_10K_FY2017 p41</t>
        </is>
      </c>
    </row>
    <row r="832">
      <c r="A832" s="38" t="inlineStr">
        <is>
          <t>Non-recurring % Change</t>
        </is>
      </c>
      <c r="B832" s="3" t="n"/>
      <c r="C832" s="3" t="n"/>
      <c r="D832" s="41" t="n">
        <v>19</v>
      </c>
      <c r="E832" s="41" t="n">
        <v>21</v>
      </c>
      <c r="F832" s="3" t="n"/>
      <c r="G832" s="3" t="n"/>
      <c r="H832" s="3" t="n"/>
      <c r="I832" s="3" t="n"/>
      <c r="J832" s="3" t="n"/>
      <c r="K832" s="3" t="n"/>
      <c r="L832" s="3" t="n"/>
      <c r="M832" s="3" t="n"/>
      <c r="N832" s="3" t="n"/>
      <c r="O832" s="3" t="n"/>
      <c r="P832" s="3" t="n"/>
      <c r="Q832" s="3" t="n"/>
      <c r="R832" s="3" t="n"/>
      <c r="S832" s="3" t="n"/>
      <c r="T832" s="3" t="n"/>
      <c r="U832" s="3" t="n"/>
      <c r="V832" s="3" t="n"/>
      <c r="W832" s="3" t="n"/>
      <c r="X832" s="3" t="n"/>
      <c r="Y832" s="4" t="inlineStr">
        <is>
          <t>INFO_10K_FY2017 p41</t>
        </is>
      </c>
    </row>
    <row r="833">
      <c r="A833" s="38" t="inlineStr">
        <is>
          <t>Total revenue % Change</t>
        </is>
      </c>
      <c r="B833" s="3" t="n"/>
      <c r="C833" s="3" t="n"/>
      <c r="D833" s="41" t="n">
        <v>25</v>
      </c>
      <c r="E833" s="41" t="n">
        <v>32</v>
      </c>
      <c r="F833" s="3" t="n"/>
      <c r="G833" s="3" t="n"/>
      <c r="H833" s="3" t="n"/>
      <c r="I833" s="3" t="n"/>
      <c r="J833" s="3" t="n"/>
      <c r="K833" s="3" t="n"/>
      <c r="L833" s="3" t="n"/>
      <c r="M833" s="3" t="n"/>
      <c r="N833" s="3" t="n"/>
      <c r="O833" s="3" t="n"/>
      <c r="P833" s="3" t="n"/>
      <c r="Q833" s="3" t="n"/>
      <c r="R833" s="3" t="n"/>
      <c r="S833" s="3" t="n"/>
      <c r="T833" s="3" t="n"/>
      <c r="U833" s="3" t="n"/>
      <c r="V833" s="3" t="n"/>
      <c r="W833" s="3" t="n"/>
      <c r="X833" s="3" t="n"/>
      <c r="Y833" s="4" t="inlineStr">
        <is>
          <t>INFO_10K_FY2017 p41</t>
        </is>
      </c>
    </row>
    <row r="834">
      <c r="A834" s="14" t="inlineStr">
        <is>
          <t>INFO_10K_FY2017 · MD&amp;A Revenue by Transaction Type (consolidated) - as a percent of total revenue</t>
        </is>
      </c>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row>
    <row r="835">
      <c r="A835" s="38" t="inlineStr">
        <is>
          <t>Recurring fixed</t>
        </is>
      </c>
      <c r="B835" s="3" t="n"/>
      <c r="C835" s="41" t="n">
        <v>81</v>
      </c>
      <c r="D835" s="41" t="n">
        <v>76</v>
      </c>
      <c r="E835" s="41" t="n">
        <v>71</v>
      </c>
      <c r="F835" s="3" t="n"/>
      <c r="G835" s="3" t="n"/>
      <c r="H835" s="3" t="n"/>
      <c r="I835" s="3" t="n"/>
      <c r="J835" s="3" t="n"/>
      <c r="K835" s="3" t="n"/>
      <c r="L835" s="3" t="n"/>
      <c r="M835" s="3" t="n"/>
      <c r="N835" s="3" t="n"/>
      <c r="O835" s="3" t="n"/>
      <c r="P835" s="3" t="n"/>
      <c r="Q835" s="3" t="n"/>
      <c r="R835" s="3" t="n"/>
      <c r="S835" s="3" t="n"/>
      <c r="T835" s="3" t="n"/>
      <c r="U835" s="3" t="n"/>
      <c r="V835" s="3" t="n"/>
      <c r="W835" s="3" t="n"/>
      <c r="X835" s="3" t="n"/>
      <c r="Y835" s="4" t="inlineStr">
        <is>
          <t>INFO_10K_FY2017 p41</t>
        </is>
      </c>
    </row>
    <row r="836">
      <c r="A836" s="38" t="inlineStr">
        <is>
          <t>Recurring variable</t>
        </is>
      </c>
      <c r="B836" s="3" t="n"/>
      <c r="C836" s="41" t="n">
        <v>0</v>
      </c>
      <c r="D836" s="41" t="n">
        <v>6</v>
      </c>
      <c r="E836" s="41" t="n">
        <v>12</v>
      </c>
      <c r="F836" s="3" t="n"/>
      <c r="G836" s="3" t="n"/>
      <c r="H836" s="3" t="n"/>
      <c r="I836" s="3" t="n"/>
      <c r="J836" s="3" t="n"/>
      <c r="K836" s="3" t="n"/>
      <c r="L836" s="3" t="n"/>
      <c r="M836" s="3" t="n"/>
      <c r="N836" s="3" t="n"/>
      <c r="O836" s="3" t="n"/>
      <c r="P836" s="3" t="n"/>
      <c r="Q836" s="3" t="n"/>
      <c r="R836" s="3" t="n"/>
      <c r="S836" s="3" t="n"/>
      <c r="T836" s="3" t="n"/>
      <c r="U836" s="3" t="n"/>
      <c r="V836" s="3" t="n"/>
      <c r="W836" s="3" t="n"/>
      <c r="X836" s="3" t="n"/>
      <c r="Y836" s="4" t="inlineStr">
        <is>
          <t>INFO_10K_FY2017 p41</t>
        </is>
      </c>
    </row>
    <row r="837">
      <c r="A837" s="38" t="inlineStr">
        <is>
          <t>Non-recurring</t>
        </is>
      </c>
      <c r="B837" s="3" t="n"/>
      <c r="C837" s="41" t="n">
        <v>19</v>
      </c>
      <c r="D837" s="41" t="n">
        <v>18</v>
      </c>
      <c r="E837" s="41" t="n">
        <v>17</v>
      </c>
      <c r="F837" s="3" t="n"/>
      <c r="G837" s="3" t="n"/>
      <c r="H837" s="3" t="n"/>
      <c r="I837" s="3" t="n"/>
      <c r="J837" s="3" t="n"/>
      <c r="K837" s="3" t="n"/>
      <c r="L837" s="3" t="n"/>
      <c r="M837" s="3" t="n"/>
      <c r="N837" s="3" t="n"/>
      <c r="O837" s="3" t="n"/>
      <c r="P837" s="3" t="n"/>
      <c r="Q837" s="3" t="n"/>
      <c r="R837" s="3" t="n"/>
      <c r="S837" s="3" t="n"/>
      <c r="T837" s="3" t="n"/>
      <c r="U837" s="3" t="n"/>
      <c r="V837" s="3" t="n"/>
      <c r="W837" s="3" t="n"/>
      <c r="X837" s="3" t="n"/>
      <c r="Y837" s="4" t="inlineStr">
        <is>
          <t>INFO_10K_FY2017 p41</t>
        </is>
      </c>
    </row>
    <row r="838">
      <c r="A838" s="14" t="inlineStr">
        <is>
          <t>INFO_10K_FY2017 · MD&amp;A Total Revenue (narrative, consolidated)</t>
        </is>
      </c>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row>
    <row r="839">
      <c r="A839" s="38" t="inlineStr">
        <is>
          <t>Recurring-based business as percent of total revenue</t>
        </is>
      </c>
      <c r="B839" s="3" t="n"/>
      <c r="C839" s="41" t="n">
        <v>81</v>
      </c>
      <c r="D839" s="41" t="n">
        <v>82</v>
      </c>
      <c r="E839" s="41" t="n">
        <v>83</v>
      </c>
      <c r="F839" s="3" t="n"/>
      <c r="G839" s="3" t="n"/>
      <c r="H839" s="3" t="n"/>
      <c r="I839" s="3" t="n"/>
      <c r="J839" s="3" t="n"/>
      <c r="K839" s="3" t="n"/>
      <c r="L839" s="3" t="n"/>
      <c r="M839" s="3" t="n"/>
      <c r="N839" s="3" t="n"/>
      <c r="O839" s="3" t="n"/>
      <c r="P839" s="3" t="n"/>
      <c r="Q839" s="3" t="n"/>
      <c r="R839" s="3" t="n"/>
      <c r="S839" s="3" t="n"/>
      <c r="T839" s="3" t="n"/>
      <c r="U839" s="3" t="n"/>
      <c r="V839" s="3" t="n"/>
      <c r="W839" s="3" t="n"/>
      <c r="X839" s="3" t="n"/>
      <c r="Y839" s="4" t="inlineStr">
        <is>
          <t>INFO_10K_FY2017 p40</t>
        </is>
      </c>
    </row>
    <row r="840">
      <c r="A840" s="38" t="inlineStr">
        <is>
          <t>Recurring/non-recurring organic growth narrative (Transportation reference)</t>
        </is>
      </c>
      <c r="B840" s="3" t="n"/>
      <c r="C840" s="3" t="n"/>
      <c r="D840" s="3" t="n"/>
      <c r="E840" s="42" t="inlineStr">
        <is>
          <t>Recurring-based business +3% organic in 2017 led by Transportation and Financial Services, flat in 2016; non-recurring +9% organic in 2017 led by Transportation and Financial Services, -3% in 2016.</t>
        </is>
      </c>
      <c r="F840" s="3" t="n"/>
      <c r="G840" s="3" t="n"/>
      <c r="H840" s="3" t="n"/>
      <c r="I840" s="3" t="n"/>
      <c r="J840" s="3" t="n"/>
      <c r="K840" s="3" t="n"/>
      <c r="L840" s="3" t="n"/>
      <c r="M840" s="3" t="n"/>
      <c r="N840" s="3" t="n"/>
      <c r="O840" s="3" t="n"/>
      <c r="P840" s="3" t="n"/>
      <c r="Q840" s="3" t="n"/>
      <c r="R840" s="3" t="n"/>
      <c r="S840" s="3" t="n"/>
      <c r="T840" s="3" t="n"/>
      <c r="U840" s="3" t="n"/>
      <c r="V840" s="3" t="n"/>
      <c r="W840" s="3" t="n"/>
      <c r="X840" s="3" t="n"/>
      <c r="Y840" s="4" t="inlineStr">
        <is>
          <t>INFO_10K_FY2017 p40</t>
        </is>
      </c>
    </row>
    <row r="841">
      <c r="A841" s="14" t="inlineStr">
        <is>
          <t>INFO_10K_FY2017 · Item 1 Employees (consolidated)</t>
        </is>
      </c>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row>
    <row r="842">
      <c r="A842" s="38" t="inlineStr">
        <is>
          <t>Employees (more than; consolidated, no segment split)</t>
        </is>
      </c>
      <c r="B842" s="3" t="n"/>
      <c r="C842" s="3" t="n"/>
      <c r="D842" s="3" t="n"/>
      <c r="E842" s="40" t="n">
        <v>13000</v>
      </c>
      <c r="F842" s="3" t="n"/>
      <c r="G842" s="3" t="n"/>
      <c r="H842" s="3" t="n"/>
      <c r="I842" s="3" t="n"/>
      <c r="J842" s="3" t="n"/>
      <c r="K842" s="3" t="n"/>
      <c r="L842" s="3" t="n"/>
      <c r="M842" s="3" t="n"/>
      <c r="N842" s="3" t="n"/>
      <c r="O842" s="3" t="n"/>
      <c r="P842" s="3" t="n"/>
      <c r="Q842" s="3" t="n"/>
      <c r="R842" s="3" t="n"/>
      <c r="S842" s="3" t="n"/>
      <c r="T842" s="3" t="n"/>
      <c r="U842" s="3" t="n"/>
      <c r="V842" s="3" t="n"/>
      <c r="W842" s="3" t="n"/>
      <c r="X842" s="3" t="n"/>
      <c r="Y842" s="4" t="inlineStr">
        <is>
          <t>INFO_10K_FY2017 p12</t>
        </is>
      </c>
    </row>
    <row r="843">
      <c r="A843" s="14" t="inlineStr">
        <is>
          <t>INFO_10K_FY2016 · MD&amp;A Revenue by Transaction Type (consolidated)</t>
        </is>
      </c>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row>
    <row r="844">
      <c r="A844" s="38" t="inlineStr">
        <is>
          <t>Recurring fixed</t>
        </is>
      </c>
      <c r="B844" s="30" t="n">
        <v>1643.9</v>
      </c>
      <c r="C844" s="30" t="n">
        <v>1768.5</v>
      </c>
      <c r="D844" s="30" t="n">
        <v>2074.5</v>
      </c>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4" t="inlineStr">
        <is>
          <t>INFO_10K_FY2016 p38</t>
        </is>
      </c>
    </row>
    <row r="845">
      <c r="A845" s="38" t="inlineStr">
        <is>
          <t>Recurring fixed % Change</t>
        </is>
      </c>
      <c r="B845" s="3" t="n"/>
      <c r="C845" s="41" t="n">
        <v>8</v>
      </c>
      <c r="D845" s="41" t="n">
        <v>17</v>
      </c>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4" t="inlineStr">
        <is>
          <t>INFO_10K_FY2016 p38</t>
        </is>
      </c>
    </row>
    <row r="846">
      <c r="A846" s="38" t="inlineStr">
        <is>
          <t>Recurring variable</t>
        </is>
      </c>
      <c r="B846" s="30" t="n">
        <v>0</v>
      </c>
      <c r="C846" s="30" t="n">
        <v>0</v>
      </c>
      <c r="D846" s="30" t="n">
        <v>164.1</v>
      </c>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4" t="inlineStr">
        <is>
          <t>INFO_10K_FY2016 p38</t>
        </is>
      </c>
    </row>
    <row r="847">
      <c r="A847" s="38" t="inlineStr">
        <is>
          <t>Recurring variable % Change</t>
        </is>
      </c>
      <c r="B847" s="3" t="n"/>
      <c r="C847" s="42" t="inlineStr">
        <is>
          <t>N/A</t>
        </is>
      </c>
      <c r="D847" s="42" t="inlineStr">
        <is>
          <t>N/A</t>
        </is>
      </c>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4" t="inlineStr">
        <is>
          <t>INFO_10K_FY2016 p38</t>
        </is>
      </c>
    </row>
    <row r="848">
      <c r="A848" s="38" t="inlineStr">
        <is>
          <t>Non-recurring</t>
        </is>
      </c>
      <c r="B848" s="30" t="n">
        <v>435.9</v>
      </c>
      <c r="C848" s="30" t="n">
        <v>415.8</v>
      </c>
      <c r="D848" s="30" t="n">
        <v>496.2</v>
      </c>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4" t="inlineStr">
        <is>
          <t>INFO_10K_FY2016 p38</t>
        </is>
      </c>
    </row>
    <row r="849">
      <c r="A849" s="38" t="inlineStr">
        <is>
          <t>Non-recurring % Change</t>
        </is>
      </c>
      <c r="B849" s="3" t="n"/>
      <c r="C849" s="41" t="n">
        <v>-5</v>
      </c>
      <c r="D849" s="41" t="n">
        <v>19</v>
      </c>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4" t="inlineStr">
        <is>
          <t>INFO_10K_FY2016 p38</t>
        </is>
      </c>
    </row>
    <row r="850">
      <c r="A850" s="39" t="inlineStr">
        <is>
          <t>Total revenue</t>
        </is>
      </c>
      <c r="B850" s="18" t="n">
        <v>2079.8</v>
      </c>
      <c r="C850" s="18" t="n">
        <v>2184.3</v>
      </c>
      <c r="D850" s="18" t="n">
        <v>2734.8</v>
      </c>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4" t="inlineStr">
        <is>
          <t>INFO_10K_FY2016 p38</t>
        </is>
      </c>
    </row>
    <row r="851">
      <c r="A851" s="38" t="inlineStr">
        <is>
          <t>Total revenue % Change</t>
        </is>
      </c>
      <c r="B851" s="3" t="n"/>
      <c r="C851" s="41" t="n">
        <v>5</v>
      </c>
      <c r="D851" s="41" t="n">
        <v>25</v>
      </c>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4" t="inlineStr">
        <is>
          <t>INFO_10K_FY2016 p38</t>
        </is>
      </c>
    </row>
    <row r="852">
      <c r="A852" s="14" t="inlineStr">
        <is>
          <t>INFO_10K_FY2016 · MD&amp;A Revenue by Transaction Type (consolidated) - as a percent of total revenue</t>
        </is>
      </c>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row>
    <row r="853">
      <c r="A853" s="38" t="inlineStr">
        <is>
          <t>Recurring fixed</t>
        </is>
      </c>
      <c r="B853" s="41" t="n">
        <v>79</v>
      </c>
      <c r="C853" s="41" t="n">
        <v>81</v>
      </c>
      <c r="D853" s="41" t="n">
        <v>76</v>
      </c>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4" t="inlineStr">
        <is>
          <t>INFO_10K_FY2016 p38</t>
        </is>
      </c>
    </row>
    <row r="854">
      <c r="A854" s="38" t="inlineStr">
        <is>
          <t>Recurring variable</t>
        </is>
      </c>
      <c r="B854" s="41" t="n">
        <v>0</v>
      </c>
      <c r="C854" s="41" t="n">
        <v>0</v>
      </c>
      <c r="D854" s="41" t="n">
        <v>6</v>
      </c>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4" t="inlineStr">
        <is>
          <t>INFO_10K_FY2016 p38</t>
        </is>
      </c>
    </row>
    <row r="855">
      <c r="A855" s="38" t="inlineStr">
        <is>
          <t>Non-recurring</t>
        </is>
      </c>
      <c r="B855" s="41" t="n">
        <v>21</v>
      </c>
      <c r="C855" s="41" t="n">
        <v>19</v>
      </c>
      <c r="D855" s="41" t="n">
        <v>18</v>
      </c>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4" t="inlineStr">
        <is>
          <t>INFO_10K_FY2016 p38</t>
        </is>
      </c>
    </row>
    <row r="856">
      <c r="A856" s="14" t="inlineStr">
        <is>
          <t>INFO_10K_FY2016 · MD&amp;A Total Revenue (narrative, consolidated)</t>
        </is>
      </c>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row>
    <row r="857">
      <c r="A857" s="38" t="inlineStr">
        <is>
          <t>Recurring-based business as percent of total revenue</t>
        </is>
      </c>
      <c r="B857" s="3" t="n"/>
      <c r="C857" s="41" t="n">
        <v>81</v>
      </c>
      <c r="D857" s="41" t="n">
        <v>82</v>
      </c>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4" t="inlineStr">
        <is>
          <t>INFO_10K_FY2016 p37</t>
        </is>
      </c>
    </row>
    <row r="858">
      <c r="A858" s="14" t="inlineStr">
        <is>
          <t>INFO_10K_FY2016 · Item 1 (consolidated)</t>
        </is>
      </c>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row>
    <row r="859">
      <c r="A859" s="38" t="inlineStr">
        <is>
          <t>Major customers</t>
        </is>
      </c>
      <c r="B859" s="3" t="n"/>
      <c r="C859" s="3" t="n"/>
      <c r="D859" s="42" t="inlineStr">
        <is>
          <t>In 2016, no customer or group of affiliated customers represented more than 10 percent of revenue.</t>
        </is>
      </c>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4" t="inlineStr">
        <is>
          <t>INFO_10K_FY2016 p9</t>
        </is>
      </c>
    </row>
    <row r="860">
      <c r="A860" s="14" t="inlineStr">
        <is>
          <t>INFO_10K_FY2016 · Item 1 Employees (consolidated)</t>
        </is>
      </c>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row>
    <row r="861">
      <c r="A861" s="38" t="inlineStr">
        <is>
          <t>Employees (more than; consolidated, no segment split)</t>
        </is>
      </c>
      <c r="B861" s="3" t="n"/>
      <c r="C861" s="3" t="n"/>
      <c r="D861" s="40" t="n">
        <v>12500</v>
      </c>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4" t="inlineStr">
        <is>
          <t>INFO_10K_FY2016 p12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Z8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55" customWidth="1" min="14" max="14"/>
    <col hidden="1" width="13" customWidth="1" min="26" max="26"/>
  </cols>
  <sheetData>
    <row r="1" ht="20" customHeight="1">
      <c r="A1" s="1" t="inlineStr">
        <is>
          <t>Segment history — IHS Markit "Transportation" (FY2014–21) → S&amp;P Global "Mobility" (FY2022–25) → Mobility Global carve-out (FY2023–25)</t>
        </is>
      </c>
      <c r="B1" s="2" t="n"/>
      <c r="C1" s="2" t="n"/>
      <c r="D1" s="2" t="n"/>
      <c r="E1" s="2" t="n"/>
      <c r="F1" s="2" t="n"/>
      <c r="G1" s="2" t="n"/>
      <c r="H1" s="2" t="n"/>
      <c r="I1" s="2" t="n"/>
      <c r="J1" s="2" t="n"/>
      <c r="K1" s="2" t="n"/>
      <c r="L1" s="2" t="n"/>
      <c r="M1" s="2" t="n"/>
      <c r="N1" s="2" t="n"/>
      <c r="O1" s="3" t="n"/>
      <c r="P1" s="3" t="n"/>
      <c r="Q1" s="3" t="n"/>
      <c r="R1" s="3" t="n"/>
      <c r="S1" s="3" t="n"/>
      <c r="T1" s="3" t="n"/>
      <c r="U1" s="3" t="n"/>
      <c r="V1" s="3" t="n"/>
      <c r="W1" s="3" t="n"/>
      <c r="X1" s="3" t="n"/>
      <c r="Y1" s="3" t="n"/>
      <c r="Z1" s="3" t="n"/>
    </row>
    <row r="2">
      <c r="A2" s="4" t="inlineStr">
        <is>
          <t>Each era as originally reported by its owner; growth computed ONLY within an era. Bold-italic blue = taken from a later filing's comparative column (no own-year document on Quartr). NON-COMPARABLE across eras: scope, fiscal year-end, profit measure.</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9" t="inlineStr">
        <is>
          <t>USD millions unless stated</t>
        </is>
      </c>
      <c r="B4" s="45" t="inlineStr">
        <is>
          <t>FY2014
Nov-30</t>
        </is>
      </c>
      <c r="C4" s="45" t="inlineStr">
        <is>
          <t>FY2015
Nov-30</t>
        </is>
      </c>
      <c r="D4" s="45" t="inlineStr">
        <is>
          <t>FY2016
Nov-30</t>
        </is>
      </c>
      <c r="E4" s="45" t="inlineStr">
        <is>
          <t>FY2017
Nov-30</t>
        </is>
      </c>
      <c r="F4" s="45" t="inlineStr">
        <is>
          <t>FY2018
Nov-30</t>
        </is>
      </c>
      <c r="G4" s="45" t="inlineStr">
        <is>
          <t>FY2019
Nov-30</t>
        </is>
      </c>
      <c r="H4" s="45" t="inlineStr">
        <is>
          <t>FY2020
Nov-30</t>
        </is>
      </c>
      <c r="I4" s="45" t="inlineStr">
        <is>
          <t>FY2021
Nov-30</t>
        </is>
      </c>
      <c r="J4" s="29" t="inlineStr">
        <is>
          <t>FY2022
Dec-31</t>
        </is>
      </c>
      <c r="K4" s="29" t="inlineStr">
        <is>
          <t>FY2023
Dec-31</t>
        </is>
      </c>
      <c r="L4" s="29" t="inlineStr">
        <is>
          <t>FY2024
Dec-31</t>
        </is>
      </c>
      <c r="M4" s="29" t="inlineStr">
        <is>
          <t>FY2025
Dec-31</t>
        </is>
      </c>
      <c r="N4" s="29" t="inlineStr">
        <is>
          <t>Source / basis</t>
        </is>
      </c>
      <c r="O4" s="3" t="n"/>
      <c r="P4" s="3" t="n"/>
      <c r="Q4" s="3" t="n"/>
      <c r="R4" s="3" t="n"/>
      <c r="S4" s="3" t="n"/>
      <c r="T4" s="3" t="n"/>
      <c r="U4" s="3" t="n"/>
      <c r="V4" s="3" t="n"/>
      <c r="W4" s="3" t="n"/>
      <c r="X4" s="3" t="n"/>
      <c r="Y4" s="3" t="n"/>
      <c r="Z4" s="3" t="n"/>
    </row>
    <row r="5">
      <c r="A5" s="14" t="inlineStr">
        <is>
          <t>A. IHS Markit — Transportation segment (FYE Nov 30; includes Maritime &amp; Trade throughout and Aerospace &amp; Defense until sold 2019-12-02)</t>
        </is>
      </c>
      <c r="B5" s="15" t="n"/>
      <c r="C5" s="15" t="n"/>
      <c r="D5" s="15" t="n"/>
      <c r="E5" s="15" t="n"/>
      <c r="F5" s="15" t="n"/>
      <c r="G5" s="15" t="n"/>
      <c r="H5" s="15" t="n"/>
      <c r="I5" s="15" t="n"/>
      <c r="J5" s="15" t="n"/>
      <c r="K5" s="15" t="n"/>
      <c r="L5" s="15" t="n"/>
      <c r="M5" s="15" t="n"/>
      <c r="N5" s="15" t="n"/>
      <c r="O5" s="3" t="n"/>
      <c r="P5" s="3" t="n"/>
      <c r="Q5" s="3" t="n"/>
      <c r="R5" s="3" t="n"/>
      <c r="S5" s="3" t="n"/>
      <c r="T5" s="3" t="n"/>
      <c r="U5" s="3" t="n"/>
      <c r="V5" s="3" t="n"/>
      <c r="W5" s="3" t="n"/>
      <c r="X5" s="3" t="n"/>
      <c r="Y5" s="3" t="n"/>
      <c r="Z5" s="3" t="n"/>
    </row>
    <row r="6">
      <c r="A6" s="16" t="inlineStr">
        <is>
          <t>Transportation revenue [D]</t>
        </is>
      </c>
      <c r="B6" s="46" t="n">
        <v>662.6</v>
      </c>
      <c r="C6" s="46" t="n">
        <v>758.4</v>
      </c>
      <c r="D6" s="18" t="n">
        <v>892.8</v>
      </c>
      <c r="E6" s="18" t="n">
        <v>991.6</v>
      </c>
      <c r="F6" s="18" t="n">
        <v>1160.2</v>
      </c>
      <c r="G6" s="18" t="n">
        <v>1246.1</v>
      </c>
      <c r="H6" s="18" t="n">
        <v>1151.6</v>
      </c>
      <c r="I6" s="18" t="n">
        <v>1354.4</v>
      </c>
      <c r="J6" s="3" t="n"/>
      <c r="K6" s="3" t="n"/>
      <c r="L6" s="3" t="n"/>
      <c r="M6" s="3" t="n"/>
      <c r="N6" s="4" t="inlineStr">
        <is>
          <t>INFO 10-K MD&amp;A "Revenue by Segment"; FY2014/15 from FY2016/FY2017 10-K comparatives</t>
        </is>
      </c>
      <c r="O6" s="3" t="n"/>
      <c r="P6" s="3" t="n"/>
      <c r="Q6" s="3" t="n"/>
      <c r="R6" s="3" t="n"/>
      <c r="S6" s="3" t="n"/>
      <c r="T6" s="3" t="n"/>
      <c r="U6" s="3" t="n"/>
      <c r="V6" s="3" t="n"/>
      <c r="W6" s="3" t="n"/>
      <c r="X6" s="3" t="n"/>
      <c r="Y6" s="3" t="n"/>
      <c r="Z6" s="3" t="n"/>
    </row>
    <row r="7">
      <c r="A7" s="36" t="inlineStr">
        <is>
          <t>Revenue growth y/y [C]</t>
        </is>
      </c>
      <c r="B7" s="3" t="n"/>
      <c r="C7" s="20">
        <f>C6/B6-1</f>
        <v/>
      </c>
      <c r="D7" s="20">
        <f>D6/C6-1</f>
        <v/>
      </c>
      <c r="E7" s="20">
        <f>E6/D6-1</f>
        <v/>
      </c>
      <c r="F7" s="20">
        <f>F6/E6-1</f>
        <v/>
      </c>
      <c r="G7" s="20">
        <f>G6/F6-1</f>
        <v/>
      </c>
      <c r="H7" s="20">
        <f>H6/G6-1</f>
        <v/>
      </c>
      <c r="I7" s="20">
        <f>I6/H6-1</f>
        <v/>
      </c>
      <c r="J7" s="3" t="n"/>
      <c r="K7" s="3" t="n"/>
      <c r="L7" s="3" t="n"/>
      <c r="M7" s="3" t="n"/>
      <c r="N7" s="4" t="inlineStr">
        <is>
          <t>[C]</t>
        </is>
      </c>
      <c r="O7" s="3" t="n"/>
      <c r="P7" s="3" t="n"/>
      <c r="Q7" s="3" t="n"/>
      <c r="R7" s="3" t="n"/>
      <c r="S7" s="3" t="n"/>
      <c r="T7" s="3" t="n"/>
      <c r="U7" s="3" t="n"/>
      <c r="V7" s="3" t="n"/>
      <c r="W7" s="3" t="n"/>
      <c r="X7" s="3" t="n"/>
      <c r="Y7" s="3" t="n"/>
      <c r="Z7" s="3" t="n"/>
    </row>
    <row r="8">
      <c r="A8" s="19" t="inlineStr">
        <is>
          <t>Revenue growth — as printed [D]</t>
        </is>
      </c>
      <c r="B8" s="3" t="n"/>
      <c r="C8" s="47" t="n">
        <v>14</v>
      </c>
      <c r="D8" s="41" t="n">
        <v>18</v>
      </c>
      <c r="E8" s="41" t="n">
        <v>11</v>
      </c>
      <c r="F8" s="41" t="n">
        <v>17</v>
      </c>
      <c r="G8" s="41" t="n">
        <v>7</v>
      </c>
      <c r="H8" s="41" t="n">
        <v>-8</v>
      </c>
      <c r="I8" s="41" t="n">
        <v>18</v>
      </c>
      <c r="J8" s="3" t="n"/>
      <c r="K8" s="3" t="n"/>
      <c r="L8" s="3" t="n"/>
      <c r="M8" s="3" t="n"/>
      <c r="N8" s="4" t="inlineStr">
        <is>
          <t>Printed, rounded</t>
        </is>
      </c>
      <c r="O8" s="3" t="n"/>
      <c r="P8" s="3" t="n"/>
      <c r="Q8" s="3" t="n"/>
      <c r="R8" s="3" t="n"/>
      <c r="S8" s="3" t="n"/>
      <c r="T8" s="3" t="n"/>
      <c r="U8" s="3" t="n"/>
      <c r="V8" s="3" t="n"/>
      <c r="W8" s="3" t="n"/>
      <c r="X8" s="3" t="n"/>
      <c r="Y8" s="3" t="n"/>
      <c r="Z8" s="3" t="n"/>
    </row>
    <row r="9">
      <c r="A9" s="19" t="inlineStr">
        <is>
          <t xml:space="preserve">  Organic growth (pp) [D]</t>
        </is>
      </c>
      <c r="B9" s="3" t="n"/>
      <c r="C9" s="47" t="n">
        <v>9</v>
      </c>
      <c r="D9" s="41" t="n">
        <v>10</v>
      </c>
      <c r="E9" s="41" t="n">
        <v>10</v>
      </c>
      <c r="F9" s="41" t="n">
        <v>11</v>
      </c>
      <c r="G9" s="41" t="n">
        <v>8</v>
      </c>
      <c r="H9" s="41" t="n">
        <v>-2</v>
      </c>
      <c r="I9" s="41" t="n">
        <v>16</v>
      </c>
      <c r="J9" s="3" t="n"/>
      <c r="K9" s="3" t="n"/>
      <c r="L9" s="3" t="n"/>
      <c r="M9" s="3" t="n"/>
      <c r="N9" s="4" t="inlineStr">
        <is>
          <t>MD&amp;A revenue growth drivers</t>
        </is>
      </c>
      <c r="O9" s="3" t="n"/>
      <c r="P9" s="3" t="n"/>
      <c r="Q9" s="3" t="n"/>
      <c r="R9" s="3" t="n"/>
      <c r="S9" s="3" t="n"/>
      <c r="T9" s="3" t="n"/>
      <c r="U9" s="3" t="n"/>
      <c r="V9" s="3" t="n"/>
      <c r="W9" s="3" t="n"/>
      <c r="X9" s="3" t="n"/>
      <c r="Y9" s="3" t="n"/>
      <c r="Z9" s="3" t="n"/>
    </row>
    <row r="10">
      <c r="A10" s="19" t="inlineStr">
        <is>
          <t xml:space="preserve">  Acquisitive (pp) [D]</t>
        </is>
      </c>
      <c r="B10" s="3" t="n"/>
      <c r="C10" s="47" t="n">
        <v>7</v>
      </c>
      <c r="D10" s="41" t="n">
        <v>8</v>
      </c>
      <c r="E10" s="41" t="n">
        <v>2</v>
      </c>
      <c r="F10" s="41" t="n">
        <v>6</v>
      </c>
      <c r="G10" s="41" t="n">
        <v>0</v>
      </c>
      <c r="H10" s="41" t="n">
        <v>-6</v>
      </c>
      <c r="I10" s="41" t="n">
        <v>0</v>
      </c>
      <c r="J10" s="3" t="n"/>
      <c r="K10" s="3" t="n"/>
      <c r="L10" s="3" t="n"/>
      <c r="M10" s="3" t="n"/>
      <c r="N10" s="4" t="inlineStr"/>
      <c r="O10" s="3" t="n"/>
      <c r="P10" s="3" t="n"/>
      <c r="Q10" s="3" t="n"/>
      <c r="R10" s="3" t="n"/>
      <c r="S10" s="3" t="n"/>
      <c r="T10" s="3" t="n"/>
      <c r="U10" s="3" t="n"/>
      <c r="V10" s="3" t="n"/>
      <c r="W10" s="3" t="n"/>
      <c r="X10" s="3" t="n"/>
      <c r="Y10" s="3" t="n"/>
      <c r="Z10" s="3" t="n"/>
    </row>
    <row r="11">
      <c r="A11" s="19" t="inlineStr">
        <is>
          <t xml:space="preserve">  Foreign currency (pp) [D]</t>
        </is>
      </c>
      <c r="B11" s="3" t="n"/>
      <c r="C11" s="47" t="n">
        <v>-2</v>
      </c>
      <c r="D11" s="41" t="n">
        <v>-1</v>
      </c>
      <c r="E11" s="41" t="n">
        <v>0</v>
      </c>
      <c r="F11" s="41" t="n">
        <v>1</v>
      </c>
      <c r="G11" s="41" t="n">
        <v>-1</v>
      </c>
      <c r="H11" s="41" t="n">
        <v>0</v>
      </c>
      <c r="I11" s="41" t="n">
        <v>1</v>
      </c>
      <c r="J11" s="3" t="n"/>
      <c r="K11" s="3" t="n"/>
      <c r="L11" s="3" t="n"/>
      <c r="M11" s="3" t="n"/>
      <c r="N11" s="4" t="inlineStr"/>
      <c r="O11" s="3" t="n"/>
      <c r="P11" s="3" t="n"/>
      <c r="Q11" s="3" t="n"/>
      <c r="R11" s="3" t="n"/>
      <c r="S11" s="3" t="n"/>
      <c r="T11" s="3" t="n"/>
      <c r="U11" s="3" t="n"/>
      <c r="V11" s="3" t="n"/>
      <c r="W11" s="3" t="n"/>
      <c r="X11" s="3" t="n"/>
      <c r="Y11" s="3" t="n"/>
      <c r="Z11" s="3" t="n"/>
    </row>
    <row r="12">
      <c r="A12" s="19" t="inlineStr">
        <is>
          <t>Recurring revenue organic growth [D]</t>
        </is>
      </c>
      <c r="B12" s="3" t="n"/>
      <c r="C12" s="47" t="n">
        <v>11</v>
      </c>
      <c r="D12" s="41" t="n">
        <v>10</v>
      </c>
      <c r="E12" s="41" t="n">
        <v>10</v>
      </c>
      <c r="F12" s="41" t="n">
        <v>11</v>
      </c>
      <c r="G12" s="41" t="n">
        <v>10</v>
      </c>
      <c r="H12" s="41" t="n">
        <v>3</v>
      </c>
      <c r="I12" s="41" t="n">
        <v>18</v>
      </c>
      <c r="J12" s="3" t="n"/>
      <c r="K12" s="3" t="n"/>
      <c r="L12" s="3" t="n"/>
      <c r="M12" s="3" t="n"/>
      <c r="N12" s="4" t="inlineStr">
        <is>
          <t>MD&amp;A narrative; FY2019 own-year figure not printed in FY2019 10-K text</t>
        </is>
      </c>
      <c r="O12" s="3" t="n"/>
      <c r="P12" s="3" t="n"/>
      <c r="Q12" s="3" t="n"/>
      <c r="R12" s="3" t="n"/>
      <c r="S12" s="3" t="n"/>
      <c r="T12" s="3" t="n"/>
      <c r="U12" s="3" t="n"/>
      <c r="V12" s="3" t="n"/>
      <c r="W12" s="3" t="n"/>
      <c r="X12" s="3" t="n"/>
      <c r="Y12" s="3" t="n"/>
      <c r="Z12" s="3" t="n"/>
    </row>
    <row r="13">
      <c r="A13" s="16" t="inlineStr">
        <is>
          <t>Transportation Adjusted EBITDA [D]</t>
        </is>
      </c>
      <c r="B13" s="46" t="n">
        <v>234.3</v>
      </c>
      <c r="C13" s="46" t="n">
        <v>282.7</v>
      </c>
      <c r="D13" s="18" t="n">
        <v>353.3</v>
      </c>
      <c r="E13" s="18" t="n">
        <v>408.6</v>
      </c>
      <c r="F13" s="18" t="n">
        <v>479.3</v>
      </c>
      <c r="G13" s="18" t="n">
        <v>520.9</v>
      </c>
      <c r="H13" s="18" t="n">
        <v>514.7</v>
      </c>
      <c r="I13" s="18" t="n">
        <v>645</v>
      </c>
      <c r="J13" s="3" t="n"/>
      <c r="K13" s="3" t="n"/>
      <c r="L13" s="3" t="n"/>
      <c r="M13" s="3" t="n"/>
      <c r="N13" s="4" t="inlineStr">
        <is>
          <t>IHS Markit segment measure (pre-D&amp;A, pre-SBC; company definition)</t>
        </is>
      </c>
      <c r="O13" s="3" t="n"/>
      <c r="P13" s="3" t="n"/>
      <c r="Q13" s="3" t="n"/>
      <c r="R13" s="3" t="n"/>
      <c r="S13" s="3" t="n"/>
      <c r="T13" s="3" t="n"/>
      <c r="U13" s="3" t="n"/>
      <c r="V13" s="3" t="n"/>
      <c r="W13" s="3" t="n"/>
      <c r="X13" s="3" t="n"/>
      <c r="Y13" s="3" t="n"/>
      <c r="Z13" s="3" t="n"/>
    </row>
    <row r="14">
      <c r="A14" s="36" t="inlineStr">
        <is>
          <t>Adjusted EBITDA growth y/y [C]</t>
        </is>
      </c>
      <c r="B14" s="3" t="n"/>
      <c r="C14" s="20">
        <f>C13/B13-1</f>
        <v/>
      </c>
      <c r="D14" s="20">
        <f>D13/C13-1</f>
        <v/>
      </c>
      <c r="E14" s="20">
        <f>E13/D13-1</f>
        <v/>
      </c>
      <c r="F14" s="20">
        <f>F13/E13-1</f>
        <v/>
      </c>
      <c r="G14" s="20">
        <f>G13/F13-1</f>
        <v/>
      </c>
      <c r="H14" s="20">
        <f>H13/G13-1</f>
        <v/>
      </c>
      <c r="I14" s="20">
        <f>I13/H13-1</f>
        <v/>
      </c>
      <c r="J14" s="3" t="n"/>
      <c r="K14" s="3" t="n"/>
      <c r="L14" s="3" t="n"/>
      <c r="M14" s="3" t="n"/>
      <c r="N14" s="4" t="inlineStr">
        <is>
          <t>[C]</t>
        </is>
      </c>
      <c r="O14" s="3" t="n"/>
      <c r="P14" s="3" t="n"/>
      <c r="Q14" s="3" t="n"/>
      <c r="R14" s="3" t="n"/>
      <c r="S14" s="3" t="n"/>
      <c r="T14" s="3" t="n"/>
      <c r="U14" s="3" t="n"/>
      <c r="V14" s="3" t="n"/>
      <c r="W14" s="3" t="n"/>
      <c r="X14" s="3" t="n"/>
      <c r="Y14" s="3" t="n"/>
      <c r="Z14" s="3" t="n"/>
    </row>
    <row r="15">
      <c r="A15" s="31" t="inlineStr">
        <is>
          <t>Adjusted EBITDA margin [C]</t>
        </is>
      </c>
      <c r="B15" s="37">
        <f>B13/B6</f>
        <v/>
      </c>
      <c r="C15" s="37">
        <f>C13/C6</f>
        <v/>
      </c>
      <c r="D15" s="37">
        <f>D13/D6</f>
        <v/>
      </c>
      <c r="E15" s="37">
        <f>E13/E6</f>
        <v/>
      </c>
      <c r="F15" s="37">
        <f>F13/F6</f>
        <v/>
      </c>
      <c r="G15" s="37">
        <f>G13/G6</f>
        <v/>
      </c>
      <c r="H15" s="37">
        <f>H13/H6</f>
        <v/>
      </c>
      <c r="I15" s="37">
        <f>I13/I6</f>
        <v/>
      </c>
      <c r="J15" s="3" t="n"/>
      <c r="K15" s="3" t="n"/>
      <c r="L15" s="3" t="n"/>
      <c r="M15" s="3" t="n"/>
      <c r="N15" s="4" t="inlineStr">
        <is>
          <t>[C]</t>
        </is>
      </c>
      <c r="O15" s="3" t="n"/>
      <c r="P15" s="3" t="n"/>
      <c r="Q15" s="3" t="n"/>
      <c r="R15" s="3" t="n"/>
      <c r="S15" s="3" t="n"/>
      <c r="T15" s="3" t="n"/>
      <c r="U15" s="3" t="n"/>
      <c r="V15" s="3" t="n"/>
      <c r="W15" s="3" t="n"/>
      <c r="X15" s="3" t="n"/>
      <c r="Y15" s="3" t="n"/>
      <c r="Z15" s="3" t="n"/>
    </row>
    <row r="16">
      <c r="A16" s="19" t="inlineStr">
        <is>
          <t>Adjusted EBITDA margin — as printed [D]</t>
        </is>
      </c>
      <c r="B16" s="47" t="n">
        <v>35</v>
      </c>
      <c r="C16" s="47" t="n">
        <v>37</v>
      </c>
      <c r="D16" s="41" t="n">
        <v>40</v>
      </c>
      <c r="E16" s="41" t="n">
        <v>41</v>
      </c>
      <c r="F16" s="41" t="n">
        <v>41</v>
      </c>
      <c r="G16" s="41" t="n">
        <v>41.8</v>
      </c>
      <c r="H16" s="41" t="n">
        <v>44.7</v>
      </c>
      <c r="I16" s="41" t="n">
        <v>47.6</v>
      </c>
      <c r="J16" s="3" t="n"/>
      <c r="K16" s="3" t="n"/>
      <c r="L16" s="3" t="n"/>
      <c r="M16" s="3" t="n"/>
      <c r="N16" s="4" t="inlineStr"/>
      <c r="O16" s="3" t="n"/>
      <c r="P16" s="3" t="n"/>
      <c r="Q16" s="3" t="n"/>
      <c r="R16" s="3" t="n"/>
      <c r="S16" s="3" t="n"/>
      <c r="T16" s="3" t="n"/>
      <c r="U16" s="3" t="n"/>
      <c r="V16" s="3" t="n"/>
      <c r="W16" s="3" t="n"/>
      <c r="X16" s="3" t="n"/>
      <c r="Y16" s="3" t="n"/>
      <c r="Z16" s="3" t="n"/>
    </row>
    <row r="17">
      <c r="A17" s="36" t="inlineStr">
        <is>
          <t>Incremental Adj. EBITDA margin (ΔEBITDA/Δrevenue) [C]</t>
        </is>
      </c>
      <c r="B17" s="3" t="n"/>
      <c r="C17" s="20">
        <f>(C13-B13)/(C6-B6)</f>
        <v/>
      </c>
      <c r="D17" s="20">
        <f>(D13-C13)/(D6-C6)</f>
        <v/>
      </c>
      <c r="E17" s="20">
        <f>(E13-D13)/(E6-D6)</f>
        <v/>
      </c>
      <c r="F17" s="20">
        <f>(F13-E13)/(F6-E6)</f>
        <v/>
      </c>
      <c r="G17" s="20">
        <f>(G13-F13)/(G6-F6)</f>
        <v/>
      </c>
      <c r="H17" s="20">
        <f>(H13-G13)/(H6-G6)</f>
        <v/>
      </c>
      <c r="I17" s="20">
        <f>(I13-H13)/(I6-H6)</f>
        <v/>
      </c>
      <c r="J17" s="3" t="n"/>
      <c r="K17" s="3" t="n"/>
      <c r="L17" s="3" t="n"/>
      <c r="M17" s="3" t="n"/>
      <c r="N17" s="4" t="inlineStr">
        <is>
          <t>[C]</t>
        </is>
      </c>
      <c r="O17" s="3" t="n"/>
      <c r="P17" s="3" t="n"/>
      <c r="Q17" s="3" t="n"/>
      <c r="R17" s="3" t="n"/>
      <c r="S17" s="3" t="n"/>
      <c r="T17" s="3" t="n"/>
      <c r="U17" s="3" t="n"/>
      <c r="V17" s="3" t="n"/>
      <c r="W17" s="3" t="n"/>
      <c r="X17" s="3" t="n"/>
      <c r="Y17" s="3" t="n"/>
      <c r="Z17" s="3" t="n"/>
    </row>
    <row r="18">
      <c r="A18" s="19" t="inlineStr">
        <is>
          <t>IHS Markit total revenue [D]</t>
        </is>
      </c>
      <c r="B18" s="46" t="n">
        <v>2079.8</v>
      </c>
      <c r="C18" s="46" t="n">
        <v>2184.3</v>
      </c>
      <c r="D18" s="30" t="n">
        <v>2734.8</v>
      </c>
      <c r="E18" s="30" t="n">
        <v>3599.7</v>
      </c>
      <c r="F18" s="30" t="n">
        <v>4009.2</v>
      </c>
      <c r="G18" s="30" t="n">
        <v>4414.6</v>
      </c>
      <c r="H18" s="30" t="n">
        <v>4287.8</v>
      </c>
      <c r="I18" s="30" t="n">
        <v>4658.1</v>
      </c>
      <c r="J18" s="3" t="n"/>
      <c r="K18" s="3" t="n"/>
      <c r="L18" s="3" t="n"/>
      <c r="M18" s="3" t="n"/>
      <c r="N18" s="4" t="inlineStr"/>
      <c r="O18" s="3" t="n"/>
      <c r="P18" s="3" t="n"/>
      <c r="Q18" s="3" t="n"/>
      <c r="R18" s="3" t="n"/>
      <c r="S18" s="3" t="n"/>
      <c r="T18" s="3" t="n"/>
      <c r="U18" s="3" t="n"/>
      <c r="V18" s="3" t="n"/>
      <c r="W18" s="3" t="n"/>
      <c r="X18" s="3" t="n"/>
      <c r="Y18" s="3" t="n"/>
      <c r="Z18" s="3" t="n"/>
    </row>
    <row r="19">
      <c r="A19" s="36" t="inlineStr">
        <is>
          <t>Transportation share of IHS Markit revenue [C]</t>
        </is>
      </c>
      <c r="B19" s="20">
        <f>B6/B18</f>
        <v/>
      </c>
      <c r="C19" s="20">
        <f>C6/C18</f>
        <v/>
      </c>
      <c r="D19" s="20">
        <f>D6/D18</f>
        <v/>
      </c>
      <c r="E19" s="20">
        <f>E6/E18</f>
        <v/>
      </c>
      <c r="F19" s="20">
        <f>F6/F18</f>
        <v/>
      </c>
      <c r="G19" s="20">
        <f>G6/G18</f>
        <v/>
      </c>
      <c r="H19" s="20">
        <f>H6/H18</f>
        <v/>
      </c>
      <c r="I19" s="20">
        <f>I6/I18</f>
        <v/>
      </c>
      <c r="J19" s="3" t="n"/>
      <c r="K19" s="3" t="n"/>
      <c r="L19" s="3" t="n"/>
      <c r="M19" s="3" t="n"/>
      <c r="N19" s="4" t="inlineStr">
        <is>
          <t>[C]</t>
        </is>
      </c>
      <c r="O19" s="3" t="n"/>
      <c r="P19" s="3" t="n"/>
      <c r="Q19" s="3" t="n"/>
      <c r="R19" s="3" t="n"/>
      <c r="S19" s="3" t="n"/>
      <c r="T19" s="3" t="n"/>
      <c r="U19" s="3" t="n"/>
      <c r="V19" s="3" t="n"/>
      <c r="W19" s="3" t="n"/>
      <c r="X19" s="3" t="n"/>
      <c r="Y19" s="3" t="n"/>
      <c r="Z19" s="3" t="n"/>
    </row>
    <row r="20">
      <c r="A20" s="19" t="inlineStr">
        <is>
          <t>Transportation segment total assets [D]</t>
        </is>
      </c>
      <c r="B20" s="46" t="n">
        <v>2237.7</v>
      </c>
      <c r="C20" s="46" t="n">
        <v>2310.9</v>
      </c>
      <c r="D20" s="30" t="n">
        <v>2721.3</v>
      </c>
      <c r="E20" s="30" t="n">
        <v>3152</v>
      </c>
      <c r="F20" s="30" t="n">
        <v>3144.7</v>
      </c>
      <c r="G20" s="30" t="n">
        <v>3018.2</v>
      </c>
      <c r="H20" s="30" t="n">
        <v>3000.3</v>
      </c>
      <c r="I20" s="30" t="n">
        <v>2999.6</v>
      </c>
      <c r="J20" s="3" t="n"/>
      <c r="K20" s="3" t="n"/>
      <c r="L20" s="3" t="n"/>
      <c r="M20" s="3" t="n"/>
      <c r="N20" s="4" t="inlineStr"/>
      <c r="O20" s="3" t="n"/>
      <c r="P20" s="3" t="n"/>
      <c r="Q20" s="3" t="n"/>
      <c r="R20" s="3" t="n"/>
      <c r="S20" s="3" t="n"/>
      <c r="T20" s="3" t="n"/>
      <c r="U20" s="3" t="n"/>
      <c r="V20" s="3" t="n"/>
      <c r="W20" s="3" t="n"/>
      <c r="X20" s="3" t="n"/>
      <c r="Y20" s="3" t="n"/>
      <c r="Z20" s="3" t="n"/>
    </row>
    <row r="21">
      <c r="A21" s="19" t="inlineStr">
        <is>
          <t>Transportation goodwill, Nov 30 [D]</t>
        </is>
      </c>
      <c r="B21" s="46" t="n">
        <v>1299.1</v>
      </c>
      <c r="C21" s="46" t="n">
        <v>1361.4</v>
      </c>
      <c r="D21" s="30" t="n">
        <v>1671.1</v>
      </c>
      <c r="E21" s="30" t="n">
        <v>2055.6</v>
      </c>
      <c r="F21" s="30" t="n">
        <v>2031.6</v>
      </c>
      <c r="G21" s="30" t="n">
        <v>1953.1</v>
      </c>
      <c r="H21" s="30" t="n">
        <v>1961.2</v>
      </c>
      <c r="I21" s="30" t="n">
        <v>1964</v>
      </c>
      <c r="J21" s="3" t="n"/>
      <c r="K21" s="3" t="n"/>
      <c r="L21" s="3" t="n"/>
      <c r="M21" s="3" t="n"/>
      <c r="N21" s="4" t="inlineStr"/>
      <c r="O21" s="3" t="n"/>
      <c r="P21" s="3" t="n"/>
      <c r="Q21" s="3" t="n"/>
      <c r="R21" s="3" t="n"/>
      <c r="S21" s="3" t="n"/>
      <c r="T21" s="3" t="n"/>
      <c r="U21" s="3" t="n"/>
      <c r="V21" s="3" t="n"/>
      <c r="W21" s="3" t="n"/>
      <c r="X21" s="3" t="n"/>
      <c r="Y21" s="3" t="n"/>
      <c r="Z21" s="3" t="n"/>
    </row>
    <row r="22">
      <c r="A22" s="36" t="inlineStr">
        <is>
          <t>Adj. EBITDA / segment total assets [C]</t>
        </is>
      </c>
      <c r="B22" s="20">
        <f>B13/B20</f>
        <v/>
      </c>
      <c r="C22" s="20">
        <f>C13/C20</f>
        <v/>
      </c>
      <c r="D22" s="20">
        <f>D13/D20</f>
        <v/>
      </c>
      <c r="E22" s="20">
        <f>E13/E20</f>
        <v/>
      </c>
      <c r="F22" s="20">
        <f>F13/F20</f>
        <v/>
      </c>
      <c r="G22" s="20">
        <f>G13/G20</f>
        <v/>
      </c>
      <c r="H22" s="20">
        <f>H13/H20</f>
        <v/>
      </c>
      <c r="I22" s="20">
        <f>I13/I20</f>
        <v/>
      </c>
      <c r="J22" s="3" t="n"/>
      <c r="K22" s="3" t="n"/>
      <c r="L22" s="3" t="n"/>
      <c r="M22" s="3" t="n"/>
      <c r="N22" s="4" t="inlineStr">
        <is>
          <t>[C]</t>
        </is>
      </c>
      <c r="O22" s="3" t="n"/>
      <c r="P22" s="3" t="n"/>
      <c r="Q22" s="3" t="n"/>
      <c r="R22" s="3" t="n"/>
      <c r="S22" s="3" t="n"/>
      <c r="T22" s="3" t="n"/>
      <c r="U22" s="3" t="n"/>
      <c r="V22" s="3" t="n"/>
      <c r="W22" s="3" t="n"/>
      <c r="X22" s="3" t="n"/>
      <c r="Y22" s="3" t="n"/>
      <c r="Z22" s="3" t="n"/>
    </row>
    <row r="23">
      <c r="A23" s="25" t="inlineStr">
        <is>
          <t>CHECK organic + acquisitive + FX vs printed growth (0 = within ±1pp rounding)</t>
        </is>
      </c>
      <c r="B23" s="26" t="n"/>
      <c r="C23" s="27">
        <f>IF(ABS(C9+C10+C11-C8)&lt;=1,0,C9+C10+C11-C8)</f>
        <v/>
      </c>
      <c r="D23" s="27">
        <f>IF(ABS(D9+D10+D11-D8)&lt;=1,0,D9+D10+D11-D8)</f>
        <v/>
      </c>
      <c r="E23" s="27">
        <f>IF(ABS(E9+E10+E11-E8)&lt;=1,0,E9+E10+E11-E8)</f>
        <v/>
      </c>
      <c r="F23" s="27">
        <f>IF(ABS(F9+F10+F11-F8)&lt;=1,0,F9+F10+F11-F8)</f>
        <v/>
      </c>
      <c r="G23" s="27">
        <f>IF(ABS(G9+G10+G11-G8)&lt;=1,0,G9+G10+G11-G8)</f>
        <v/>
      </c>
      <c r="H23" s="27">
        <f>IF(ABS(H9+H10+H11-H8)&lt;=1,0,H9+H10+H11-H8)</f>
        <v/>
      </c>
      <c r="I23" s="27">
        <f>IF(ABS(I9+I10+I11-I8)&lt;=1,0,I9+I10+I11-I8)</f>
        <v/>
      </c>
      <c r="J23" s="26" t="n"/>
      <c r="K23" s="26" t="n"/>
      <c r="L23" s="26" t="n"/>
      <c r="M23" s="26" t="n"/>
      <c r="N23" s="4" t="inlineStr">
        <is>
          <t>[C]</t>
        </is>
      </c>
      <c r="O23" s="3" t="n"/>
      <c r="P23" s="3" t="n"/>
      <c r="Q23" s="3" t="n"/>
      <c r="R23" s="3" t="n"/>
      <c r="S23" s="3" t="n"/>
      <c r="T23" s="3" t="n"/>
      <c r="U23" s="3" t="n"/>
      <c r="V23" s="3" t="n"/>
      <c r="W23" s="3" t="n"/>
      <c r="X23" s="3" t="n"/>
      <c r="Y23" s="3" t="n"/>
      <c r="Z23" s="3" t="inlineStr">
        <is>
          <t>CHECK</t>
        </is>
      </c>
    </row>
    <row r="24">
      <c r="A24" s="25" t="inlineStr">
        <is>
          <t>CHECK computed vs printed margin (0 = within ±0.6pp rounding)</t>
        </is>
      </c>
      <c r="B24" s="27">
        <f>IF(ABS(B15*100-B16)&lt;=0.6,0,B15*100-B16)</f>
        <v/>
      </c>
      <c r="C24" s="27">
        <f>IF(ABS(C15*100-C16)&lt;=0.6,0,C15*100-C16)</f>
        <v/>
      </c>
      <c r="D24" s="27">
        <f>IF(ABS(D15*100-D16)&lt;=0.6,0,D15*100-D16)</f>
        <v/>
      </c>
      <c r="E24" s="27">
        <f>IF(ABS(E15*100-E16)&lt;=0.6,0,E15*100-E16)</f>
        <v/>
      </c>
      <c r="F24" s="27">
        <f>IF(ABS(F15*100-F16)&lt;=0.6,0,F15*100-F16)</f>
        <v/>
      </c>
      <c r="G24" s="27">
        <f>IF(ABS(G15*100-G16)&lt;=0.6,0,G15*100-G16)</f>
        <v/>
      </c>
      <c r="H24" s="27">
        <f>IF(ABS(H15*100-H16)&lt;=0.6,0,H15*100-H16)</f>
        <v/>
      </c>
      <c r="I24" s="27">
        <f>IF(ABS(I15*100-I16)&lt;=0.6,0,I15*100-I16)</f>
        <v/>
      </c>
      <c r="J24" s="26" t="n"/>
      <c r="K24" s="26" t="n"/>
      <c r="L24" s="26" t="n"/>
      <c r="M24" s="26" t="n"/>
      <c r="N24" s="4" t="inlineStr">
        <is>
          <t>[C]</t>
        </is>
      </c>
      <c r="O24" s="3" t="n"/>
      <c r="P24" s="3" t="n"/>
      <c r="Q24" s="3" t="n"/>
      <c r="R24" s="3" t="n"/>
      <c r="S24" s="3" t="n"/>
      <c r="T24" s="3" t="n"/>
      <c r="U24" s="3" t="n"/>
      <c r="V24" s="3" t="n"/>
      <c r="W24" s="3" t="n"/>
      <c r="X24" s="3" t="n"/>
      <c r="Y24" s="3" t="n"/>
      <c r="Z24" s="3" t="inlineStr">
        <is>
          <t>CHECK</t>
        </is>
      </c>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14" t="inlineStr">
        <is>
          <t>B. S&amp;P Global — Mobility segment (FYE Dec 31; FY2022 ≈ 10 months from 2022-02-28 merger close; profit measure = operating profit AFTER acquired-intangible amortization)</t>
        </is>
      </c>
      <c r="B26" s="15" t="n"/>
      <c r="C26" s="15" t="n"/>
      <c r="D26" s="15" t="n"/>
      <c r="E26" s="15" t="n"/>
      <c r="F26" s="15" t="n"/>
      <c r="G26" s="15" t="n"/>
      <c r="H26" s="15" t="n"/>
      <c r="I26" s="15" t="n"/>
      <c r="J26" s="15" t="n"/>
      <c r="K26" s="15" t="n"/>
      <c r="L26" s="15" t="n"/>
      <c r="M26" s="15" t="n"/>
      <c r="N26" s="15" t="n"/>
      <c r="O26" s="3" t="n"/>
      <c r="P26" s="3" t="n"/>
      <c r="Q26" s="3" t="n"/>
      <c r="R26" s="3" t="n"/>
      <c r="S26" s="3" t="n"/>
      <c r="T26" s="3" t="n"/>
      <c r="U26" s="3" t="n"/>
      <c r="V26" s="3" t="n"/>
      <c r="W26" s="3" t="n"/>
      <c r="X26" s="3" t="n"/>
      <c r="Y26" s="3" t="n"/>
      <c r="Z26" s="3" t="n"/>
    </row>
    <row r="27">
      <c r="A27" s="16" t="inlineStr">
        <is>
          <t>Mobility revenue [D]</t>
        </is>
      </c>
      <c r="B27" s="3" t="n"/>
      <c r="C27" s="3" t="n"/>
      <c r="D27" s="3" t="n"/>
      <c r="E27" s="3" t="n"/>
      <c r="F27" s="3" t="n"/>
      <c r="G27" s="3" t="n"/>
      <c r="H27" s="3" t="n"/>
      <c r="I27" s="3" t="n"/>
      <c r="J27" s="18" t="n">
        <v>1142</v>
      </c>
      <c r="K27" s="18" t="n">
        <v>1484</v>
      </c>
      <c r="L27" s="18" t="n">
        <v>1609</v>
      </c>
      <c r="M27" s="18" t="n">
        <v>1747</v>
      </c>
      <c r="N27" s="4" t="inlineStr">
        <is>
          <t>SPGI 10-K MD&amp;A Mobility table</t>
        </is>
      </c>
      <c r="O27" s="3" t="n"/>
      <c r="P27" s="3" t="n"/>
      <c r="Q27" s="3" t="n"/>
      <c r="R27" s="3" t="n"/>
      <c r="S27" s="3" t="n"/>
      <c r="T27" s="3" t="n"/>
      <c r="U27" s="3" t="n"/>
      <c r="V27" s="3" t="n"/>
      <c r="W27" s="3" t="n"/>
      <c r="X27" s="3" t="n"/>
      <c r="Y27" s="3" t="n"/>
      <c r="Z27" s="3" t="n"/>
    </row>
    <row r="28">
      <c r="A28" s="36" t="inlineStr">
        <is>
          <t>Revenue growth y/y [C] (FY2023 vs ~10-month FY2022 — not like-for-like)</t>
        </is>
      </c>
      <c r="B28" s="3" t="n"/>
      <c r="C28" s="3" t="n"/>
      <c r="D28" s="3" t="n"/>
      <c r="E28" s="3" t="n"/>
      <c r="F28" s="3" t="n"/>
      <c r="G28" s="3" t="n"/>
      <c r="H28" s="3" t="n"/>
      <c r="I28" s="3" t="n"/>
      <c r="J28" s="3" t="n"/>
      <c r="K28" s="20">
        <f>K27/J27-1</f>
        <v/>
      </c>
      <c r="L28" s="20">
        <f>L27/K27-1</f>
        <v/>
      </c>
      <c r="M28" s="20">
        <f>M27/L27-1</f>
        <v/>
      </c>
      <c r="N28" s="4" t="inlineStr">
        <is>
          <t>[C]</t>
        </is>
      </c>
      <c r="O28" s="3" t="n"/>
      <c r="P28" s="3" t="n"/>
      <c r="Q28" s="3" t="n"/>
      <c r="R28" s="3" t="n"/>
      <c r="S28" s="3" t="n"/>
      <c r="T28" s="3" t="n"/>
      <c r="U28" s="3" t="n"/>
      <c r="V28" s="3" t="n"/>
      <c r="W28" s="3" t="n"/>
      <c r="X28" s="3" t="n"/>
      <c r="Y28" s="3" t="n"/>
      <c r="Z28" s="3" t="n"/>
    </row>
    <row r="29">
      <c r="A29" s="19" t="inlineStr">
        <is>
          <t xml:space="preserve">  Subscription revenue [D]</t>
        </is>
      </c>
      <c r="B29" s="3" t="n"/>
      <c r="C29" s="3" t="n"/>
      <c r="D29" s="3" t="n"/>
      <c r="E29" s="3" t="n"/>
      <c r="F29" s="3" t="n"/>
      <c r="G29" s="3" t="n"/>
      <c r="H29" s="3" t="n"/>
      <c r="I29" s="3" t="n"/>
      <c r="J29" s="30" t="n">
        <v>888</v>
      </c>
      <c r="K29" s="30" t="n">
        <v>1169</v>
      </c>
      <c r="L29" s="30" t="n">
        <v>1299</v>
      </c>
      <c r="M29" s="30" t="n">
        <v>1422</v>
      </c>
      <c r="N29" s="4" t="inlineStr"/>
      <c r="O29" s="3" t="n"/>
      <c r="P29" s="3" t="n"/>
      <c r="Q29" s="3" t="n"/>
      <c r="R29" s="3" t="n"/>
      <c r="S29" s="3" t="n"/>
      <c r="T29" s="3" t="n"/>
      <c r="U29" s="3" t="n"/>
      <c r="V29" s="3" t="n"/>
      <c r="W29" s="3" t="n"/>
      <c r="X29" s="3" t="n"/>
      <c r="Y29" s="3" t="n"/>
      <c r="Z29" s="3" t="n"/>
    </row>
    <row r="30">
      <c r="A30" s="19" t="inlineStr">
        <is>
          <t xml:space="preserve">  Non-subscription revenue [D]</t>
        </is>
      </c>
      <c r="B30" s="3" t="n"/>
      <c r="C30" s="3" t="n"/>
      <c r="D30" s="3" t="n"/>
      <c r="E30" s="3" t="n"/>
      <c r="F30" s="3" t="n"/>
      <c r="G30" s="3" t="n"/>
      <c r="H30" s="3" t="n"/>
      <c r="I30" s="3" t="n"/>
      <c r="J30" s="30" t="n">
        <v>254</v>
      </c>
      <c r="K30" s="30" t="n">
        <v>315</v>
      </c>
      <c r="L30" s="30" t="n">
        <v>310</v>
      </c>
      <c r="M30" s="30" t="n">
        <v>325</v>
      </c>
      <c r="N30" s="4" t="inlineStr"/>
      <c r="O30" s="3" t="n"/>
      <c r="P30" s="3" t="n"/>
      <c r="Q30" s="3" t="n"/>
      <c r="R30" s="3" t="n"/>
      <c r="S30" s="3" t="n"/>
      <c r="T30" s="3" t="n"/>
      <c r="U30" s="3" t="n"/>
      <c r="V30" s="3" t="n"/>
      <c r="W30" s="3" t="n"/>
      <c r="X30" s="3" t="n"/>
      <c r="Y30" s="3" t="n"/>
      <c r="Z30" s="3" t="n"/>
    </row>
    <row r="31">
      <c r="A31" s="36" t="inlineStr">
        <is>
          <t xml:space="preserve">  Subscription share [C]</t>
        </is>
      </c>
      <c r="B31" s="3" t="n"/>
      <c r="C31" s="3" t="n"/>
      <c r="D31" s="3" t="n"/>
      <c r="E31" s="3" t="n"/>
      <c r="F31" s="3" t="n"/>
      <c r="G31" s="3" t="n"/>
      <c r="H31" s="3" t="n"/>
      <c r="I31" s="3" t="n"/>
      <c r="J31" s="20">
        <f>J29/J27</f>
        <v/>
      </c>
      <c r="K31" s="20">
        <f>K29/K27</f>
        <v/>
      </c>
      <c r="L31" s="20">
        <f>L29/L27</f>
        <v/>
      </c>
      <c r="M31" s="20">
        <f>M29/M27</f>
        <v/>
      </c>
      <c r="N31" s="4" t="inlineStr">
        <is>
          <t>[C]</t>
        </is>
      </c>
      <c r="O31" s="3" t="n"/>
      <c r="P31" s="3" t="n"/>
      <c r="Q31" s="3" t="n"/>
      <c r="R31" s="3" t="n"/>
      <c r="S31" s="3" t="n"/>
      <c r="T31" s="3" t="n"/>
      <c r="U31" s="3" t="n"/>
      <c r="V31" s="3" t="n"/>
      <c r="W31" s="3" t="n"/>
      <c r="X31" s="3" t="n"/>
      <c r="Y31" s="3" t="n"/>
      <c r="Z31" s="3" t="n"/>
    </row>
    <row r="32">
      <c r="A32" s="19" t="inlineStr">
        <is>
          <t xml:space="preserve">  U.S. revenue [D]</t>
        </is>
      </c>
      <c r="B32" s="3" t="n"/>
      <c r="C32" s="3" t="n"/>
      <c r="D32" s="3" t="n"/>
      <c r="E32" s="3" t="n"/>
      <c r="F32" s="3" t="n"/>
      <c r="G32" s="3" t="n"/>
      <c r="H32" s="3" t="n"/>
      <c r="I32" s="3" t="n"/>
      <c r="J32" s="30" t="n">
        <v>932</v>
      </c>
      <c r="K32" s="30" t="n">
        <v>1223</v>
      </c>
      <c r="L32" s="30" t="n">
        <v>1325</v>
      </c>
      <c r="M32" s="30" t="n">
        <v>1451</v>
      </c>
      <c r="N32" s="4" t="inlineStr"/>
      <c r="O32" s="3" t="n"/>
      <c r="P32" s="3" t="n"/>
      <c r="Q32" s="3" t="n"/>
      <c r="R32" s="3" t="n"/>
      <c r="S32" s="3" t="n"/>
      <c r="T32" s="3" t="n"/>
      <c r="U32" s="3" t="n"/>
      <c r="V32" s="3" t="n"/>
      <c r="W32" s="3" t="n"/>
      <c r="X32" s="3" t="n"/>
      <c r="Y32" s="3" t="n"/>
      <c r="Z32" s="3" t="n"/>
    </row>
    <row r="33">
      <c r="A33" s="19" t="inlineStr">
        <is>
          <t xml:space="preserve">  International revenue [D]</t>
        </is>
      </c>
      <c r="B33" s="3" t="n"/>
      <c r="C33" s="3" t="n"/>
      <c r="D33" s="3" t="n"/>
      <c r="E33" s="3" t="n"/>
      <c r="F33" s="3" t="n"/>
      <c r="G33" s="3" t="n"/>
      <c r="H33" s="3" t="n"/>
      <c r="I33" s="3" t="n"/>
      <c r="J33" s="30" t="n">
        <v>210</v>
      </c>
      <c r="K33" s="30" t="n">
        <v>261</v>
      </c>
      <c r="L33" s="30" t="n">
        <v>284</v>
      </c>
      <c r="M33" s="30" t="n">
        <v>296</v>
      </c>
      <c r="N33" s="4" t="inlineStr"/>
      <c r="O33" s="3" t="n"/>
      <c r="P33" s="3" t="n"/>
      <c r="Q33" s="3" t="n"/>
      <c r="R33" s="3" t="n"/>
      <c r="S33" s="3" t="n"/>
      <c r="T33" s="3" t="n"/>
      <c r="U33" s="3" t="n"/>
      <c r="V33" s="3" t="n"/>
      <c r="W33" s="3" t="n"/>
      <c r="X33" s="3" t="n"/>
      <c r="Y33" s="3" t="n"/>
      <c r="Z33" s="3" t="n"/>
    </row>
    <row r="34">
      <c r="A34" s="16" t="inlineStr">
        <is>
          <t>Mobility operating profit [D]</t>
        </is>
      </c>
      <c r="B34" s="3" t="n"/>
      <c r="C34" s="3" t="n"/>
      <c r="D34" s="3" t="n"/>
      <c r="E34" s="3" t="n"/>
      <c r="F34" s="3" t="n"/>
      <c r="G34" s="3" t="n"/>
      <c r="H34" s="3" t="n"/>
      <c r="I34" s="3" t="n"/>
      <c r="J34" s="18" t="n">
        <v>213</v>
      </c>
      <c r="K34" s="18" t="n">
        <v>260</v>
      </c>
      <c r="L34" s="18" t="n">
        <v>312</v>
      </c>
      <c r="M34" s="18" t="n">
        <v>378</v>
      </c>
      <c r="N34" s="4" t="inlineStr"/>
      <c r="O34" s="3" t="n"/>
      <c r="P34" s="3" t="n"/>
      <c r="Q34" s="3" t="n"/>
      <c r="R34" s="3" t="n"/>
      <c r="S34" s="3" t="n"/>
      <c r="T34" s="3" t="n"/>
      <c r="U34" s="3" t="n"/>
      <c r="V34" s="3" t="n"/>
      <c r="W34" s="3" t="n"/>
      <c r="X34" s="3" t="n"/>
      <c r="Y34" s="3" t="n"/>
      <c r="Z34" s="3" t="n"/>
    </row>
    <row r="35">
      <c r="A35" s="36" t="inlineStr">
        <is>
          <t>Operating margin [C]</t>
        </is>
      </c>
      <c r="B35" s="3" t="n"/>
      <c r="C35" s="3" t="n"/>
      <c r="D35" s="3" t="n"/>
      <c r="E35" s="3" t="n"/>
      <c r="F35" s="3" t="n"/>
      <c r="G35" s="3" t="n"/>
      <c r="H35" s="3" t="n"/>
      <c r="I35" s="3" t="n"/>
      <c r="J35" s="20">
        <f>J34/J27</f>
        <v/>
      </c>
      <c r="K35" s="20">
        <f>K34/K27</f>
        <v/>
      </c>
      <c r="L35" s="20">
        <f>L34/L27</f>
        <v/>
      </c>
      <c r="M35" s="20">
        <f>M34/M27</f>
        <v/>
      </c>
      <c r="N35" s="4" t="inlineStr">
        <is>
          <t>[C]</t>
        </is>
      </c>
      <c r="O35" s="3" t="n"/>
      <c r="P35" s="3" t="n"/>
      <c r="Q35" s="3" t="n"/>
      <c r="R35" s="3" t="n"/>
      <c r="S35" s="3" t="n"/>
      <c r="T35" s="3" t="n"/>
      <c r="U35" s="3" t="n"/>
      <c r="V35" s="3" t="n"/>
      <c r="W35" s="3" t="n"/>
      <c r="X35" s="3" t="n"/>
      <c r="Y35" s="3" t="n"/>
      <c r="Z35" s="3" t="n"/>
    </row>
    <row r="36">
      <c r="A36" s="19" t="inlineStr">
        <is>
          <t xml:space="preserve">  incl. amortization of acquired intangibles [D]</t>
        </is>
      </c>
      <c r="B36" s="3" t="n"/>
      <c r="C36" s="3" t="n"/>
      <c r="D36" s="3" t="n"/>
      <c r="E36" s="3" t="n"/>
      <c r="F36" s="3" t="n"/>
      <c r="G36" s="3" t="n"/>
      <c r="H36" s="3" t="n"/>
      <c r="I36" s="3" t="n"/>
      <c r="J36" s="30" t="n">
        <v>241</v>
      </c>
      <c r="K36" s="30" t="n">
        <v>301</v>
      </c>
      <c r="L36" s="30" t="n">
        <v>303</v>
      </c>
      <c r="M36" s="30" t="n">
        <v>303</v>
      </c>
      <c r="N36" s="4" t="inlineStr"/>
      <c r="O36" s="3" t="n"/>
      <c r="P36" s="3" t="n"/>
      <c r="Q36" s="3" t="n"/>
      <c r="R36" s="3" t="n"/>
      <c r="S36" s="3" t="n"/>
      <c r="T36" s="3" t="n"/>
      <c r="U36" s="3" t="n"/>
      <c r="V36" s="3" t="n"/>
      <c r="W36" s="3" t="n"/>
      <c r="X36" s="3" t="n"/>
      <c r="Y36" s="3" t="n"/>
      <c r="Z36" s="3" t="n"/>
    </row>
    <row r="37">
      <c r="A37" s="19" t="inlineStr">
        <is>
          <t>Depreciation &amp; amortization [D]</t>
        </is>
      </c>
      <c r="B37" s="3" t="n"/>
      <c r="C37" s="3" t="n"/>
      <c r="D37" s="3" t="n"/>
      <c r="E37" s="3" t="n"/>
      <c r="F37" s="3" t="n"/>
      <c r="G37" s="3" t="n"/>
      <c r="H37" s="3" t="n"/>
      <c r="I37" s="3" t="n"/>
      <c r="J37" s="30" t="n">
        <v>248</v>
      </c>
      <c r="K37" s="30" t="n">
        <v>314</v>
      </c>
      <c r="L37" s="30" t="n">
        <v>317</v>
      </c>
      <c r="M37" s="30" t="n">
        <v>320</v>
      </c>
      <c r="N37" s="4" t="inlineStr"/>
      <c r="O37" s="3" t="n"/>
      <c r="P37" s="3" t="n"/>
      <c r="Q37" s="3" t="n"/>
      <c r="R37" s="3" t="n"/>
      <c r="S37" s="3" t="n"/>
      <c r="T37" s="3" t="n"/>
      <c r="U37" s="3" t="n"/>
      <c r="V37" s="3" t="n"/>
      <c r="W37" s="3" t="n"/>
      <c r="X37" s="3" t="n"/>
      <c r="Y37" s="3" t="n"/>
      <c r="Z37" s="3" t="n"/>
    </row>
    <row r="38">
      <c r="A38" s="31" t="inlineStr">
        <is>
          <t>Operating profit + D&amp;A [C] (proxy; NOT a company-defined measure)</t>
        </is>
      </c>
      <c r="B38" s="3" t="n"/>
      <c r="C38" s="3" t="n"/>
      <c r="D38" s="3" t="n"/>
      <c r="E38" s="3" t="n"/>
      <c r="F38" s="3" t="n"/>
      <c r="G38" s="3" t="n"/>
      <c r="H38" s="3" t="n"/>
      <c r="I38" s="3" t="n"/>
      <c r="J38" s="24">
        <f>J34+J37</f>
        <v/>
      </c>
      <c r="K38" s="24">
        <f>K34+K37</f>
        <v/>
      </c>
      <c r="L38" s="24">
        <f>L34+L37</f>
        <v/>
      </c>
      <c r="M38" s="24">
        <f>M34+M37</f>
        <v/>
      </c>
      <c r="N38" s="4" t="inlineStr">
        <is>
          <t>[C]</t>
        </is>
      </c>
      <c r="O38" s="3" t="n"/>
      <c r="P38" s="3" t="n"/>
      <c r="Q38" s="3" t="n"/>
      <c r="R38" s="3" t="n"/>
      <c r="S38" s="3" t="n"/>
      <c r="T38" s="3" t="n"/>
      <c r="U38" s="3" t="n"/>
      <c r="V38" s="3" t="n"/>
      <c r="W38" s="3" t="n"/>
      <c r="X38" s="3" t="n"/>
      <c r="Y38" s="3" t="n"/>
      <c r="Z38" s="3" t="n"/>
    </row>
    <row r="39">
      <c r="A39" s="36" t="inlineStr">
        <is>
          <t>Operating profit + D&amp;A margin [C]</t>
        </is>
      </c>
      <c r="B39" s="3" t="n"/>
      <c r="C39" s="3" t="n"/>
      <c r="D39" s="3" t="n"/>
      <c r="E39" s="3" t="n"/>
      <c r="F39" s="3" t="n"/>
      <c r="G39" s="3" t="n"/>
      <c r="H39" s="3" t="n"/>
      <c r="I39" s="3" t="n"/>
      <c r="J39" s="20">
        <f>J38/J27</f>
        <v/>
      </c>
      <c r="K39" s="20">
        <f>K38/K27</f>
        <v/>
      </c>
      <c r="L39" s="20">
        <f>L38/L27</f>
        <v/>
      </c>
      <c r="M39" s="20">
        <f>M38/M27</f>
        <v/>
      </c>
      <c r="N39" s="4" t="inlineStr">
        <is>
          <t>[C]</t>
        </is>
      </c>
      <c r="O39" s="3" t="n"/>
      <c r="P39" s="3" t="n"/>
      <c r="Q39" s="3" t="n"/>
      <c r="R39" s="3" t="n"/>
      <c r="S39" s="3" t="n"/>
      <c r="T39" s="3" t="n"/>
      <c r="U39" s="3" t="n"/>
      <c r="V39" s="3" t="n"/>
      <c r="W39" s="3" t="n"/>
      <c r="X39" s="3" t="n"/>
      <c r="Y39" s="3" t="n"/>
      <c r="Z39" s="3" t="n"/>
    </row>
    <row r="40">
      <c r="A40" s="19" t="inlineStr">
        <is>
          <t>Capital expenditures [D]</t>
        </is>
      </c>
      <c r="B40" s="3" t="n"/>
      <c r="C40" s="3" t="n"/>
      <c r="D40" s="3" t="n"/>
      <c r="E40" s="3" t="n"/>
      <c r="F40" s="3" t="n"/>
      <c r="G40" s="3" t="n"/>
      <c r="H40" s="3" t="n"/>
      <c r="I40" s="3" t="n"/>
      <c r="J40" s="30" t="n">
        <v>6</v>
      </c>
      <c r="K40" s="30" t="n">
        <v>22</v>
      </c>
      <c r="L40" s="30" t="n">
        <v>18</v>
      </c>
      <c r="M40" s="30" t="n">
        <v>28</v>
      </c>
      <c r="N40" s="4" t="inlineStr"/>
      <c r="O40" s="3" t="n"/>
      <c r="P40" s="3" t="n"/>
      <c r="Q40" s="3" t="n"/>
      <c r="R40" s="3" t="n"/>
      <c r="S40" s="3" t="n"/>
      <c r="T40" s="3" t="n"/>
      <c r="U40" s="3" t="n"/>
      <c r="V40" s="3" t="n"/>
      <c r="W40" s="3" t="n"/>
      <c r="X40" s="3" t="n"/>
      <c r="Y40" s="3" t="n"/>
      <c r="Z40" s="3" t="n"/>
    </row>
    <row r="41">
      <c r="A41" s="19" t="inlineStr">
        <is>
          <t>Mobility segment total assets [D]</t>
        </is>
      </c>
      <c r="B41" s="3" t="n"/>
      <c r="C41" s="3" t="n"/>
      <c r="D41" s="3" t="n"/>
      <c r="E41" s="3" t="n"/>
      <c r="F41" s="3" t="n"/>
      <c r="G41" s="3" t="n"/>
      <c r="H41" s="3" t="n"/>
      <c r="I41" s="3" t="n"/>
      <c r="J41" s="30" t="n">
        <v>13416</v>
      </c>
      <c r="K41" s="30" t="n">
        <v>13495</v>
      </c>
      <c r="L41" s="30" t="n">
        <v>13222</v>
      </c>
      <c r="M41" s="30" t="n">
        <v>12974</v>
      </c>
      <c r="N41" s="4" t="inlineStr"/>
      <c r="O41" s="3" t="n"/>
      <c r="P41" s="3" t="n"/>
      <c r="Q41" s="3" t="n"/>
      <c r="R41" s="3" t="n"/>
      <c r="S41" s="3" t="n"/>
      <c r="T41" s="3" t="n"/>
      <c r="U41" s="3" t="n"/>
      <c r="V41" s="3" t="n"/>
      <c r="W41" s="3" t="n"/>
      <c r="X41" s="3" t="n"/>
      <c r="Y41" s="3" t="n"/>
      <c r="Z41" s="3" t="n"/>
    </row>
    <row r="42">
      <c r="A42" s="25" t="inlineStr">
        <is>
          <t>CHECK subscription + non-subscription = revenue</t>
        </is>
      </c>
      <c r="B42" s="26" t="n"/>
      <c r="C42" s="26" t="n"/>
      <c r="D42" s="26" t="n"/>
      <c r="E42" s="26" t="n"/>
      <c r="F42" s="26" t="n"/>
      <c r="G42" s="26" t="n"/>
      <c r="H42" s="26" t="n"/>
      <c r="I42" s="26" t="n"/>
      <c r="J42" s="27">
        <f>J29+J30-J27</f>
        <v/>
      </c>
      <c r="K42" s="27">
        <f>K29+K30-K27</f>
        <v/>
      </c>
      <c r="L42" s="27">
        <f>L29+L30-L27</f>
        <v/>
      </c>
      <c r="M42" s="27">
        <f>M29+M30-M27</f>
        <v/>
      </c>
      <c r="N42" s="4" t="inlineStr">
        <is>
          <t>[C]</t>
        </is>
      </c>
      <c r="O42" s="3" t="n"/>
      <c r="P42" s="3" t="n"/>
      <c r="Q42" s="3" t="n"/>
      <c r="R42" s="3" t="n"/>
      <c r="S42" s="3" t="n"/>
      <c r="T42" s="3" t="n"/>
      <c r="U42" s="3" t="n"/>
      <c r="V42" s="3" t="n"/>
      <c r="W42" s="3" t="n"/>
      <c r="X42" s="3" t="n"/>
      <c r="Y42" s="3" t="n"/>
      <c r="Z42" s="3" t="inlineStr">
        <is>
          <t>CHECK</t>
        </is>
      </c>
    </row>
    <row r="43">
      <c r="A43" s="25" t="inlineStr">
        <is>
          <t>CHECK U.S. + International = revenue</t>
        </is>
      </c>
      <c r="B43" s="26" t="n"/>
      <c r="C43" s="26" t="n"/>
      <c r="D43" s="26" t="n"/>
      <c r="E43" s="26" t="n"/>
      <c r="F43" s="26" t="n"/>
      <c r="G43" s="26" t="n"/>
      <c r="H43" s="26" t="n"/>
      <c r="I43" s="26" t="n"/>
      <c r="J43" s="27">
        <f>J32+J33-J27</f>
        <v/>
      </c>
      <c r="K43" s="27">
        <f>K32+K33-K27</f>
        <v/>
      </c>
      <c r="L43" s="27">
        <f>L32+L33-L27</f>
        <v/>
      </c>
      <c r="M43" s="27">
        <f>M32+M33-M27</f>
        <v/>
      </c>
      <c r="N43" s="4" t="inlineStr">
        <is>
          <t>[C]</t>
        </is>
      </c>
      <c r="O43" s="3" t="n"/>
      <c r="P43" s="3" t="n"/>
      <c r="Q43" s="3" t="n"/>
      <c r="R43" s="3" t="n"/>
      <c r="S43" s="3" t="n"/>
      <c r="T43" s="3" t="n"/>
      <c r="U43" s="3" t="n"/>
      <c r="V43" s="3" t="n"/>
      <c r="W43" s="3" t="n"/>
      <c r="X43" s="3" t="n"/>
      <c r="Y43" s="3" t="n"/>
      <c r="Z43" s="3" t="inlineStr">
        <is>
          <t>CHECK</t>
        </is>
      </c>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14" t="inlineStr">
        <is>
          <t>C. Mobility Global — combined (carve-out) statements (green = links to IS tab)</t>
        </is>
      </c>
      <c r="B45" s="15" t="n"/>
      <c r="C45" s="15" t="n"/>
      <c r="D45" s="15" t="n"/>
      <c r="E45" s="15" t="n"/>
      <c r="F45" s="15" t="n"/>
      <c r="G45" s="15" t="n"/>
      <c r="H45" s="15" t="n"/>
      <c r="I45" s="15" t="n"/>
      <c r="J45" s="15" t="n"/>
      <c r="K45" s="15" t="n"/>
      <c r="L45" s="15" t="n"/>
      <c r="M45" s="15" t="n"/>
      <c r="N45" s="15" t="n"/>
      <c r="O45" s="3" t="n"/>
      <c r="P45" s="3" t="n"/>
      <c r="Q45" s="3" t="n"/>
      <c r="R45" s="3" t="n"/>
      <c r="S45" s="3" t="n"/>
      <c r="T45" s="3" t="n"/>
      <c r="U45" s="3" t="n"/>
      <c r="V45" s="3" t="n"/>
      <c r="W45" s="3" t="n"/>
      <c r="X45" s="3" t="n"/>
      <c r="Y45" s="3" t="n"/>
      <c r="Z45" s="3" t="n"/>
    </row>
    <row r="46">
      <c r="A46" s="31" t="inlineStr">
        <is>
          <t>Revenue [D]</t>
        </is>
      </c>
      <c r="B46" s="3" t="n"/>
      <c r="C46" s="3" t="n"/>
      <c r="D46" s="3" t="n"/>
      <c r="E46" s="3" t="n"/>
      <c r="F46" s="3" t="n"/>
      <c r="G46" s="3" t="n"/>
      <c r="H46" s="3" t="n"/>
      <c r="I46" s="3" t="n"/>
      <c r="J46" s="3" t="n"/>
      <c r="K46" s="24">
        <f>'IS'!B6</f>
        <v/>
      </c>
      <c r="L46" s="24">
        <f>'IS'!C6</f>
        <v/>
      </c>
      <c r="M46" s="24">
        <f>'IS'!D6</f>
        <v/>
      </c>
      <c r="N46" s="4" t="inlineStr">
        <is>
          <t>IS tab (Form 10/A)</t>
        </is>
      </c>
      <c r="O46" s="3" t="n"/>
      <c r="P46" s="3" t="n"/>
      <c r="Q46" s="3" t="n"/>
      <c r="R46" s="3" t="n"/>
      <c r="S46" s="3" t="n"/>
      <c r="T46" s="3" t="n"/>
      <c r="U46" s="3" t="n"/>
      <c r="V46" s="3" t="n"/>
      <c r="W46" s="3" t="n"/>
      <c r="X46" s="3" t="n"/>
      <c r="Y46" s="3" t="n"/>
      <c r="Z46" s="3" t="n"/>
    </row>
    <row r="47">
      <c r="A47" s="36" t="inlineStr">
        <is>
          <t>Revenue growth y/y [C]</t>
        </is>
      </c>
      <c r="B47" s="3" t="n"/>
      <c r="C47" s="3" t="n"/>
      <c r="D47" s="3" t="n"/>
      <c r="E47" s="3" t="n"/>
      <c r="F47" s="3" t="n"/>
      <c r="G47" s="3" t="n"/>
      <c r="H47" s="3" t="n"/>
      <c r="I47" s="3" t="n"/>
      <c r="J47" s="3" t="n"/>
      <c r="K47" s="3" t="n"/>
      <c r="L47" s="20">
        <f>L46/K46-1</f>
        <v/>
      </c>
      <c r="M47" s="20">
        <f>M46/L46-1</f>
        <v/>
      </c>
      <c r="N47" s="4" t="inlineStr">
        <is>
          <t>[C]</t>
        </is>
      </c>
      <c r="O47" s="3" t="n"/>
      <c r="P47" s="3" t="n"/>
      <c r="Q47" s="3" t="n"/>
      <c r="R47" s="3" t="n"/>
      <c r="S47" s="3" t="n"/>
      <c r="T47" s="3" t="n"/>
      <c r="U47" s="3" t="n"/>
      <c r="V47" s="3" t="n"/>
      <c r="W47" s="3" t="n"/>
      <c r="X47" s="3" t="n"/>
      <c r="Y47" s="3" t="n"/>
      <c r="Z47" s="3" t="n"/>
    </row>
    <row r="48">
      <c r="A48" s="36" t="inlineStr">
        <is>
          <t>Operating profit [D]</t>
        </is>
      </c>
      <c r="B48" s="3" t="n"/>
      <c r="C48" s="3" t="n"/>
      <c r="D48" s="3" t="n"/>
      <c r="E48" s="3" t="n"/>
      <c r="F48" s="3" t="n"/>
      <c r="G48" s="3" t="n"/>
      <c r="H48" s="3" t="n"/>
      <c r="I48" s="3" t="n"/>
      <c r="J48" s="3" t="n"/>
      <c r="K48" s="22">
        <f>'IS'!B12</f>
        <v/>
      </c>
      <c r="L48" s="22">
        <f>'IS'!C12</f>
        <v/>
      </c>
      <c r="M48" s="22">
        <f>'IS'!D12</f>
        <v/>
      </c>
      <c r="N48" s="4" t="inlineStr">
        <is>
          <t>IS tab</t>
        </is>
      </c>
      <c r="O48" s="3" t="n"/>
      <c r="P48" s="3" t="n"/>
      <c r="Q48" s="3" t="n"/>
      <c r="R48" s="3" t="n"/>
      <c r="S48" s="3" t="n"/>
      <c r="T48" s="3" t="n"/>
      <c r="U48" s="3" t="n"/>
      <c r="V48" s="3" t="n"/>
      <c r="W48" s="3" t="n"/>
      <c r="X48" s="3" t="n"/>
      <c r="Y48" s="3" t="n"/>
      <c r="Z48" s="3" t="n"/>
    </row>
    <row r="49">
      <c r="A49" s="16" t="inlineStr">
        <is>
          <t>Adjusted EBITDA — company definition [D]</t>
        </is>
      </c>
      <c r="B49" s="3" t="n"/>
      <c r="C49" s="3" t="n"/>
      <c r="D49" s="3" t="n"/>
      <c r="E49" s="3" t="n"/>
      <c r="F49" s="3" t="n"/>
      <c r="G49" s="3" t="n"/>
      <c r="H49" s="3" t="n"/>
      <c r="I49" s="3" t="n"/>
      <c r="J49" s="3" t="n"/>
      <c r="K49" s="18" t="n">
        <v>598</v>
      </c>
      <c r="L49" s="18" t="n">
        <v>658</v>
      </c>
      <c r="M49" s="18" t="n">
        <v>711</v>
      </c>
      <c r="N49" s="4" t="inlineStr">
        <is>
          <t>Form 10/A p.358 (10-exclusion definition)</t>
        </is>
      </c>
      <c r="O49" s="3" t="n"/>
      <c r="P49" s="3" t="n"/>
      <c r="Q49" s="3" t="n"/>
      <c r="R49" s="3" t="n"/>
      <c r="S49" s="3" t="n"/>
      <c r="T49" s="3" t="n"/>
      <c r="U49" s="3" t="n"/>
      <c r="V49" s="3" t="n"/>
      <c r="W49" s="3" t="n"/>
      <c r="X49" s="3" t="n"/>
      <c r="Y49" s="3" t="n"/>
      <c r="Z49" s="3" t="n"/>
    </row>
    <row r="50">
      <c r="A50" s="36" t="inlineStr">
        <is>
          <t>Adjusted EBITDA margin [C]</t>
        </is>
      </c>
      <c r="B50" s="3" t="n"/>
      <c r="C50" s="3" t="n"/>
      <c r="D50" s="3" t="n"/>
      <c r="E50" s="3" t="n"/>
      <c r="F50" s="3" t="n"/>
      <c r="G50" s="3" t="n"/>
      <c r="H50" s="3" t="n"/>
      <c r="I50" s="3" t="n"/>
      <c r="J50" s="3" t="n"/>
      <c r="K50" s="20">
        <f>K49/K46</f>
        <v/>
      </c>
      <c r="L50" s="20">
        <f>L49/L46</f>
        <v/>
      </c>
      <c r="M50" s="20">
        <f>M49/M46</f>
        <v/>
      </c>
      <c r="N50" s="4" t="inlineStr">
        <is>
          <t>[C]</t>
        </is>
      </c>
      <c r="O50" s="3" t="n"/>
      <c r="P50" s="3" t="n"/>
      <c r="Q50" s="3" t="n"/>
      <c r="R50" s="3" t="n"/>
      <c r="S50" s="3" t="n"/>
      <c r="T50" s="3" t="n"/>
      <c r="U50" s="3" t="n"/>
      <c r="V50" s="3" t="n"/>
      <c r="W50" s="3" t="n"/>
      <c r="X50" s="3" t="n"/>
      <c r="Y50" s="3" t="n"/>
      <c r="Z50" s="3" t="n"/>
    </row>
    <row r="51">
      <c r="A51" s="36" t="inlineStr">
        <is>
          <t>Carve-out revenue − S&amp;P Global segment revenue [C]</t>
        </is>
      </c>
      <c r="B51" s="3" t="n"/>
      <c r="C51" s="3" t="n"/>
      <c r="D51" s="3" t="n"/>
      <c r="E51" s="3" t="n"/>
      <c r="F51" s="3" t="n"/>
      <c r="G51" s="3" t="n"/>
      <c r="H51" s="3" t="n"/>
      <c r="I51" s="3" t="n"/>
      <c r="J51" s="3" t="n"/>
      <c r="K51" s="23">
        <f>K46-K27</f>
        <v/>
      </c>
      <c r="L51" s="23">
        <f>L46-L27</f>
        <v/>
      </c>
      <c r="M51" s="23">
        <f>M46-M27</f>
        <v/>
      </c>
      <c r="N51" s="4" t="inlineStr">
        <is>
          <t>≈ $3m/yr data-sharing revenue S&amp;P Global eliminates (analysis/D4)</t>
        </is>
      </c>
      <c r="O51" s="3" t="n"/>
      <c r="P51" s="3" t="n"/>
      <c r="Q51" s="3" t="n"/>
      <c r="R51" s="3" t="n"/>
      <c r="S51" s="3" t="n"/>
      <c r="T51" s="3" t="n"/>
      <c r="U51" s="3" t="n"/>
      <c r="V51" s="3" t="n"/>
      <c r="W51" s="3" t="n"/>
      <c r="X51" s="3" t="n"/>
      <c r="Y51" s="3" t="n"/>
      <c r="Z51" s="3" t="n"/>
    </row>
    <row r="52">
      <c r="A52" s="36" t="inlineStr">
        <is>
          <t>Carve-out operating profit − S&amp;P Global segment operating profit [C]</t>
        </is>
      </c>
      <c r="B52" s="3" t="n"/>
      <c r="C52" s="3" t="n"/>
      <c r="D52" s="3" t="n"/>
      <c r="E52" s="3" t="n"/>
      <c r="F52" s="3" t="n"/>
      <c r="G52" s="3" t="n"/>
      <c r="H52" s="3" t="n"/>
      <c r="I52" s="3" t="n"/>
      <c r="J52" s="3" t="n"/>
      <c r="K52" s="23">
        <f>K48-K34</f>
        <v/>
      </c>
      <c r="L52" s="23">
        <f>L48-L34</f>
        <v/>
      </c>
      <c r="M52" s="23">
        <f>M48-M34</f>
        <v/>
      </c>
      <c r="N52" s="4" t="inlineStr">
        <is>
          <t>Corporate allocations + amortization basis differences (analysis/D4)</t>
        </is>
      </c>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14" t="inlineStr">
        <is>
          <t>Era CAGRs [C] (within-era only)</t>
        </is>
      </c>
      <c r="B54" s="15" t="n"/>
      <c r="C54" s="15" t="n"/>
      <c r="D54" s="15" t="n"/>
      <c r="E54" s="15" t="n"/>
      <c r="F54" s="15" t="n"/>
      <c r="G54" s="15" t="n"/>
      <c r="H54" s="15" t="n"/>
      <c r="I54" s="15" t="n"/>
      <c r="J54" s="15" t="n"/>
      <c r="K54" s="15" t="n"/>
      <c r="L54" s="15" t="n"/>
      <c r="M54" s="15" t="n"/>
      <c r="N54" s="15" t="n"/>
      <c r="O54" s="3" t="n"/>
      <c r="P54" s="3" t="n"/>
      <c r="Q54" s="3" t="n"/>
      <c r="R54" s="3" t="n"/>
      <c r="S54" s="3" t="n"/>
      <c r="T54" s="3" t="n"/>
      <c r="U54" s="3" t="n"/>
      <c r="V54" s="3" t="n"/>
      <c r="W54" s="3" t="n"/>
      <c r="X54" s="3" t="n"/>
      <c r="Y54" s="3" t="n"/>
      <c r="Z54" s="3" t="n"/>
    </row>
    <row r="55">
      <c r="A55" s="19" t="inlineStr">
        <is>
          <t>Transportation revenue CAGR</t>
        </is>
      </c>
      <c r="B55" s="20">
        <f>(I6/B6)^(1/7)-1</f>
        <v/>
      </c>
      <c r="C55" s="4" t="inlineStr">
        <is>
          <t>FY2014→FY2021</t>
        </is>
      </c>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19" t="inlineStr">
        <is>
          <t>Transportation revenue CAGR (pre-COVID)</t>
        </is>
      </c>
      <c r="B56" s="20">
        <f>(G6/B6)^(1/5)-1</f>
        <v/>
      </c>
      <c r="C56" s="4" t="inlineStr">
        <is>
          <t>FY2014→FY2019</t>
        </is>
      </c>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19" t="inlineStr">
        <is>
          <t>Transportation Adj. EBITDA CAGR</t>
        </is>
      </c>
      <c r="B57" s="20">
        <f>(I13/B13)^(1/7)-1</f>
        <v/>
      </c>
      <c r="C57" s="4" t="inlineStr">
        <is>
          <t>FY2014→FY2021</t>
        </is>
      </c>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19" t="inlineStr">
        <is>
          <t>S&amp;P Global Mobility revenue CAGR (full years)</t>
        </is>
      </c>
      <c r="B58" s="20">
        <f>(M27/K27)^(1/2)-1</f>
        <v/>
      </c>
      <c r="C58" s="4" t="inlineStr">
        <is>
          <t>FY2023→FY2025</t>
        </is>
      </c>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19" t="inlineStr">
        <is>
          <t>S&amp;P Global Mobility operating profit CAGR</t>
        </is>
      </c>
      <c r="B59" s="20">
        <f>(M34/K34)^(1/2)-1</f>
        <v/>
      </c>
      <c r="C59" s="4" t="inlineStr">
        <is>
          <t>FY2023→FY2025</t>
        </is>
      </c>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19" t="inlineStr">
        <is>
          <t>Carve-out revenue CAGR</t>
        </is>
      </c>
      <c r="B60" s="20">
        <f>(M46/K46)^(1/2)-1</f>
        <v/>
      </c>
      <c r="C60" s="4" t="inlineStr">
        <is>
          <t>FY2023→FY2025</t>
        </is>
      </c>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4" t="inlineStr">
        <is>
          <t>Era breaks: (1) IHS Inc. pre-FY2016 filings not on Quartr — FY2014/15 come only from comparative columns; (2) 2016-07 IHS–Markit merger; (3) A&amp;D sold 2019-12-02 (≈$470m) — FY2020 acquisitive −6pp; (4) 2022-02-28 S&amp;P Global merger: Dec FYE, purchase-accounting reset, Maritime &amp; Trade moved out, profit measure changes to operating profit after amortization; Dec-2021–Feb-2022 falls in neither era; (5) 2025 realignment into CARFAX / B2B.</t>
        </is>
      </c>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4" t="inlineStr">
        <is>
          <t>Automotive share of Transportation revenue as printed: "about 80%" (FY2016–18), ~80%+ (FY2019), "more than 90 percent" (FY2020–21) — see Predecessor Segments tab (text rows).</t>
        </is>
      </c>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4" t="inlineStr">
        <is>
          <t>Quarterly IHS Markit segment data (FY2021 10-Qs / 8-K) appear on the Predecessor Segments tab where printed.</t>
        </is>
      </c>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14" t="inlineStr">
        <is>
          <t>D. IHS Markit — Transportation quarterly (FYE Nov 30). Precise $ from 10-Q/8-K where printed; otherwise rounded deck figures ($m, integers). Bold-italic = comparative from a later document.</t>
        </is>
      </c>
      <c r="B66" s="15" t="n"/>
      <c r="C66" s="15" t="n"/>
      <c r="D66" s="15" t="n"/>
      <c r="E66" s="15" t="n"/>
      <c r="F66" s="15" t="n"/>
      <c r="G66" s="15" t="n"/>
      <c r="H66" s="15" t="n"/>
      <c r="I66" s="15" t="n"/>
      <c r="J66" s="15" t="n"/>
      <c r="K66" s="15" t="n"/>
      <c r="L66" s="15" t="n"/>
      <c r="M66" s="15" t="n"/>
      <c r="N66" s="15" t="n"/>
      <c r="O66" s="3" t="n"/>
      <c r="P66" s="3" t="n"/>
      <c r="Q66" s="3" t="n"/>
      <c r="R66" s="3" t="n"/>
      <c r="S66" s="3" t="n"/>
      <c r="T66" s="3" t="n"/>
      <c r="U66" s="3" t="n"/>
      <c r="V66" s="3" t="n"/>
      <c r="W66" s="3" t="n"/>
      <c r="X66" s="3" t="n"/>
      <c r="Y66" s="3" t="n"/>
      <c r="Z66" s="3" t="n"/>
    </row>
    <row r="67">
      <c r="A67" s="48" t="inlineStr">
        <is>
          <t>USD millions unless stated</t>
        </is>
      </c>
      <c r="B67" s="45" t="inlineStr">
        <is>
          <t>Q1
FY2020</t>
        </is>
      </c>
      <c r="C67" s="45" t="inlineStr">
        <is>
          <t>Q2
FY2020</t>
        </is>
      </c>
      <c r="D67" s="45" t="inlineStr">
        <is>
          <t>Q3
FY2020</t>
        </is>
      </c>
      <c r="E67" s="45" t="inlineStr">
        <is>
          <t>Q4
FY2020</t>
        </is>
      </c>
      <c r="F67" s="45" t="inlineStr">
        <is>
          <t>FY2020</t>
        </is>
      </c>
      <c r="G67" s="45" t="inlineStr">
        <is>
          <t>Q1
FY2021</t>
        </is>
      </c>
      <c r="H67" s="45" t="inlineStr">
        <is>
          <t>Q2
FY2021</t>
        </is>
      </c>
      <c r="I67" s="45" t="inlineStr">
        <is>
          <t>Q3
FY2021</t>
        </is>
      </c>
      <c r="J67" s="45" t="inlineStr">
        <is>
          <t>9M
FY2021</t>
        </is>
      </c>
      <c r="K67" s="45" t="inlineStr">
        <is>
          <t>FY2021</t>
        </is>
      </c>
      <c r="L67" s="3" t="n"/>
      <c r="M67" s="3" t="n"/>
      <c r="N67" s="3" t="n"/>
      <c r="O67" s="3" t="n"/>
      <c r="P67" s="3" t="n"/>
      <c r="Q67" s="3" t="n"/>
      <c r="R67" s="3" t="n"/>
      <c r="S67" s="3" t="n"/>
      <c r="T67" s="3" t="n"/>
      <c r="U67" s="3" t="n"/>
      <c r="V67" s="3" t="n"/>
      <c r="W67" s="3" t="n"/>
      <c r="X67" s="3" t="n"/>
      <c r="Y67" s="3" t="n"/>
      <c r="Z67" s="3" t="n"/>
    </row>
    <row r="68">
      <c r="A68" s="16" t="inlineStr">
        <is>
          <t>Transportation revenue [D]</t>
        </is>
      </c>
      <c r="B68" s="46" t="n">
        <v>297</v>
      </c>
      <c r="C68" s="46" t="n">
        <v>243.2</v>
      </c>
      <c r="D68" s="46" t="n">
        <v>299</v>
      </c>
      <c r="E68" s="46" t="n">
        <v>312</v>
      </c>
      <c r="F68" s="24">
        <f>H6</f>
        <v/>
      </c>
      <c r="G68" s="46" t="n">
        <v>312</v>
      </c>
      <c r="H68" s="18" t="n">
        <v>344.1</v>
      </c>
      <c r="I68" s="18" t="n">
        <v>347.4</v>
      </c>
      <c r="J68" s="46" t="n">
        <v>1003.2</v>
      </c>
      <c r="K68" s="24">
        <f>I6</f>
        <v/>
      </c>
      <c r="L68" s="3" t="n"/>
      <c r="M68" s="3" t="n"/>
      <c r="N68" s="4" t="inlineStr">
        <is>
          <t>10-Q Note 16 / 8-K / decks; FY2020 &amp; FY2021 annual from 10-K</t>
        </is>
      </c>
      <c r="O68" s="3" t="n"/>
      <c r="P68" s="3" t="n"/>
      <c r="Q68" s="3" t="n"/>
      <c r="R68" s="3" t="n"/>
      <c r="S68" s="3" t="n"/>
      <c r="T68" s="3" t="n"/>
      <c r="U68" s="3" t="n"/>
      <c r="V68" s="3" t="n"/>
      <c r="W68" s="3" t="n"/>
      <c r="X68" s="3" t="n"/>
      <c r="Y68" s="3" t="n"/>
      <c r="Z68" s="3" t="n"/>
    </row>
    <row r="69">
      <c r="A69" s="19" t="inlineStr">
        <is>
          <t xml:space="preserve">  Recurring revenue [D]</t>
        </is>
      </c>
      <c r="B69" s="46" t="n">
        <v>228</v>
      </c>
      <c r="C69" s="46" t="n">
        <v>186.8</v>
      </c>
      <c r="D69" s="46" t="n">
        <v>227</v>
      </c>
      <c r="E69" s="46" t="n">
        <v>238</v>
      </c>
      <c r="F69" s="46" t="n">
        <v>879</v>
      </c>
      <c r="G69" s="46" t="n">
        <v>247</v>
      </c>
      <c r="H69" s="30" t="n">
        <v>261.6</v>
      </c>
      <c r="I69" s="30" t="n">
        <v>268</v>
      </c>
      <c r="J69" s="3" t="n"/>
      <c r="K69" s="3" t="n"/>
      <c r="L69" s="3" t="n"/>
      <c r="M69" s="3" t="n"/>
      <c r="N69" s="4" t="inlineStr">
        <is>
          <t>8-K supplemental (Q2) / decks; Transportation has no recurring-variable revenue</t>
        </is>
      </c>
      <c r="O69" s="3" t="n"/>
      <c r="P69" s="3" t="n"/>
      <c r="Q69" s="3" t="n"/>
      <c r="R69" s="3" t="n"/>
      <c r="S69" s="3" t="n"/>
      <c r="T69" s="3" t="n"/>
      <c r="U69" s="3" t="n"/>
      <c r="V69" s="3" t="n"/>
      <c r="W69" s="3" t="n"/>
      <c r="X69" s="3" t="n"/>
      <c r="Y69" s="3" t="n"/>
      <c r="Z69" s="3" t="n"/>
    </row>
    <row r="70">
      <c r="A70" s="19" t="inlineStr">
        <is>
          <t xml:space="preserve">  Non-recurring revenue [D]</t>
        </is>
      </c>
      <c r="B70" s="46" t="n">
        <v>69</v>
      </c>
      <c r="C70" s="46" t="n">
        <v>56.4</v>
      </c>
      <c r="D70" s="46" t="n">
        <v>72</v>
      </c>
      <c r="E70" s="46" t="n">
        <v>75</v>
      </c>
      <c r="F70" s="46" t="n">
        <v>273</v>
      </c>
      <c r="G70" s="46" t="n">
        <v>65</v>
      </c>
      <c r="H70" s="30" t="n">
        <v>82.5</v>
      </c>
      <c r="I70" s="30" t="n">
        <v>80</v>
      </c>
      <c r="J70" s="3" t="n"/>
      <c r="K70" s="3" t="n"/>
      <c r="L70" s="3" t="n"/>
      <c r="M70" s="3" t="n"/>
      <c r="N70" s="4" t="inlineStr"/>
      <c r="O70" s="3" t="n"/>
      <c r="P70" s="3" t="n"/>
      <c r="Q70" s="3" t="n"/>
      <c r="R70" s="3" t="n"/>
      <c r="S70" s="3" t="n"/>
      <c r="T70" s="3" t="n"/>
      <c r="U70" s="3" t="n"/>
      <c r="V70" s="3" t="n"/>
      <c r="W70" s="3" t="n"/>
      <c r="X70" s="3" t="n"/>
      <c r="Y70" s="3" t="n"/>
      <c r="Z70" s="3" t="n"/>
    </row>
    <row r="71">
      <c r="A71" s="36" t="inlineStr">
        <is>
          <t xml:space="preserve">  Recurring share of revenue [C]</t>
        </is>
      </c>
      <c r="B71" s="20">
        <f>B69/B68</f>
        <v/>
      </c>
      <c r="C71" s="20">
        <f>C69/C68</f>
        <v/>
      </c>
      <c r="D71" s="20">
        <f>D69/D68</f>
        <v/>
      </c>
      <c r="E71" s="20">
        <f>E69/E68</f>
        <v/>
      </c>
      <c r="F71" s="20">
        <f>F69/F68</f>
        <v/>
      </c>
      <c r="G71" s="20">
        <f>G69/G68</f>
        <v/>
      </c>
      <c r="H71" s="20">
        <f>H69/H68</f>
        <v/>
      </c>
      <c r="I71" s="20">
        <f>I69/I68</f>
        <v/>
      </c>
      <c r="J71" s="3" t="n"/>
      <c r="K71" s="3" t="n"/>
      <c r="L71" s="3" t="n"/>
      <c r="M71" s="3" t="n"/>
      <c r="N71" s="4" t="inlineStr">
        <is>
          <t>[C]</t>
        </is>
      </c>
      <c r="O71" s="3" t="n"/>
      <c r="P71" s="3" t="n"/>
      <c r="Q71" s="3" t="n"/>
      <c r="R71" s="3" t="n"/>
      <c r="S71" s="3" t="n"/>
      <c r="T71" s="3" t="n"/>
      <c r="U71" s="3" t="n"/>
      <c r="V71" s="3" t="n"/>
      <c r="W71" s="3" t="n"/>
      <c r="X71" s="3" t="n"/>
      <c r="Y71" s="3" t="n"/>
      <c r="Z71" s="3" t="n"/>
    </row>
    <row r="72">
      <c r="A72" s="16" t="inlineStr">
        <is>
          <t>Transportation Adjusted EBITDA [D]</t>
        </is>
      </c>
      <c r="B72" s="46" t="n">
        <v>118</v>
      </c>
      <c r="C72" s="46" t="n">
        <v>101.6</v>
      </c>
      <c r="D72" s="46" t="n">
        <v>154</v>
      </c>
      <c r="E72" s="46" t="n">
        <v>141</v>
      </c>
      <c r="F72" s="24">
        <f>H13</f>
        <v/>
      </c>
      <c r="G72" s="46" t="n">
        <v>147</v>
      </c>
      <c r="H72" s="18" t="n">
        <v>170.7</v>
      </c>
      <c r="I72" s="18" t="n">
        <v>167.1</v>
      </c>
      <c r="J72" s="46" t="n">
        <v>484.5</v>
      </c>
      <c r="K72" s="24">
        <f>I13</f>
        <v/>
      </c>
      <c r="L72" s="3" t="n"/>
      <c r="M72" s="3" t="n"/>
      <c r="N72" s="4" t="inlineStr"/>
      <c r="O72" s="3" t="n"/>
      <c r="P72" s="3" t="n"/>
      <c r="Q72" s="3" t="n"/>
      <c r="R72" s="3" t="n"/>
      <c r="S72" s="3" t="n"/>
      <c r="T72" s="3" t="n"/>
      <c r="U72" s="3" t="n"/>
      <c r="V72" s="3" t="n"/>
      <c r="W72" s="3" t="n"/>
      <c r="X72" s="3" t="n"/>
      <c r="Y72" s="3" t="n"/>
      <c r="Z72" s="3" t="n"/>
    </row>
    <row r="73">
      <c r="A73" s="36" t="inlineStr">
        <is>
          <t>Adjusted EBITDA margin [C]</t>
        </is>
      </c>
      <c r="B73" s="20">
        <f>B72/B68</f>
        <v/>
      </c>
      <c r="C73" s="20">
        <f>C72/C68</f>
        <v/>
      </c>
      <c r="D73" s="20">
        <f>D72/D68</f>
        <v/>
      </c>
      <c r="E73" s="20">
        <f>E72/E68</f>
        <v/>
      </c>
      <c r="F73" s="20">
        <f>F72/F68</f>
        <v/>
      </c>
      <c r="G73" s="20">
        <f>G72/G68</f>
        <v/>
      </c>
      <c r="H73" s="20">
        <f>H72/H68</f>
        <v/>
      </c>
      <c r="I73" s="20">
        <f>I72/I68</f>
        <v/>
      </c>
      <c r="J73" s="20">
        <f>J72/J68</f>
        <v/>
      </c>
      <c r="K73" s="20">
        <f>K72/K68</f>
        <v/>
      </c>
      <c r="L73" s="3" t="n"/>
      <c r="M73" s="3" t="n"/>
      <c r="N73" s="4" t="inlineStr">
        <is>
          <t>[C]</t>
        </is>
      </c>
      <c r="O73" s="3" t="n"/>
      <c r="P73" s="3" t="n"/>
      <c r="Q73" s="3" t="n"/>
      <c r="R73" s="3" t="n"/>
      <c r="S73" s="3" t="n"/>
      <c r="T73" s="3" t="n"/>
      <c r="U73" s="3" t="n"/>
      <c r="V73" s="3" t="n"/>
      <c r="W73" s="3" t="n"/>
      <c r="X73" s="3" t="n"/>
      <c r="Y73" s="3" t="n"/>
      <c r="Z73" s="3" t="n"/>
    </row>
    <row r="74">
      <c r="A74" s="19" t="inlineStr">
        <is>
          <t>Adjusted EBITDA margin — as printed [D]</t>
        </is>
      </c>
      <c r="B74" s="47" t="n">
        <v>39.7</v>
      </c>
      <c r="C74" s="47" t="n">
        <v>41.8</v>
      </c>
      <c r="D74" s="47" t="n">
        <v>51.4</v>
      </c>
      <c r="E74" s="47" t="n">
        <v>45.3</v>
      </c>
      <c r="F74" s="47" t="n">
        <v>44.7</v>
      </c>
      <c r="G74" s="47" t="n">
        <v>47.1</v>
      </c>
      <c r="H74" s="41" t="n">
        <v>49.6</v>
      </c>
      <c r="I74" s="41" t="n">
        <v>48.1</v>
      </c>
      <c r="J74" s="3" t="n"/>
      <c r="K74" s="3" t="n"/>
      <c r="L74" s="3" t="n"/>
      <c r="M74" s="3" t="n"/>
      <c r="N74" s="4" t="inlineStr"/>
      <c r="O74" s="3" t="n"/>
      <c r="P74" s="3" t="n"/>
      <c r="Q74" s="3" t="n"/>
      <c r="R74" s="3" t="n"/>
      <c r="S74" s="3" t="n"/>
      <c r="T74" s="3" t="n"/>
      <c r="U74" s="3" t="n"/>
      <c r="V74" s="3" t="n"/>
      <c r="W74" s="3" t="n"/>
      <c r="X74" s="3" t="n"/>
      <c r="Y74" s="3" t="n"/>
      <c r="Z74" s="3" t="n"/>
    </row>
    <row r="75">
      <c r="A75" s="19" t="inlineStr">
        <is>
          <t>Organic growth — recurring [D]</t>
        </is>
      </c>
      <c r="B75" s="47" t="n">
        <v>12</v>
      </c>
      <c r="C75" s="47" t="n">
        <v>-10</v>
      </c>
      <c r="D75" s="47" t="n">
        <v>5</v>
      </c>
      <c r="E75" s="47" t="n">
        <v>5</v>
      </c>
      <c r="F75" s="47" t="n">
        <v>3</v>
      </c>
      <c r="G75" s="47" t="n">
        <v>8</v>
      </c>
      <c r="H75" s="41" t="n">
        <v>38</v>
      </c>
      <c r="I75" s="41" t="n">
        <v>17</v>
      </c>
      <c r="J75" s="3" t="n"/>
      <c r="K75" s="3" t="n"/>
      <c r="L75" s="3" t="n"/>
      <c r="M75" s="3" t="n"/>
      <c r="N75" s="4" t="inlineStr">
        <is>
          <t>Decks; Q2-FY20, Q3-FY20, FY20, Q3-FY21 printed in the deck's "Normalized" columns</t>
        </is>
      </c>
      <c r="O75" s="3" t="n"/>
      <c r="P75" s="3" t="n"/>
      <c r="Q75" s="3" t="n"/>
      <c r="R75" s="3" t="n"/>
      <c r="S75" s="3" t="n"/>
      <c r="T75" s="3" t="n"/>
      <c r="U75" s="3" t="n"/>
      <c r="V75" s="3" t="n"/>
      <c r="W75" s="3" t="n"/>
      <c r="X75" s="3" t="n"/>
      <c r="Y75" s="3" t="n"/>
      <c r="Z75" s="3" t="n"/>
    </row>
    <row r="76">
      <c r="A76" s="19" t="inlineStr">
        <is>
          <t>Organic growth — non-recurring [D]</t>
        </is>
      </c>
      <c r="B76" s="47" t="n">
        <v>-1</v>
      </c>
      <c r="C76" s="47" t="n">
        <v>-31</v>
      </c>
      <c r="D76" s="47" t="n">
        <v>-12</v>
      </c>
      <c r="E76" s="47" t="n">
        <v>-9</v>
      </c>
      <c r="F76" s="47" t="n">
        <v>-14</v>
      </c>
      <c r="G76" s="47" t="n">
        <v>-8</v>
      </c>
      <c r="H76" s="41" t="n">
        <v>41</v>
      </c>
      <c r="I76" s="41" t="n">
        <v>8</v>
      </c>
      <c r="J76" s="3" t="n"/>
      <c r="K76" s="3" t="n"/>
      <c r="L76" s="3" t="n"/>
      <c r="M76" s="3" t="n"/>
      <c r="N76" s="4" t="inlineStr"/>
      <c r="O76" s="3" t="n"/>
      <c r="P76" s="3" t="n"/>
      <c r="Q76" s="3" t="n"/>
      <c r="R76" s="3" t="n"/>
      <c r="S76" s="3" t="n"/>
      <c r="T76" s="3" t="n"/>
      <c r="U76" s="3" t="n"/>
      <c r="V76" s="3" t="n"/>
      <c r="W76" s="3" t="n"/>
      <c r="X76" s="3" t="n"/>
      <c r="Y76" s="3" t="n"/>
      <c r="Z76" s="3" t="n"/>
    </row>
    <row r="77">
      <c r="A77" s="19" t="inlineStr">
        <is>
          <t>Organic growth — total [D]</t>
        </is>
      </c>
      <c r="B77" s="47" t="n">
        <v>9</v>
      </c>
      <c r="C77" s="47" t="n">
        <v>-16</v>
      </c>
      <c r="D77" s="47" t="n">
        <v>0</v>
      </c>
      <c r="E77" s="47" t="n">
        <v>2</v>
      </c>
      <c r="F77" s="47" t="n">
        <v>-2</v>
      </c>
      <c r="G77" s="47" t="n">
        <v>4</v>
      </c>
      <c r="H77" s="41" t="n">
        <v>39</v>
      </c>
      <c r="I77" s="41" t="n">
        <v>15</v>
      </c>
      <c r="J77" s="3" t="n"/>
      <c r="K77" s="3" t="n"/>
      <c r="L77" s="3" t="n"/>
      <c r="M77" s="3" t="n"/>
      <c r="N77" s="4" t="inlineStr"/>
      <c r="O77" s="3" t="n"/>
      <c r="P77" s="3" t="n"/>
      <c r="Q77" s="3" t="n"/>
      <c r="R77" s="3" t="n"/>
      <c r="S77" s="3" t="n"/>
      <c r="T77" s="3" t="n"/>
      <c r="U77" s="3" t="n"/>
      <c r="V77" s="3" t="n"/>
      <c r="W77" s="3" t="n"/>
      <c r="X77" s="3" t="n"/>
      <c r="Y77" s="3" t="n"/>
      <c r="Z77" s="3" t="n"/>
    </row>
    <row r="78">
      <c r="A78" s="36" t="inlineStr">
        <is>
          <t>Implied Q4-FY2021 revenue / Adj. EBITDA (FY2021 − 9M) [C]</t>
        </is>
      </c>
      <c r="B78" s="23">
        <f>K68-J68</f>
        <v/>
      </c>
      <c r="C78" s="23">
        <f>K72-J72</f>
        <v/>
      </c>
      <c r="D78" s="3" t="n"/>
      <c r="E78" s="3" t="n"/>
      <c r="F78" s="3" t="n"/>
      <c r="G78" s="3" t="n"/>
      <c r="H78" s="3" t="n"/>
      <c r="I78" s="3" t="n"/>
      <c r="J78" s="3" t="n"/>
      <c r="K78" s="3" t="n"/>
      <c r="L78" s="3" t="n"/>
      <c r="M78" s="3" t="n"/>
      <c r="N78" s="4" t="inlineStr">
        <is>
          <t>Col 1 = revenue, col 2 = Adj. EBITDA; Q4-FY2021 release/10-K quarterly data not on Quartr</t>
        </is>
      </c>
      <c r="O78" s="3" t="n"/>
      <c r="P78" s="3" t="n"/>
      <c r="Q78" s="3" t="n"/>
      <c r="R78" s="3" t="n"/>
      <c r="S78" s="3" t="n"/>
      <c r="T78" s="3" t="n"/>
      <c r="U78" s="3" t="n"/>
      <c r="V78" s="3" t="n"/>
      <c r="W78" s="3" t="n"/>
      <c r="X78" s="3" t="n"/>
      <c r="Y78" s="3" t="n"/>
      <c r="Z78" s="3" t="n"/>
    </row>
    <row r="79">
      <c r="A79" s="25" t="inlineStr">
        <is>
          <t>CHECK recurring + non-recurring = revenue (0 = within ±1 rounding)</t>
        </is>
      </c>
      <c r="B79" s="27">
        <f>IF(ABS(B69+B70-B68)&lt;=1,0,B69+B70-B68)</f>
        <v/>
      </c>
      <c r="C79" s="27">
        <f>IF(ABS(C69+C70-C68)&lt;=1,0,C69+C70-C68)</f>
        <v/>
      </c>
      <c r="D79" s="27">
        <f>IF(ABS(D69+D70-D68)&lt;=1,0,D69+D70-D68)</f>
        <v/>
      </c>
      <c r="E79" s="27">
        <f>IF(ABS(E69+E70-E68)&lt;=1,0,E69+E70-E68)</f>
        <v/>
      </c>
      <c r="F79" s="27">
        <f>IF(ABS(F69+F70-F68)&lt;=1,0,F69+F70-F68)</f>
        <v/>
      </c>
      <c r="G79" s="27">
        <f>IF(ABS(G69+G70-G68)&lt;=1,0,G69+G70-G68)</f>
        <v/>
      </c>
      <c r="H79" s="27">
        <f>IF(ABS(H69+H70-H68)&lt;=1,0,H69+H70-H68)</f>
        <v/>
      </c>
      <c r="I79" s="27">
        <f>IF(ABS(I69+I70-I68)&lt;=1,0,I69+I70-I68)</f>
        <v/>
      </c>
      <c r="J79" s="26" t="n"/>
      <c r="K79" s="26" t="n"/>
      <c r="L79" s="26" t="n"/>
      <c r="M79" s="26" t="n"/>
      <c r="N79" s="4" t="inlineStr">
        <is>
          <t>[C]</t>
        </is>
      </c>
      <c r="O79" s="3" t="n"/>
      <c r="P79" s="3" t="n"/>
      <c r="Q79" s="3" t="n"/>
      <c r="R79" s="3" t="n"/>
      <c r="S79" s="3" t="n"/>
      <c r="T79" s="3" t="n"/>
      <c r="U79" s="3" t="n"/>
      <c r="V79" s="3" t="n"/>
      <c r="W79" s="3" t="n"/>
      <c r="X79" s="3" t="n"/>
      <c r="Y79" s="3" t="n"/>
      <c r="Z79" s="3" t="inlineStr">
        <is>
          <t>CHECK</t>
        </is>
      </c>
    </row>
    <row r="80">
      <c r="A80" s="25" t="inlineStr">
        <is>
          <t>CHECK FY2020 = sum of quarters (revenue; 0 = within ±2 rounding)</t>
        </is>
      </c>
      <c r="B80" s="26" t="n"/>
      <c r="C80" s="26" t="n"/>
      <c r="D80" s="26" t="n"/>
      <c r="E80" s="26" t="n"/>
      <c r="F80" s="27">
        <f>IF(ABS(B68+C68+D68+E68-F68)&lt;=2,0,1)</f>
        <v/>
      </c>
      <c r="G80" s="26" t="n"/>
      <c r="H80" s="26" t="n"/>
      <c r="I80" s="26" t="n"/>
      <c r="J80" s="26" t="n"/>
      <c r="K80" s="26" t="n"/>
      <c r="L80" s="26" t="n"/>
      <c r="M80" s="26" t="n"/>
      <c r="N80" s="4" t="inlineStr">
        <is>
          <t>[C]</t>
        </is>
      </c>
      <c r="O80" s="3" t="n"/>
      <c r="P80" s="3" t="n"/>
      <c r="Q80" s="3" t="n"/>
      <c r="R80" s="3" t="n"/>
      <c r="S80" s="3" t="n"/>
      <c r="T80" s="3" t="n"/>
      <c r="U80" s="3" t="n"/>
      <c r="V80" s="3" t="n"/>
      <c r="W80" s="3" t="n"/>
      <c r="X80" s="3" t="n"/>
      <c r="Y80" s="3" t="n"/>
      <c r="Z80" s="3" t="inlineStr">
        <is>
          <t>CHECK</t>
        </is>
      </c>
    </row>
    <row r="81">
      <c r="A81" s="25" t="inlineStr">
        <is>
          <t>CHECK 9M-FY2021 = Q1 + Q2 + Q3 (revenue &amp; Adj. EBITDA; 0 = within ±1.5)</t>
        </is>
      </c>
      <c r="B81" s="26" t="n"/>
      <c r="C81" s="26" t="n"/>
      <c r="D81" s="26" t="n"/>
      <c r="E81" s="26" t="n"/>
      <c r="F81" s="26" t="n"/>
      <c r="G81" s="26" t="n"/>
      <c r="H81" s="26" t="n"/>
      <c r="I81" s="26" t="n"/>
      <c r="J81" s="27">
        <f>IF(AND(ABS(G68+H68+I68-J68)&lt;=1.5,ABS(G72+H72+I72-J72)&lt;=1.5),0,1)</f>
        <v/>
      </c>
      <c r="K81" s="26" t="n"/>
      <c r="L81" s="26" t="n"/>
      <c r="M81" s="26" t="n"/>
      <c r="N81" s="4" t="inlineStr">
        <is>
          <t>[C]</t>
        </is>
      </c>
      <c r="O81" s="3" t="n"/>
      <c r="P81" s="3" t="n"/>
      <c r="Q81" s="3" t="n"/>
      <c r="R81" s="3" t="n"/>
      <c r="S81" s="3" t="n"/>
      <c r="T81" s="3" t="n"/>
      <c r="U81" s="3" t="n"/>
      <c r="V81" s="3" t="n"/>
      <c r="W81" s="3" t="n"/>
      <c r="X81" s="3" t="n"/>
      <c r="Y81" s="3" t="n"/>
      <c r="Z81" s="3" t="inlineStr">
        <is>
          <t>CHECK</t>
        </is>
      </c>
    </row>
    <row r="82">
      <c r="A82" s="4" t="inlineStr">
        <is>
          <t>Conflicts kept as printed (see predecessor_NOTES.md): Q4-FY2020 recurring organic growth 5% (Q2-FY21 deck) vs 6% (Q3-FY21 deck); A&amp;D sale ≈$470m (FY2019 10-K) vs ≈$466m (10-Qs).</t>
        </is>
      </c>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4" t="inlineStr">
        <is>
          <t>Not on Quartr: IHS Markit quarterly releases/decks before Q2-FY2021 and anything for Q4-FY2021; quarterly segment data before Q1-FY2020 therefore unavailable. CARFAX / automotive / maritime revenue never printed in dollars.</t>
        </is>
      </c>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0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5" customWidth="1" min="1" max="1"/>
    <col width="26" customWidth="1" min="2" max="2"/>
    <col width="26" customWidth="1" min="3" max="3"/>
    <col width="26" customWidth="1" min="4" max="4"/>
    <col width="26" customWidth="1" min="5" max="5"/>
    <col width="26" customWidth="1" min="6" max="6"/>
    <col width="26" customWidth="1" min="7" max="7"/>
    <col width="12" customWidth="1" min="8" max="8"/>
    <col hidden="1" width="13" customWidth="1" min="26" max="26"/>
  </cols>
  <sheetData>
    <row r="1" ht="20" customHeight="1">
      <c r="A1" s="1" t="inlineStr">
        <is>
          <t>Acquisitions — deal-per-column (purchase price allocations as printed)</t>
        </is>
      </c>
      <c r="B1" s="2" t="n"/>
      <c r="C1" s="2" t="n"/>
      <c r="D1" s="2" t="n"/>
      <c r="E1" s="2" t="n"/>
      <c r="F1" s="2" t="n"/>
      <c r="G1" s="2" t="n"/>
      <c r="H1" s="2" t="n"/>
    </row>
    <row r="2">
      <c r="A2" s="4" t="inlineStr">
        <is>
          <t>Preliminary and final PPAs are separate deal columns where both were printed.</t>
        </is>
      </c>
      <c r="B2" s="3" t="n"/>
      <c r="C2" s="3" t="n"/>
      <c r="D2" s="3" t="n"/>
      <c r="E2" s="3" t="n"/>
      <c r="F2" s="3" t="n"/>
      <c r="G2" s="3" t="n"/>
      <c r="H2" s="3" t="n"/>
    </row>
    <row r="3">
      <c r="A3" s="3" t="n"/>
      <c r="B3" s="3" t="n"/>
      <c r="C3" s="3" t="n"/>
      <c r="D3" s="3" t="n"/>
      <c r="E3" s="3" t="n"/>
      <c r="F3" s="3" t="n"/>
      <c r="G3" s="3" t="n"/>
      <c r="H3" s="3" t="n"/>
    </row>
    <row r="4">
      <c r="A4" s="9" t="inlineStr">
        <is>
          <t>Line</t>
        </is>
      </c>
      <c r="B4" s="29" t="inlineStr">
        <is>
          <t>CARPROOF (acq. 2015-12-24; IHS Inc., Transportation segment)</t>
        </is>
      </c>
      <c r="C4" s="29" t="inlineStr">
        <is>
          <t>automotiveMastermind Inc. (acq. 2017-09-25; IHS Markit, Transportation) - PPA table combined with Macroeconomic Advisers (MEA, acq. 2017-09-13)</t>
        </is>
      </c>
      <c r="D4" s="29" t="inlineStr">
        <is>
          <t>Market Scan Information Systems, Inc. (acq. 2023-02-16; S&amp;P Global Mobility / B2B)</t>
        </is>
      </c>
      <c r="E4" s="29" t="inlineStr">
        <is>
          <t>Catalyst for Aftersales (divested 2023; 'focused automotive aftersales business')</t>
        </is>
      </c>
      <c r="F4" s="29" t="inlineStr">
        <is>
          <t>Separation: contribution of Spin Business to MBGL; cash consideration to S&amp;P Global (2026)</t>
        </is>
      </c>
      <c r="G4" s="29" t="inlineStr">
        <is>
          <t>Context: combined goodwill and acquired intangibles (Note 3; legacy of IHS/IHS Markit/S&amp;P acquisitions incl. Polk 2013, CARFAX, CARPROOF, aM, Market Scan - not deal-specific)</t>
        </is>
      </c>
      <c r="H4" s="3" t="n"/>
    </row>
    <row r="5">
      <c r="A5" s="14" t="inlineStr">
        <is>
          <t>Deal terms</t>
        </is>
      </c>
      <c r="B5" s="15" t="n"/>
      <c r="C5" s="15" t="n"/>
      <c r="D5" s="15" t="n"/>
      <c r="E5" s="15" t="n"/>
      <c r="F5" s="15" t="n"/>
      <c r="G5" s="15" t="n"/>
      <c r="H5" s="15" t="n"/>
    </row>
    <row r="6">
      <c r="A6" s="19" t="inlineStr">
        <is>
          <t>Acquisition date</t>
        </is>
      </c>
      <c r="B6" s="42" t="inlineStr">
        <is>
          <t>2015-12-24</t>
        </is>
      </c>
      <c r="C6" s="3" t="n"/>
      <c r="D6" s="42" t="inlineStr">
        <is>
          <t>2023-02-16</t>
        </is>
      </c>
      <c r="E6" s="3" t="n"/>
      <c r="F6" s="3" t="n"/>
      <c r="G6" s="3" t="n"/>
      <c r="H6" s="3" t="n"/>
    </row>
    <row r="7">
      <c r="A7" s="19" t="inlineStr">
        <is>
          <t>Consideration: purchase price, net of cash acquired (approximately)</t>
        </is>
      </c>
      <c r="B7" s="30" t="n">
        <v>459.2</v>
      </c>
      <c r="C7" s="3" t="n"/>
      <c r="D7" s="3" t="n"/>
      <c r="E7" s="3" t="n"/>
      <c r="F7" s="3" t="n"/>
      <c r="G7" s="3" t="n"/>
      <c r="H7" s="3" t="n"/>
    </row>
    <row r="8">
      <c r="A8" s="14" t="inlineStr">
        <is>
          <t>PPA preliminary (net of acquired cash)</t>
        </is>
      </c>
      <c r="B8" s="15" t="n"/>
      <c r="C8" s="15" t="n"/>
      <c r="D8" s="15" t="n"/>
      <c r="E8" s="15" t="n"/>
      <c r="F8" s="15" t="n"/>
      <c r="G8" s="15" t="n"/>
      <c r="H8" s="15" t="n"/>
    </row>
    <row r="9">
      <c r="A9" s="19" t="inlineStr">
        <is>
          <t>Current assets</t>
        </is>
      </c>
      <c r="B9" s="30" t="n">
        <v>6.4</v>
      </c>
      <c r="C9" s="3" t="n"/>
      <c r="D9" s="3" t="n"/>
      <c r="E9" s="3" t="n"/>
      <c r="F9" s="3" t="n"/>
      <c r="G9" s="3" t="n"/>
      <c r="H9" s="3" t="n"/>
    </row>
    <row r="10">
      <c r="A10" s="19" t="inlineStr">
        <is>
          <t>Property and equipment</t>
        </is>
      </c>
      <c r="B10" s="30" t="n">
        <v>2.2</v>
      </c>
      <c r="C10" s="3" t="n"/>
      <c r="D10" s="3" t="n"/>
      <c r="E10" s="3" t="n"/>
      <c r="F10" s="3" t="n"/>
      <c r="G10" s="3" t="n"/>
      <c r="H10" s="3" t="n"/>
    </row>
    <row r="11">
      <c r="A11" s="19" t="inlineStr">
        <is>
          <t>Intangible assets</t>
        </is>
      </c>
      <c r="B11" s="30" t="n">
        <v>168.3</v>
      </c>
      <c r="C11" s="3" t="n"/>
      <c r="D11" s="3" t="n"/>
      <c r="E11" s="3" t="n"/>
      <c r="F11" s="3" t="n"/>
      <c r="G11" s="3" t="n"/>
      <c r="H11" s="3" t="n"/>
    </row>
    <row r="12">
      <c r="A12" s="19" t="inlineStr">
        <is>
          <t>Goodwill</t>
        </is>
      </c>
      <c r="B12" s="30" t="n">
        <v>330</v>
      </c>
      <c r="C12" s="3" t="n"/>
      <c r="D12" s="3" t="n"/>
      <c r="E12" s="3" t="n"/>
      <c r="F12" s="3" t="n"/>
      <c r="G12" s="3" t="n"/>
      <c r="H12" s="3" t="n"/>
    </row>
    <row r="13">
      <c r="A13" s="19" t="inlineStr">
        <is>
          <t>Other long-term assets</t>
        </is>
      </c>
      <c r="B13" s="30" t="n">
        <v>0</v>
      </c>
      <c r="C13" s="3" t="n"/>
      <c r="D13" s="3" t="n"/>
      <c r="E13" s="3" t="n"/>
      <c r="F13" s="3" t="n"/>
      <c r="G13" s="3" t="n"/>
      <c r="H13" s="3" t="n"/>
    </row>
    <row r="14">
      <c r="A14" s="19" t="inlineStr">
        <is>
          <t>Total assets</t>
        </is>
      </c>
      <c r="B14" s="30" t="n">
        <v>506.9</v>
      </c>
      <c r="C14" s="3" t="n"/>
      <c r="D14" s="3" t="n"/>
      <c r="E14" s="3" t="n"/>
      <c r="F14" s="3" t="n"/>
      <c r="G14" s="3" t="n"/>
      <c r="H14" s="3" t="n"/>
    </row>
    <row r="15">
      <c r="A15" s="19" t="inlineStr">
        <is>
          <t>Current liabilities</t>
        </is>
      </c>
      <c r="B15" s="30" t="n">
        <v>2.7</v>
      </c>
      <c r="C15" s="3" t="n"/>
      <c r="D15" s="3" t="n"/>
      <c r="E15" s="3" t="n"/>
      <c r="F15" s="3" t="n"/>
      <c r="G15" s="3" t="n"/>
      <c r="H15" s="3" t="n"/>
    </row>
    <row r="16">
      <c r="A16" s="19" t="inlineStr">
        <is>
          <t>Deferred revenue</t>
        </is>
      </c>
      <c r="B16" s="30" t="n">
        <v>0.2</v>
      </c>
      <c r="C16" s="3" t="n"/>
      <c r="D16" s="3" t="n"/>
      <c r="E16" s="3" t="n"/>
      <c r="F16" s="3" t="n"/>
      <c r="G16" s="3" t="n"/>
      <c r="H16" s="3" t="n"/>
    </row>
    <row r="17">
      <c r="A17" s="19" t="inlineStr">
        <is>
          <t>Deferred taxes</t>
        </is>
      </c>
      <c r="B17" s="30" t="n">
        <v>44.5</v>
      </c>
      <c r="C17" s="3" t="n"/>
      <c r="D17" s="3" t="n"/>
      <c r="E17" s="3" t="n"/>
      <c r="F17" s="3" t="n"/>
      <c r="G17" s="3" t="n"/>
      <c r="H17" s="3" t="n"/>
    </row>
    <row r="18">
      <c r="A18" s="19" t="inlineStr">
        <is>
          <t>Long-term debt</t>
        </is>
      </c>
      <c r="B18" s="30" t="n">
        <v>0</v>
      </c>
      <c r="C18" s="3" t="n"/>
      <c r="D18" s="3" t="n"/>
      <c r="E18" s="3" t="n"/>
      <c r="F18" s="3" t="n"/>
      <c r="G18" s="3" t="n"/>
      <c r="H18" s="3" t="n"/>
    </row>
    <row r="19">
      <c r="A19" s="19" t="inlineStr">
        <is>
          <t>Other long-term liabilities</t>
        </is>
      </c>
      <c r="B19" s="30" t="n">
        <v>0.3</v>
      </c>
      <c r="C19" s="3" t="n"/>
      <c r="D19" s="3" t="n"/>
      <c r="E19" s="3" t="n"/>
      <c r="F19" s="3" t="n"/>
      <c r="G19" s="3" t="n"/>
      <c r="H19" s="3" t="n"/>
    </row>
    <row r="20">
      <c r="A20" s="19" t="inlineStr">
        <is>
          <t>Noncontrolling interest</t>
        </is>
      </c>
      <c r="B20" s="30" t="n">
        <v>0</v>
      </c>
      <c r="C20" s="3" t="n"/>
      <c r="D20" s="3" t="n"/>
      <c r="E20" s="3" t="n"/>
      <c r="F20" s="3" t="n"/>
      <c r="G20" s="3" t="n"/>
      <c r="H20" s="3" t="n"/>
    </row>
    <row r="21">
      <c r="A21" s="19" t="inlineStr">
        <is>
          <t>Total liabilities and noncontrolling interest</t>
        </is>
      </c>
      <c r="B21" s="30" t="n">
        <v>47.7</v>
      </c>
      <c r="C21" s="3" t="n"/>
      <c r="D21" s="3" t="n"/>
      <c r="E21" s="3" t="n"/>
      <c r="F21" s="3" t="n"/>
      <c r="G21" s="3" t="n"/>
      <c r="H21" s="3" t="n"/>
    </row>
    <row r="22">
      <c r="A22" s="19" t="inlineStr">
        <is>
          <t>Purchase price, net of cash acquired</t>
        </is>
      </c>
      <c r="B22" s="30" t="n">
        <v>459.2</v>
      </c>
      <c r="C22" s="3" t="n"/>
      <c r="D22" s="3" t="n"/>
      <c r="E22" s="3" t="n"/>
      <c r="F22" s="3" t="n"/>
      <c r="G22" s="3" t="n"/>
      <c r="H22" s="3" t="n"/>
    </row>
    <row r="23">
      <c r="A23" s="14" t="inlineStr">
        <is>
          <t>PPA final (net of acquired cash; no longer labelled preliminary)</t>
        </is>
      </c>
      <c r="B23" s="15" t="n"/>
      <c r="C23" s="15" t="n"/>
      <c r="D23" s="15" t="n"/>
      <c r="E23" s="15" t="n"/>
      <c r="F23" s="15" t="n"/>
      <c r="G23" s="15" t="n"/>
      <c r="H23" s="15" t="n"/>
    </row>
    <row r="24">
      <c r="A24" s="19" t="inlineStr">
        <is>
          <t>Current assets</t>
        </is>
      </c>
      <c r="B24" s="30" t="n">
        <v>6.4</v>
      </c>
      <c r="C24" s="3" t="n"/>
      <c r="D24" s="3" t="n"/>
      <c r="E24" s="3" t="n"/>
      <c r="F24" s="3" t="n"/>
      <c r="G24" s="3" t="n"/>
      <c r="H24" s="3" t="n"/>
    </row>
    <row r="25">
      <c r="A25" s="19" t="inlineStr">
        <is>
          <t>Property and equipment</t>
        </is>
      </c>
      <c r="B25" s="30" t="n">
        <v>2.2</v>
      </c>
      <c r="C25" s="3" t="n"/>
      <c r="D25" s="3" t="n"/>
      <c r="E25" s="3" t="n"/>
      <c r="F25" s="3" t="n"/>
      <c r="G25" s="3" t="n"/>
      <c r="H25" s="3" t="n"/>
    </row>
    <row r="26">
      <c r="A26" s="19" t="inlineStr">
        <is>
          <t>Intangible assets</t>
        </is>
      </c>
      <c r="B26" s="30" t="n">
        <v>168.3</v>
      </c>
      <c r="C26" s="3" t="n"/>
      <c r="D26" s="3" t="n"/>
      <c r="E26" s="3" t="n"/>
      <c r="F26" s="3" t="n"/>
      <c r="G26" s="3" t="n"/>
      <c r="H26" s="3" t="n"/>
    </row>
    <row r="27">
      <c r="A27" s="19" t="inlineStr">
        <is>
          <t>Goodwill</t>
        </is>
      </c>
      <c r="B27" s="30" t="n">
        <v>330</v>
      </c>
      <c r="C27" s="3" t="n"/>
      <c r="D27" s="3" t="n"/>
      <c r="E27" s="3" t="n"/>
      <c r="F27" s="3" t="n"/>
      <c r="G27" s="3" t="n"/>
      <c r="H27" s="3" t="n"/>
    </row>
    <row r="28">
      <c r="A28" s="19" t="inlineStr">
        <is>
          <t>Other long-term assets</t>
        </is>
      </c>
      <c r="B28" s="30" t="n">
        <v>0</v>
      </c>
      <c r="C28" s="3" t="n"/>
      <c r="D28" s="3" t="n"/>
      <c r="E28" s="3" t="n"/>
      <c r="F28" s="3" t="n"/>
      <c r="G28" s="3" t="n"/>
      <c r="H28" s="3" t="n"/>
    </row>
    <row r="29">
      <c r="A29" s="19" t="inlineStr">
        <is>
          <t>Total assets</t>
        </is>
      </c>
      <c r="B29" s="30" t="n">
        <v>506.9</v>
      </c>
      <c r="C29" s="3" t="n"/>
      <c r="D29" s="3" t="n"/>
      <c r="E29" s="3" t="n"/>
      <c r="F29" s="3" t="n"/>
      <c r="G29" s="3" t="n"/>
      <c r="H29" s="3" t="n"/>
    </row>
    <row r="30">
      <c r="A30" s="19" t="inlineStr">
        <is>
          <t>Current liabilities</t>
        </is>
      </c>
      <c r="B30" s="30" t="n">
        <v>2.7</v>
      </c>
      <c r="C30" s="3" t="n"/>
      <c r="D30" s="3" t="n"/>
      <c r="E30" s="3" t="n"/>
      <c r="F30" s="3" t="n"/>
      <c r="G30" s="3" t="n"/>
      <c r="H30" s="3" t="n"/>
    </row>
    <row r="31">
      <c r="A31" s="19" t="inlineStr">
        <is>
          <t>Deferred revenue</t>
        </is>
      </c>
      <c r="B31" s="30" t="n">
        <v>0.2</v>
      </c>
      <c r="C31" s="3" t="n"/>
      <c r="D31" s="3" t="n"/>
      <c r="E31" s="3" t="n"/>
      <c r="F31" s="3" t="n"/>
      <c r="G31" s="3" t="n"/>
      <c r="H31" s="3" t="n"/>
    </row>
    <row r="32">
      <c r="A32" s="19" t="inlineStr">
        <is>
          <t>Deferred taxes</t>
        </is>
      </c>
      <c r="B32" s="30" t="n">
        <v>44.5</v>
      </c>
      <c r="C32" s="3" t="n"/>
      <c r="D32" s="3" t="n"/>
      <c r="E32" s="3" t="n"/>
      <c r="F32" s="3" t="n"/>
      <c r="G32" s="3" t="n"/>
      <c r="H32" s="3" t="n"/>
    </row>
    <row r="33">
      <c r="A33" s="19" t="inlineStr">
        <is>
          <t>Long-term debt</t>
        </is>
      </c>
      <c r="B33" s="30" t="n">
        <v>0</v>
      </c>
      <c r="C33" s="3" t="n"/>
      <c r="D33" s="3" t="n"/>
      <c r="E33" s="3" t="n"/>
      <c r="F33" s="3" t="n"/>
      <c r="G33" s="3" t="n"/>
      <c r="H33" s="3" t="n"/>
    </row>
    <row r="34">
      <c r="A34" s="19" t="inlineStr">
        <is>
          <t>Other long-term liabilities</t>
        </is>
      </c>
      <c r="B34" s="30" t="n">
        <v>0.3</v>
      </c>
      <c r="C34" s="3" t="n"/>
      <c r="D34" s="3" t="n"/>
      <c r="E34" s="3" t="n"/>
      <c r="F34" s="3" t="n"/>
      <c r="G34" s="3" t="n"/>
      <c r="H34" s="3" t="n"/>
    </row>
    <row r="35">
      <c r="A35" s="19" t="inlineStr">
        <is>
          <t>Noncontrolling interest</t>
        </is>
      </c>
      <c r="B35" s="30" t="n">
        <v>0</v>
      </c>
      <c r="C35" s="3" t="n"/>
      <c r="D35" s="3" t="n"/>
      <c r="E35" s="3" t="n"/>
      <c r="F35" s="3" t="n"/>
      <c r="G35" s="3" t="n"/>
      <c r="H35" s="3" t="n"/>
    </row>
    <row r="36">
      <c r="A36" s="19" t="inlineStr">
        <is>
          <t>Total liabilities and noncontrolling interest</t>
        </is>
      </c>
      <c r="B36" s="30" t="n">
        <v>47.7</v>
      </c>
      <c r="C36" s="3" t="n"/>
      <c r="D36" s="3" t="n"/>
      <c r="E36" s="3" t="n"/>
      <c r="F36" s="3" t="n"/>
      <c r="G36" s="3" t="n"/>
      <c r="H36" s="3" t="n"/>
    </row>
    <row r="37">
      <c r="A37" s="19" t="inlineStr">
        <is>
          <t>Purchase price, net of cash acquired</t>
        </is>
      </c>
      <c r="B37" s="30" t="n">
        <v>459.2</v>
      </c>
      <c r="C37" s="3" t="n"/>
      <c r="D37" s="3" t="n"/>
      <c r="E37" s="3" t="n"/>
      <c r="F37" s="3" t="n"/>
      <c r="G37" s="3" t="n"/>
      <c r="H37" s="3" t="n"/>
    </row>
    <row r="38">
      <c r="A38" s="14" t="inlineStr">
        <is>
          <t>Deal terms</t>
        </is>
      </c>
      <c r="B38" s="15" t="n"/>
      <c r="C38" s="15" t="n"/>
      <c r="D38" s="15" t="n"/>
      <c r="E38" s="15" t="n"/>
      <c r="F38" s="15" t="n"/>
      <c r="G38" s="15" t="n"/>
      <c r="H38" s="15" t="n"/>
    </row>
    <row r="39">
      <c r="A39" s="19" t="inlineStr">
        <is>
          <t>Acquisition date (aM)</t>
        </is>
      </c>
      <c r="B39" s="3" t="n"/>
      <c r="C39" s="42" t="inlineStr">
        <is>
          <t>2017-09-25</t>
        </is>
      </c>
      <c r="D39" s="3" t="n"/>
      <c r="E39" s="3" t="n"/>
      <c r="F39" s="3" t="n"/>
      <c r="G39" s="3" t="n"/>
      <c r="H39" s="3" t="n"/>
    </row>
    <row r="40">
      <c r="A40" s="19" t="inlineStr">
        <is>
          <t>Initial cash consideration for 78% of aM (approximately; incl. estimated contingent consideration)</t>
        </is>
      </c>
      <c r="B40" s="3" t="n"/>
      <c r="C40" s="30" t="n">
        <v>432</v>
      </c>
      <c r="D40" s="3" t="n"/>
      <c r="E40" s="3" t="n"/>
      <c r="F40" s="3" t="n"/>
      <c r="G40" s="3" t="n"/>
      <c r="H40" s="3" t="n"/>
    </row>
    <row r="41">
      <c r="A41" s="19" t="inlineStr">
        <is>
          <t>of which estimated contingent consideration (payable Q2 2018)</t>
        </is>
      </c>
      <c r="B41" s="3" t="n"/>
      <c r="C41" s="30" t="n">
        <v>43</v>
      </c>
      <c r="D41" s="3" t="n"/>
      <c r="E41" s="3" t="n"/>
      <c r="F41" s="3" t="n"/>
      <c r="G41" s="3" t="n"/>
      <c r="H41" s="3" t="n"/>
    </row>
    <row r="42">
      <c r="A42" s="19" t="inlineStr">
        <is>
          <t>Stake acquired</t>
        </is>
      </c>
      <c r="B42" s="3" t="n"/>
      <c r="C42" s="41" t="n">
        <v>78</v>
      </c>
      <c r="D42" s="3" t="n"/>
      <c r="E42" s="3" t="n"/>
      <c r="F42" s="3" t="n"/>
      <c r="G42" s="3" t="n"/>
      <c r="H42" s="3" t="n"/>
    </row>
    <row r="43">
      <c r="A43" s="19" t="inlineStr">
        <is>
          <t>Remaining 22%: unrecognized compensation expense estimate - low (preliminary)</t>
        </is>
      </c>
      <c r="B43" s="3" t="n"/>
      <c r="C43" s="30" t="n">
        <v>200</v>
      </c>
      <c r="D43" s="3" t="n"/>
      <c r="E43" s="3" t="n"/>
      <c r="F43" s="3" t="n"/>
      <c r="G43" s="3" t="n"/>
      <c r="H43" s="3" t="n"/>
    </row>
    <row r="44">
      <c r="A44" s="19" t="inlineStr">
        <is>
          <t>Remaining 22%: unrecognized compensation expense estimate - high (preliminary)</t>
        </is>
      </c>
      <c r="B44" s="3" t="n"/>
      <c r="C44" s="30" t="n">
        <v>225</v>
      </c>
      <c r="D44" s="3" t="n"/>
      <c r="E44" s="3" t="n"/>
      <c r="F44" s="3" t="n"/>
      <c r="G44" s="3" t="n"/>
      <c r="H44" s="3" t="n"/>
    </row>
    <row r="45">
      <c r="A45" s="19" t="inlineStr">
        <is>
          <t>Remaining 22%: compensation expense estimate - low (revised Q3 2018)</t>
        </is>
      </c>
      <c r="B45" s="3" t="n"/>
      <c r="C45" s="30" t="n">
        <v>150</v>
      </c>
      <c r="D45" s="3" t="n"/>
      <c r="E45" s="3" t="n"/>
      <c r="F45" s="3" t="n"/>
      <c r="G45" s="3" t="n"/>
      <c r="H45" s="3" t="n"/>
    </row>
    <row r="46">
      <c r="A46" s="19" t="inlineStr">
        <is>
          <t>Remaining 22%: compensation expense estimate - high (revised Q3 2018)</t>
        </is>
      </c>
      <c r="B46" s="3" t="n"/>
      <c r="C46" s="30" t="n">
        <v>175</v>
      </c>
      <c r="D46" s="3" t="n"/>
      <c r="E46" s="3" t="n"/>
      <c r="F46" s="3" t="n"/>
      <c r="G46" s="3" t="n"/>
      <c r="H46" s="3" t="n"/>
    </row>
    <row r="47">
      <c r="A47" s="14" t="inlineStr">
        <is>
          <t>PPA preliminary (aM + MEA total, net of acquired cash)</t>
        </is>
      </c>
      <c r="B47" s="15" t="n"/>
      <c r="C47" s="15" t="n"/>
      <c r="D47" s="15" t="n"/>
      <c r="E47" s="15" t="n"/>
      <c r="F47" s="15" t="n"/>
      <c r="G47" s="15" t="n"/>
      <c r="H47" s="15" t="n"/>
    </row>
    <row r="48">
      <c r="A48" s="19" t="inlineStr">
        <is>
          <t>Current assets</t>
        </is>
      </c>
      <c r="B48" s="3" t="n"/>
      <c r="C48" s="30" t="n">
        <v>7.3</v>
      </c>
      <c r="D48" s="3" t="n"/>
      <c r="E48" s="3" t="n"/>
      <c r="F48" s="3" t="n"/>
      <c r="G48" s="3" t="n"/>
      <c r="H48" s="3" t="n"/>
    </row>
    <row r="49">
      <c r="A49" s="19" t="inlineStr">
        <is>
          <t>Property and equipment</t>
        </is>
      </c>
      <c r="B49" s="3" t="n"/>
      <c r="C49" s="30" t="n">
        <v>1.1</v>
      </c>
      <c r="D49" s="3" t="n"/>
      <c r="E49" s="3" t="n"/>
      <c r="F49" s="3" t="n"/>
      <c r="G49" s="3" t="n"/>
      <c r="H49" s="3" t="n"/>
    </row>
    <row r="50">
      <c r="A50" s="19" t="inlineStr">
        <is>
          <t>Intangible assets</t>
        </is>
      </c>
      <c r="B50" s="3" t="n"/>
      <c r="C50" s="30" t="n">
        <v>113.8</v>
      </c>
      <c r="D50" s="3" t="n"/>
      <c r="E50" s="3" t="n"/>
      <c r="F50" s="3" t="n"/>
      <c r="G50" s="3" t="n"/>
      <c r="H50" s="3" t="n"/>
    </row>
    <row r="51">
      <c r="A51" s="19" t="inlineStr">
        <is>
          <t>Goodwill</t>
        </is>
      </c>
      <c r="B51" s="3" t="n"/>
      <c r="C51" s="30" t="n">
        <v>370.7</v>
      </c>
      <c r="D51" s="3" t="n"/>
      <c r="E51" s="3" t="n"/>
      <c r="F51" s="3" t="n"/>
      <c r="G51" s="3" t="n"/>
      <c r="H51" s="3" t="n"/>
    </row>
    <row r="52">
      <c r="A52" s="19" t="inlineStr">
        <is>
          <t>Other long-term assets</t>
        </is>
      </c>
      <c r="B52" s="3" t="n"/>
      <c r="C52" s="30" t="n">
        <v>0.9</v>
      </c>
      <c r="D52" s="3" t="n"/>
      <c r="E52" s="3" t="n"/>
      <c r="F52" s="3" t="n"/>
      <c r="G52" s="3" t="n"/>
      <c r="H52" s="3" t="n"/>
    </row>
    <row r="53">
      <c r="A53" s="19" t="inlineStr">
        <is>
          <t>Total assets</t>
        </is>
      </c>
      <c r="B53" s="3" t="n"/>
      <c r="C53" s="30" t="n">
        <v>493.8</v>
      </c>
      <c r="D53" s="3" t="n"/>
      <c r="E53" s="3" t="n"/>
      <c r="F53" s="3" t="n"/>
      <c r="G53" s="3" t="n"/>
      <c r="H53" s="3" t="n"/>
    </row>
    <row r="54">
      <c r="A54" s="19" t="inlineStr">
        <is>
          <t>Current liabilities</t>
        </is>
      </c>
      <c r="B54" s="3" t="n"/>
      <c r="C54" s="30" t="n">
        <v>4.6</v>
      </c>
      <c r="D54" s="3" t="n"/>
      <c r="E54" s="3" t="n"/>
      <c r="F54" s="3" t="n"/>
      <c r="G54" s="3" t="n"/>
      <c r="H54" s="3" t="n"/>
    </row>
    <row r="55">
      <c r="A55" s="19" t="inlineStr">
        <is>
          <t>Deferred revenue</t>
        </is>
      </c>
      <c r="B55" s="3" t="n"/>
      <c r="C55" s="30" t="n">
        <v>1.4</v>
      </c>
      <c r="D55" s="3" t="n"/>
      <c r="E55" s="3" t="n"/>
      <c r="F55" s="3" t="n"/>
      <c r="G55" s="3" t="n"/>
      <c r="H55" s="3" t="n"/>
    </row>
    <row r="56">
      <c r="A56" s="19" t="inlineStr">
        <is>
          <t>Deferred taxes</t>
        </is>
      </c>
      <c r="B56" s="3" t="n"/>
      <c r="C56" s="30" t="n">
        <v>42.9</v>
      </c>
      <c r="D56" s="3" t="n"/>
      <c r="E56" s="3" t="n"/>
      <c r="F56" s="3" t="n"/>
      <c r="G56" s="3" t="n"/>
      <c r="H56" s="3" t="n"/>
    </row>
    <row r="57">
      <c r="A57" s="19" t="inlineStr">
        <is>
          <t>Total liabilities</t>
        </is>
      </c>
      <c r="B57" s="3" t="n"/>
      <c r="C57" s="30" t="n">
        <v>48.9</v>
      </c>
      <c r="D57" s="3" t="n"/>
      <c r="E57" s="3" t="n"/>
      <c r="F57" s="3" t="n"/>
      <c r="G57" s="3" t="n"/>
      <c r="H57" s="3" t="n"/>
    </row>
    <row r="58">
      <c r="A58" s="19" t="inlineStr">
        <is>
          <t>Purchase price</t>
        </is>
      </c>
      <c r="B58" s="3" t="n"/>
      <c r="C58" s="30" t="n">
        <v>444.9</v>
      </c>
      <c r="D58" s="3" t="n"/>
      <c r="E58" s="3" t="n"/>
      <c r="F58" s="3" t="n"/>
      <c r="G58" s="3" t="n"/>
      <c r="H58" s="3" t="n"/>
    </row>
    <row r="59">
      <c r="A59" s="19" t="inlineStr">
        <is>
          <t>Goodwill tax deductible (2017 business combinations)</t>
        </is>
      </c>
      <c r="B59" s="3" t="n"/>
      <c r="C59" s="30" t="n">
        <v>8.4</v>
      </c>
      <c r="D59" s="3" t="n"/>
      <c r="E59" s="3" t="n"/>
      <c r="F59" s="3" t="n"/>
      <c r="G59" s="3" t="n"/>
      <c r="H59" s="3" t="n"/>
    </row>
    <row r="60">
      <c r="A60" s="14" t="inlineStr">
        <is>
          <t>PPA final (aM + MEA total, net of acquired cash)</t>
        </is>
      </c>
      <c r="B60" s="15" t="n"/>
      <c r="C60" s="15" t="n"/>
      <c r="D60" s="15" t="n"/>
      <c r="E60" s="15" t="n"/>
      <c r="F60" s="15" t="n"/>
      <c r="G60" s="15" t="n"/>
      <c r="H60" s="15" t="n"/>
    </row>
    <row r="61">
      <c r="A61" s="19" t="inlineStr">
        <is>
          <t>Current assets</t>
        </is>
      </c>
      <c r="B61" s="3" t="n"/>
      <c r="C61" s="30" t="n">
        <v>7.3</v>
      </c>
      <c r="D61" s="3" t="n"/>
      <c r="E61" s="3" t="n"/>
      <c r="F61" s="3" t="n"/>
      <c r="G61" s="3" t="n"/>
      <c r="H61" s="3" t="n"/>
    </row>
    <row r="62">
      <c r="A62" s="19" t="inlineStr">
        <is>
          <t>Property and equipment</t>
        </is>
      </c>
      <c r="B62" s="3" t="n"/>
      <c r="C62" s="30" t="n">
        <v>1.1</v>
      </c>
      <c r="D62" s="3" t="n"/>
      <c r="E62" s="3" t="n"/>
      <c r="F62" s="3" t="n"/>
      <c r="G62" s="3" t="n"/>
      <c r="H62" s="3" t="n"/>
    </row>
    <row r="63">
      <c r="A63" s="19" t="inlineStr">
        <is>
          <t>Intangible assets</t>
        </is>
      </c>
      <c r="B63" s="3" t="n"/>
      <c r="C63" s="30" t="n">
        <v>113.8</v>
      </c>
      <c r="D63" s="3" t="n"/>
      <c r="E63" s="3" t="n"/>
      <c r="F63" s="3" t="n"/>
      <c r="G63" s="3" t="n"/>
      <c r="H63" s="3" t="n"/>
    </row>
    <row r="64">
      <c r="A64" s="19" t="inlineStr">
        <is>
          <t>Goodwill</t>
        </is>
      </c>
      <c r="B64" s="3" t="n"/>
      <c r="C64" s="30" t="n">
        <v>363</v>
      </c>
      <c r="D64" s="3" t="n"/>
      <c r="E64" s="3" t="n"/>
      <c r="F64" s="3" t="n"/>
      <c r="G64" s="3" t="n"/>
      <c r="H64" s="3" t="n"/>
    </row>
    <row r="65">
      <c r="A65" s="19" t="inlineStr">
        <is>
          <t>Other long-term assets</t>
        </is>
      </c>
      <c r="B65" s="3" t="n"/>
      <c r="C65" s="30" t="n">
        <v>0.9</v>
      </c>
      <c r="D65" s="3" t="n"/>
      <c r="E65" s="3" t="n"/>
      <c r="F65" s="3" t="n"/>
      <c r="G65" s="3" t="n"/>
      <c r="H65" s="3" t="n"/>
    </row>
    <row r="66">
      <c r="A66" s="19" t="inlineStr">
        <is>
          <t>Total assets</t>
        </is>
      </c>
      <c r="B66" s="3" t="n"/>
      <c r="C66" s="30" t="n">
        <v>486.1</v>
      </c>
      <c r="D66" s="3" t="n"/>
      <c r="E66" s="3" t="n"/>
      <c r="F66" s="3" t="n"/>
      <c r="G66" s="3" t="n"/>
      <c r="H66" s="3" t="n"/>
    </row>
    <row r="67">
      <c r="A67" s="19" t="inlineStr">
        <is>
          <t>Current liabilities</t>
        </is>
      </c>
      <c r="B67" s="3" t="n"/>
      <c r="C67" s="30" t="n">
        <v>4.4</v>
      </c>
      <c r="D67" s="3" t="n"/>
      <c r="E67" s="3" t="n"/>
      <c r="F67" s="3" t="n"/>
      <c r="G67" s="3" t="n"/>
      <c r="H67" s="3" t="n"/>
    </row>
    <row r="68">
      <c r="A68" s="19" t="inlineStr">
        <is>
          <t>Deferred revenue</t>
        </is>
      </c>
      <c r="B68" s="3" t="n"/>
      <c r="C68" s="30" t="n">
        <v>1.4</v>
      </c>
      <c r="D68" s="3" t="n"/>
      <c r="E68" s="3" t="n"/>
      <c r="F68" s="3" t="n"/>
      <c r="G68" s="3" t="n"/>
      <c r="H68" s="3" t="n"/>
    </row>
    <row r="69">
      <c r="A69" s="19" t="inlineStr">
        <is>
          <t>Deferred taxes</t>
        </is>
      </c>
      <c r="B69" s="3" t="n"/>
      <c r="C69" s="30" t="n">
        <v>36.2</v>
      </c>
      <c r="D69" s="3" t="n"/>
      <c r="E69" s="3" t="n"/>
      <c r="F69" s="3" t="n"/>
      <c r="G69" s="3" t="n"/>
      <c r="H69" s="3" t="n"/>
    </row>
    <row r="70">
      <c r="A70" s="19" t="inlineStr">
        <is>
          <t>Total liabilities</t>
        </is>
      </c>
      <c r="B70" s="3" t="n"/>
      <c r="C70" s="30" t="n">
        <v>42</v>
      </c>
      <c r="D70" s="3" t="n"/>
      <c r="E70" s="3" t="n"/>
      <c r="F70" s="3" t="n"/>
      <c r="G70" s="3" t="n"/>
      <c r="H70" s="3" t="n"/>
    </row>
    <row r="71">
      <c r="A71" s="19" t="inlineStr">
        <is>
          <t>Purchase price</t>
        </is>
      </c>
      <c r="B71" s="3" t="n"/>
      <c r="C71" s="30" t="n">
        <v>444.1</v>
      </c>
      <c r="D71" s="3" t="n"/>
      <c r="E71" s="3" t="n"/>
      <c r="F71" s="3" t="n"/>
      <c r="G71" s="3" t="n"/>
      <c r="H71" s="3" t="n"/>
    </row>
    <row r="72">
      <c r="A72" s="19" t="inlineStr">
        <is>
          <t>Goodwill tax deductible (2017 business combinations)</t>
        </is>
      </c>
      <c r="B72" s="3" t="n"/>
      <c r="C72" s="30" t="n">
        <v>8.4</v>
      </c>
      <c r="D72" s="3" t="n"/>
      <c r="E72" s="3" t="n"/>
      <c r="F72" s="3" t="n"/>
      <c r="G72" s="3" t="n"/>
      <c r="H72" s="3" t="n"/>
    </row>
    <row r="73">
      <c r="A73" s="14" t="inlineStr">
        <is>
          <t>Deal terms</t>
        </is>
      </c>
      <c r="B73" s="15" t="n"/>
      <c r="C73" s="15" t="n"/>
      <c r="D73" s="15" t="n"/>
      <c r="E73" s="15" t="n"/>
      <c r="F73" s="15" t="n"/>
      <c r="G73" s="15" t="n"/>
      <c r="H73" s="15" t="n"/>
    </row>
    <row r="74">
      <c r="A74" s="19" t="inlineStr">
        <is>
          <t>Total purchase consideration</t>
        </is>
      </c>
      <c r="B74" s="3" t="n"/>
      <c r="C74" s="3" t="n"/>
      <c r="D74" s="30" t="n">
        <v>223</v>
      </c>
      <c r="E74" s="3" t="n"/>
      <c r="F74" s="3" t="n"/>
      <c r="G74" s="3" t="n"/>
      <c r="H74" s="3" t="n"/>
    </row>
    <row r="75">
      <c r="A75" s="19" t="inlineStr">
        <is>
          <t>Cash consideration</t>
        </is>
      </c>
      <c r="B75" s="3" t="n"/>
      <c r="C75" s="3" t="n"/>
      <c r="D75" s="30" t="n">
        <v>214</v>
      </c>
      <c r="E75" s="3" t="n"/>
      <c r="F75" s="3" t="n"/>
      <c r="G75" s="3" t="n"/>
      <c r="H75" s="3" t="n"/>
    </row>
    <row r="76">
      <c r="A76" s="19" t="inlineStr">
        <is>
          <t>Contingent consideration liability (fair value; in Other non-current liabilities)</t>
        </is>
      </c>
      <c r="B76" s="3" t="n"/>
      <c r="C76" s="3" t="n"/>
      <c r="D76" s="30" t="n">
        <v>9</v>
      </c>
      <c r="E76" s="3" t="n"/>
      <c r="F76" s="3" t="n"/>
      <c r="G76" s="3" t="n"/>
      <c r="H76" s="3" t="n"/>
    </row>
    <row r="77">
      <c r="A77" s="14" t="inlineStr">
        <is>
          <t>PPA final</t>
        </is>
      </c>
      <c r="B77" s="15" t="n"/>
      <c r="C77" s="15" t="n"/>
      <c r="D77" s="15" t="n"/>
      <c r="E77" s="15" t="n"/>
      <c r="F77" s="15" t="n"/>
      <c r="G77" s="15" t="n"/>
      <c r="H77" s="15" t="n"/>
    </row>
    <row r="78">
      <c r="A78" s="19" t="inlineStr">
        <is>
          <t>Current assets</t>
        </is>
      </c>
      <c r="B78" s="3" t="n"/>
      <c r="C78" s="3" t="n"/>
      <c r="D78" s="30" t="n">
        <v>4</v>
      </c>
      <c r="E78" s="3" t="n"/>
      <c r="F78" s="3" t="n"/>
      <c r="G78" s="3" t="n"/>
      <c r="H78" s="3" t="n"/>
    </row>
    <row r="79">
      <c r="A79" s="19" t="inlineStr">
        <is>
          <t>Property and equipment</t>
        </is>
      </c>
      <c r="B79" s="3" t="n"/>
      <c r="C79" s="3" t="n"/>
      <c r="D79" s="30" t="n">
        <v>1</v>
      </c>
      <c r="E79" s="3" t="n"/>
      <c r="F79" s="3" t="n"/>
      <c r="G79" s="3" t="n"/>
      <c r="H79" s="3" t="n"/>
    </row>
    <row r="80">
      <c r="A80" s="19" t="inlineStr">
        <is>
          <t>Right of use assets</t>
        </is>
      </c>
      <c r="B80" s="3" t="n"/>
      <c r="C80" s="3" t="n"/>
      <c r="D80" s="30" t="n">
        <v>1</v>
      </c>
      <c r="E80" s="3" t="n"/>
      <c r="F80" s="3" t="n"/>
      <c r="G80" s="3" t="n"/>
      <c r="H80" s="3" t="n"/>
    </row>
    <row r="81">
      <c r="A81" s="19" t="inlineStr">
        <is>
          <t>Goodwill</t>
        </is>
      </c>
      <c r="B81" s="3" t="n"/>
      <c r="C81" s="3" t="n"/>
      <c r="D81" s="30" t="n">
        <v>150</v>
      </c>
      <c r="E81" s="3" t="n"/>
      <c r="F81" s="3" t="n"/>
      <c r="G81" s="3" t="n"/>
      <c r="H81" s="3" t="n"/>
    </row>
    <row r="82">
      <c r="A82" s="19" t="inlineStr">
        <is>
          <t>Other intangible assets</t>
        </is>
      </c>
      <c r="B82" s="3" t="n"/>
      <c r="C82" s="3" t="n"/>
      <c r="D82" s="30" t="n">
        <v>97</v>
      </c>
      <c r="E82" s="3" t="n"/>
      <c r="F82" s="3" t="n"/>
      <c r="G82" s="3" t="n"/>
      <c r="H82" s="3" t="n"/>
    </row>
    <row r="83">
      <c r="A83" s="19" t="inlineStr">
        <is>
          <t>Total assets acquired</t>
        </is>
      </c>
      <c r="B83" s="3" t="n"/>
      <c r="C83" s="3" t="n"/>
      <c r="D83" s="30" t="n">
        <v>253</v>
      </c>
      <c r="E83" s="3" t="n"/>
      <c r="F83" s="3" t="n"/>
      <c r="G83" s="3" t="n"/>
      <c r="H83" s="3" t="n"/>
    </row>
    <row r="84">
      <c r="A84" s="19" t="inlineStr">
        <is>
          <t>Accounts payable</t>
        </is>
      </c>
      <c r="B84" s="3" t="n"/>
      <c r="C84" s="3" t="n"/>
      <c r="D84" s="30" t="n">
        <v>2</v>
      </c>
      <c r="E84" s="3" t="n"/>
      <c r="F84" s="3" t="n"/>
      <c r="G84" s="3" t="n"/>
      <c r="H84" s="3" t="n"/>
    </row>
    <row r="85">
      <c r="A85" s="19" t="inlineStr">
        <is>
          <t>Unearned revenue</t>
        </is>
      </c>
      <c r="B85" s="3" t="n"/>
      <c r="C85" s="3" t="n"/>
      <c r="D85" s="30" t="n">
        <v>22</v>
      </c>
      <c r="E85" s="3" t="n"/>
      <c r="F85" s="3" t="n"/>
      <c r="G85" s="3" t="n"/>
      <c r="H85" s="3" t="n"/>
    </row>
    <row r="86">
      <c r="A86" s="19" t="inlineStr">
        <is>
          <t>Lease liabilities - non-current</t>
        </is>
      </c>
      <c r="B86" s="3" t="n"/>
      <c r="C86" s="3" t="n"/>
      <c r="D86" s="30" t="n">
        <v>1</v>
      </c>
      <c r="E86" s="3" t="n"/>
      <c r="F86" s="3" t="n"/>
      <c r="G86" s="3" t="n"/>
      <c r="H86" s="3" t="n"/>
    </row>
    <row r="87">
      <c r="A87" s="19" t="inlineStr">
        <is>
          <t>Deferred tax liability - non-current</t>
        </is>
      </c>
      <c r="B87" s="3" t="n"/>
      <c r="C87" s="3" t="n"/>
      <c r="D87" s="30" t="n">
        <v>25</v>
      </c>
      <c r="E87" s="3" t="n"/>
      <c r="F87" s="3" t="n"/>
      <c r="G87" s="3" t="n"/>
      <c r="H87" s="3" t="n"/>
    </row>
    <row r="88">
      <c r="A88" s="19" t="inlineStr">
        <is>
          <t>Other non-current liabilities</t>
        </is>
      </c>
      <c r="B88" s="3" t="n"/>
      <c r="C88" s="3" t="n"/>
      <c r="D88" s="30" t="n">
        <v>9</v>
      </c>
      <c r="E88" s="3" t="n"/>
      <c r="F88" s="3" t="n"/>
      <c r="G88" s="3" t="n"/>
      <c r="H88" s="3" t="n"/>
    </row>
    <row r="89">
      <c r="A89" s="19" t="inlineStr">
        <is>
          <t>Total liabilities assumed</t>
        </is>
      </c>
      <c r="B89" s="3" t="n"/>
      <c r="C89" s="3" t="n"/>
      <c r="D89" s="30" t="n">
        <v>39</v>
      </c>
      <c r="E89" s="3" t="n"/>
      <c r="F89" s="3" t="n"/>
      <c r="G89" s="3" t="n"/>
      <c r="H89" s="3" t="n"/>
    </row>
    <row r="90">
      <c r="A90" s="19" t="inlineStr">
        <is>
          <t>Net assets acquired</t>
        </is>
      </c>
      <c r="B90" s="3" t="n"/>
      <c r="C90" s="3" t="n"/>
      <c r="D90" s="30" t="n">
        <v>214</v>
      </c>
      <c r="E90" s="3" t="n"/>
      <c r="F90" s="3" t="n"/>
      <c r="G90" s="3" t="n"/>
      <c r="H90" s="3" t="n"/>
    </row>
    <row r="91">
      <c r="A91" s="14" t="inlineStr">
        <is>
          <t>Acquired identifiable intangibles - fair value</t>
        </is>
      </c>
      <c r="B91" s="15" t="n"/>
      <c r="C91" s="15" t="n"/>
      <c r="D91" s="15" t="n"/>
      <c r="E91" s="15" t="n"/>
      <c r="F91" s="15" t="n"/>
      <c r="G91" s="15" t="n"/>
      <c r="H91" s="15" t="n"/>
    </row>
    <row r="92">
      <c r="A92" s="19" t="inlineStr">
        <is>
          <t>Databases and software</t>
        </is>
      </c>
      <c r="B92" s="3" t="n"/>
      <c r="C92" s="3" t="n"/>
      <c r="D92" s="30" t="n">
        <v>10</v>
      </c>
      <c r="E92" s="3" t="n"/>
      <c r="F92" s="3" t="n"/>
      <c r="G92" s="3" t="n"/>
      <c r="H92" s="3" t="n"/>
    </row>
    <row r="93">
      <c r="A93" s="14" t="inlineStr">
        <is>
          <t>Acquired identifiable intangibles - weighted average useful life</t>
        </is>
      </c>
      <c r="B93" s="15" t="n"/>
      <c r="C93" s="15" t="n"/>
      <c r="D93" s="15" t="n"/>
      <c r="E93" s="15" t="n"/>
      <c r="F93" s="15" t="n"/>
      <c r="G93" s="15" t="n"/>
      <c r="H93" s="15" t="n"/>
    </row>
    <row r="94">
      <c r="A94" s="19" t="inlineStr">
        <is>
          <t>Databases and software</t>
        </is>
      </c>
      <c r="B94" s="3" t="n"/>
      <c r="C94" s="3" t="n"/>
      <c r="D94" s="30" t="n">
        <v>8</v>
      </c>
      <c r="E94" s="3" t="n"/>
      <c r="F94" s="3" t="n"/>
      <c r="G94" s="3" t="n"/>
      <c r="H94" s="3" t="n"/>
    </row>
    <row r="95">
      <c r="A95" s="14" t="inlineStr">
        <is>
          <t>Acquired identifiable intangibles - fair value</t>
        </is>
      </c>
      <c r="B95" s="15" t="n"/>
      <c r="C95" s="15" t="n"/>
      <c r="D95" s="15" t="n"/>
      <c r="E95" s="15" t="n"/>
      <c r="F95" s="15" t="n"/>
      <c r="G95" s="15" t="n"/>
      <c r="H95" s="15" t="n"/>
    </row>
    <row r="96">
      <c r="A96" s="19" t="inlineStr">
        <is>
          <t>Customer relationships</t>
        </is>
      </c>
      <c r="B96" s="3" t="n"/>
      <c r="C96" s="3" t="n"/>
      <c r="D96" s="30" t="n">
        <v>81</v>
      </c>
      <c r="E96" s="3" t="n"/>
      <c r="F96" s="3" t="n"/>
      <c r="G96" s="3" t="n"/>
      <c r="H96" s="3" t="n"/>
    </row>
    <row r="97">
      <c r="A97" s="14" t="inlineStr">
        <is>
          <t>Acquired identifiable intangibles - weighted average useful life</t>
        </is>
      </c>
      <c r="B97" s="15" t="n"/>
      <c r="C97" s="15" t="n"/>
      <c r="D97" s="15" t="n"/>
      <c r="E97" s="15" t="n"/>
      <c r="F97" s="15" t="n"/>
      <c r="G97" s="15" t="n"/>
      <c r="H97" s="15" t="n"/>
    </row>
    <row r="98">
      <c r="A98" s="19" t="inlineStr">
        <is>
          <t>Customer relationships</t>
        </is>
      </c>
      <c r="B98" s="3" t="n"/>
      <c r="C98" s="3" t="n"/>
      <c r="D98" s="30" t="n">
        <v>20</v>
      </c>
      <c r="E98" s="3" t="n"/>
      <c r="F98" s="3" t="n"/>
      <c r="G98" s="3" t="n"/>
      <c r="H98" s="3" t="n"/>
    </row>
    <row r="99">
      <c r="A99" s="14" t="inlineStr">
        <is>
          <t>Acquired identifiable intangibles - fair value</t>
        </is>
      </c>
      <c r="B99" s="15" t="n"/>
      <c r="C99" s="15" t="n"/>
      <c r="D99" s="15" t="n"/>
      <c r="E99" s="15" t="n"/>
      <c r="F99" s="15" t="n"/>
      <c r="G99" s="15" t="n"/>
      <c r="H99" s="15" t="n"/>
    </row>
    <row r="100">
      <c r="A100" s="19" t="inlineStr">
        <is>
          <t>Trade names</t>
        </is>
      </c>
      <c r="B100" s="3" t="n"/>
      <c r="C100" s="3" t="n"/>
      <c r="D100" s="30" t="n">
        <v>6</v>
      </c>
      <c r="E100" s="3" t="n"/>
      <c r="F100" s="3" t="n"/>
      <c r="G100" s="3" t="n"/>
      <c r="H100" s="3" t="n"/>
    </row>
    <row r="101">
      <c r="A101" s="14" t="inlineStr">
        <is>
          <t>Acquired identifiable intangibles - weighted average useful life</t>
        </is>
      </c>
      <c r="B101" s="15" t="n"/>
      <c r="C101" s="15" t="n"/>
      <c r="D101" s="15" t="n"/>
      <c r="E101" s="15" t="n"/>
      <c r="F101" s="15" t="n"/>
      <c r="G101" s="15" t="n"/>
      <c r="H101" s="15" t="n"/>
    </row>
    <row r="102">
      <c r="A102" s="19" t="inlineStr">
        <is>
          <t>Trade names</t>
        </is>
      </c>
      <c r="B102" s="3" t="n"/>
      <c r="C102" s="3" t="n"/>
      <c r="D102" s="30" t="n">
        <v>7</v>
      </c>
      <c r="E102" s="3" t="n"/>
      <c r="F102" s="3" t="n"/>
      <c r="G102" s="3" t="n"/>
      <c r="H102" s="3" t="n"/>
    </row>
    <row r="103">
      <c r="A103" s="14" t="inlineStr">
        <is>
          <t>Acquired identifiable intangibles - fair value</t>
        </is>
      </c>
      <c r="B103" s="15" t="n"/>
      <c r="C103" s="15" t="n"/>
      <c r="D103" s="15" t="n"/>
      <c r="E103" s="15" t="n"/>
      <c r="F103" s="15" t="n"/>
      <c r="G103" s="15" t="n"/>
      <c r="H103" s="15" t="n"/>
    </row>
    <row r="104">
      <c r="A104" s="19" t="inlineStr">
        <is>
          <t>Total Identifiable Intangible Assets</t>
        </is>
      </c>
      <c r="B104" s="3" t="n"/>
      <c r="C104" s="3" t="n"/>
      <c r="D104" s="30" t="n">
        <v>97</v>
      </c>
      <c r="E104" s="3" t="n"/>
      <c r="F104" s="3" t="n"/>
      <c r="G104" s="3" t="n"/>
      <c r="H104" s="3" t="n"/>
    </row>
    <row r="105">
      <c r="A105" s="14" t="inlineStr">
        <is>
          <t>Acquired identifiable intangibles - weighted average useful life</t>
        </is>
      </c>
      <c r="B105" s="15" t="n"/>
      <c r="C105" s="15" t="n"/>
      <c r="D105" s="15" t="n"/>
      <c r="E105" s="15" t="n"/>
      <c r="F105" s="15" t="n"/>
      <c r="G105" s="15" t="n"/>
      <c r="H105" s="15" t="n"/>
    </row>
    <row r="106">
      <c r="A106" s="19" t="inlineStr">
        <is>
          <t>Total Identifiable Intangible Assets</t>
        </is>
      </c>
      <c r="B106" s="3" t="n"/>
      <c r="C106" s="3" t="n"/>
      <c r="D106" s="30" t="n">
        <v>18</v>
      </c>
      <c r="E106" s="3" t="n"/>
      <c r="F106" s="3" t="n"/>
      <c r="G106" s="3" t="n"/>
      <c r="H106" s="3" t="n"/>
    </row>
    <row r="107">
      <c r="A107" s="14" t="inlineStr">
        <is>
          <t>Post-acquisition results</t>
        </is>
      </c>
      <c r="B107" s="15" t="n"/>
      <c r="C107" s="15" t="n"/>
      <c r="D107" s="15" t="n"/>
      <c r="E107" s="15" t="n"/>
      <c r="F107" s="15" t="n"/>
      <c r="G107" s="15" t="n"/>
      <c r="H107" s="15" t="n"/>
    </row>
    <row r="108">
      <c r="A108" s="19" t="inlineStr">
        <is>
          <t>Revenue attributable to Market Scan since acquisition (FY2023)</t>
        </is>
      </c>
      <c r="B108" s="3" t="n"/>
      <c r="C108" s="3" t="n"/>
      <c r="D108" s="30" t="n">
        <v>25</v>
      </c>
      <c r="E108" s="3" t="n"/>
      <c r="F108" s="3" t="n"/>
      <c r="G108" s="3" t="n"/>
      <c r="H108" s="3" t="n"/>
    </row>
    <row r="109">
      <c r="A109" s="19" t="inlineStr">
        <is>
          <t>Pre-tax income attributable to Market Scan since acquisition (FY2023)</t>
        </is>
      </c>
      <c r="B109" s="3" t="n"/>
      <c r="C109" s="3" t="n"/>
      <c r="D109" s="30" t="n">
        <v>2</v>
      </c>
      <c r="E109" s="3" t="n"/>
      <c r="F109" s="3" t="n"/>
      <c r="G109" s="3" t="n"/>
      <c r="H109" s="3" t="n"/>
    </row>
    <row r="110">
      <c r="A110" s="14" t="inlineStr">
        <is>
          <t>Acquisition-related expenses</t>
        </is>
      </c>
      <c r="B110" s="15" t="n"/>
      <c r="C110" s="15" t="n"/>
      <c r="D110" s="15" t="n"/>
      <c r="E110" s="15" t="n"/>
      <c r="F110" s="15" t="n"/>
      <c r="G110" s="15" t="n"/>
      <c r="H110" s="15" t="n"/>
    </row>
    <row r="111">
      <c r="A111" s="19" t="inlineStr">
        <is>
          <t>Acquisition-related costs (selling and general) FY2024</t>
        </is>
      </c>
      <c r="B111" s="3" t="n"/>
      <c r="C111" s="3" t="n"/>
      <c r="D111" s="30" t="n">
        <v>2</v>
      </c>
      <c r="E111" s="3" t="n"/>
      <c r="F111" s="3" t="n"/>
      <c r="G111" s="3" t="n"/>
      <c r="H111" s="3" t="n"/>
    </row>
    <row r="112">
      <c r="A112" s="19" t="inlineStr">
        <is>
          <t>Acquisition-related costs (selling and general) FY2023</t>
        </is>
      </c>
      <c r="B112" s="3" t="n"/>
      <c r="C112" s="3" t="n"/>
      <c r="D112" s="30" t="n">
        <v>3</v>
      </c>
      <c r="E112" s="3" t="n"/>
      <c r="F112" s="3" t="n"/>
      <c r="G112" s="3" t="n"/>
      <c r="H112" s="3" t="n"/>
    </row>
    <row r="113">
      <c r="A113" s="14" t="inlineStr">
        <is>
          <t>Revenue impact</t>
        </is>
      </c>
      <c r="B113" s="15" t="n"/>
      <c r="C113" s="15" t="n"/>
      <c r="D113" s="15" t="n"/>
      <c r="E113" s="15" t="n"/>
      <c r="F113" s="15" t="n"/>
      <c r="G113" s="15" t="n"/>
      <c r="H113" s="15" t="n"/>
    </row>
    <row r="114">
      <c r="A114" s="19" t="inlineStr">
        <is>
          <t>Favourable impact on 2024 vs 2023 revenue growth</t>
        </is>
      </c>
      <c r="B114" s="3" t="n"/>
      <c r="C114" s="3" t="n"/>
      <c r="D114" s="30" t="n">
        <v>3</v>
      </c>
      <c r="E114" s="3" t="n"/>
      <c r="F114" s="3" t="n"/>
      <c r="G114" s="3" t="n"/>
      <c r="H114" s="3" t="n"/>
    </row>
    <row r="115">
      <c r="A115" s="14" t="inlineStr">
        <is>
          <t>Cash flow</t>
        </is>
      </c>
      <c r="B115" s="15" t="n"/>
      <c r="C115" s="15" t="n"/>
      <c r="D115" s="15" t="n"/>
      <c r="E115" s="15" t="n"/>
      <c r="F115" s="15" t="n"/>
      <c r="G115" s="15" t="n"/>
      <c r="H115" s="15" t="n"/>
    </row>
    <row r="116">
      <c r="A116" s="19" t="inlineStr">
        <is>
          <t>Cash used for investing FY2023 (total; 'primarily' Market Scan acquisition - acquisition line not separately legible)</t>
        </is>
      </c>
      <c r="B116" s="3" t="n"/>
      <c r="C116" s="3" t="n"/>
      <c r="D116" s="30" t="n">
        <v>-230</v>
      </c>
      <c r="E116" s="3" t="n"/>
      <c r="F116" s="3" t="n"/>
      <c r="G116" s="3" t="n"/>
      <c r="H116" s="3" t="n"/>
    </row>
    <row r="117">
      <c r="A117" s="14" t="inlineStr">
        <is>
          <t>Deal terms</t>
        </is>
      </c>
      <c r="B117" s="15" t="n"/>
      <c r="C117" s="15" t="n"/>
      <c r="D117" s="15" t="n"/>
      <c r="E117" s="15" t="n"/>
      <c r="F117" s="15" t="n"/>
      <c r="G117" s="15" t="n"/>
      <c r="H117" s="15" t="n"/>
    </row>
    <row r="118">
      <c r="A118" s="19" t="inlineStr">
        <is>
          <t>Disposition month</t>
        </is>
      </c>
      <c r="B118" s="3" t="n"/>
      <c r="C118" s="3" t="n"/>
      <c r="D118" s="3" t="n"/>
      <c r="E118" s="42" t="inlineStr">
        <is>
          <t>2023-08</t>
        </is>
      </c>
      <c r="F118" s="3" t="n"/>
      <c r="G118" s="3" t="n"/>
      <c r="H118" s="3" t="n"/>
    </row>
    <row r="119">
      <c r="A119" s="19" t="inlineStr">
        <is>
          <t>Loss on disposition (in Other income, net)</t>
        </is>
      </c>
      <c r="B119" s="3" t="n"/>
      <c r="C119" s="3" t="n"/>
      <c r="D119" s="3" t="n"/>
      <c r="E119" s="42" t="inlineStr">
        <is>
          <t>less than 1</t>
        </is>
      </c>
      <c r="F119" s="3" t="n"/>
      <c r="G119" s="3" t="n"/>
      <c r="H119" s="3" t="n"/>
    </row>
    <row r="120">
      <c r="A120" s="14" t="inlineStr">
        <is>
          <t>Revenue impact</t>
        </is>
      </c>
      <c r="B120" s="15" t="n"/>
      <c r="C120" s="15" t="n"/>
      <c r="D120" s="15" t="n"/>
      <c r="E120" s="15" t="n"/>
      <c r="F120" s="15" t="n"/>
      <c r="G120" s="15" t="n"/>
      <c r="H120" s="15" t="n"/>
    </row>
    <row r="121">
      <c r="A121" s="19" t="inlineStr">
        <is>
          <t>Unfavourable impact on 2024 vs 2023 revenue growth</t>
        </is>
      </c>
      <c r="B121" s="3" t="n"/>
      <c r="C121" s="3" t="n"/>
      <c r="D121" s="3" t="n"/>
      <c r="E121" s="30" t="n">
        <v>-5</v>
      </c>
      <c r="F121" s="3" t="n"/>
      <c r="G121" s="3" t="n"/>
      <c r="H121" s="3" t="n"/>
    </row>
    <row r="122">
      <c r="A122" s="14" t="inlineStr">
        <is>
          <t>Deal terms</t>
        </is>
      </c>
      <c r="B122" s="15" t="n"/>
      <c r="C122" s="15" t="n"/>
      <c r="D122" s="15" t="n"/>
      <c r="E122" s="15" t="n"/>
      <c r="F122" s="15" t="n"/>
      <c r="G122" s="15" t="n"/>
      <c r="H122" s="15" t="n"/>
    </row>
    <row r="123">
      <c r="A123" s="19" t="inlineStr">
        <is>
          <t>Consideration</t>
        </is>
      </c>
      <c r="B123" s="3" t="n"/>
      <c r="C123" s="3" t="n"/>
      <c r="D123" s="3" t="n"/>
      <c r="E123" s="42" t="inlineStr">
        <is>
          <t>not printed</t>
        </is>
      </c>
      <c r="F123" s="3" t="n"/>
      <c r="G123" s="3" t="n"/>
      <c r="H123" s="3" t="n"/>
    </row>
    <row r="124">
      <c r="A124" s="14" t="inlineStr">
        <is>
          <t>Consideration (expected)</t>
        </is>
      </c>
      <c r="B124" s="15" t="n"/>
      <c r="C124" s="15" t="n"/>
      <c r="D124" s="15" t="n"/>
      <c r="E124" s="15" t="n"/>
      <c r="F124" s="15" t="n"/>
      <c r="G124" s="15" t="n"/>
      <c r="H124" s="15" t="n"/>
    </row>
    <row r="125">
      <c r="A125" s="19" t="inlineStr">
        <is>
          <t>Cash payment to S&amp;P Global as consideration for transfer of assets, liabilities and entities (approximately)</t>
        </is>
      </c>
      <c r="B125" s="3" t="n"/>
      <c r="C125" s="3" t="n"/>
      <c r="D125" s="3" t="n"/>
      <c r="E125" s="3" t="n"/>
      <c r="F125" s="30" t="n">
        <v>1900</v>
      </c>
      <c r="G125" s="3" t="n"/>
      <c r="H125" s="3" t="n"/>
    </row>
    <row r="126">
      <c r="A126" s="14" t="inlineStr">
        <is>
          <t>Pro forma APIC adjustment (3/31/26)</t>
        </is>
      </c>
      <c r="B126" s="15" t="n"/>
      <c r="C126" s="15" t="n"/>
      <c r="D126" s="15" t="n"/>
      <c r="E126" s="15" t="n"/>
      <c r="F126" s="15" t="n"/>
      <c r="G126" s="15" t="n"/>
      <c r="H126" s="15" t="n"/>
    </row>
    <row r="127">
      <c r="A127" s="19" t="inlineStr">
        <is>
          <t>Cash distribution to S&amp;P Global</t>
        </is>
      </c>
      <c r="B127" s="3" t="n"/>
      <c r="C127" s="3" t="n"/>
      <c r="D127" s="3" t="n"/>
      <c r="E127" s="3" t="n"/>
      <c r="F127" s="30" t="n">
        <v>-1900</v>
      </c>
      <c r="G127" s="3" t="n"/>
      <c r="H127" s="3" t="n"/>
    </row>
    <row r="128">
      <c r="A128" s="19" t="inlineStr">
        <is>
          <t>Settlement of related party balances</t>
        </is>
      </c>
      <c r="B128" s="3" t="n"/>
      <c r="C128" s="3" t="n"/>
      <c r="D128" s="3" t="n"/>
      <c r="E128" s="3" t="n"/>
      <c r="F128" s="30" t="n">
        <v>236</v>
      </c>
      <c r="G128" s="3" t="n"/>
      <c r="H128" s="3" t="n"/>
    </row>
    <row r="129">
      <c r="A129" s="19" t="inlineStr">
        <is>
          <t>Liabilities retained by S&amp;P Global</t>
        </is>
      </c>
      <c r="B129" s="3" t="n"/>
      <c r="C129" s="3" t="n"/>
      <c r="D129" s="3" t="n"/>
      <c r="E129" s="3" t="n"/>
      <c r="F129" s="30" t="n">
        <v>8</v>
      </c>
      <c r="G129" s="3" t="n"/>
      <c r="H129" s="3" t="n"/>
    </row>
    <row r="130">
      <c r="A130" s="19" t="inlineStr">
        <is>
          <t>Common stock issuance</t>
        </is>
      </c>
      <c r="B130" s="3" t="n"/>
      <c r="C130" s="3" t="n"/>
      <c r="D130" s="3" t="n"/>
      <c r="E130" s="3" t="n"/>
      <c r="F130" s="30" t="n">
        <v>-3</v>
      </c>
      <c r="G130" s="3" t="n"/>
      <c r="H130" s="3" t="n"/>
    </row>
    <row r="131">
      <c r="A131" s="19" t="inlineStr">
        <is>
          <t>Parent Company investment reclassification</t>
        </is>
      </c>
      <c r="B131" s="3" t="n"/>
      <c r="C131" s="3" t="n"/>
      <c r="D131" s="3" t="n"/>
      <c r="E131" s="3" t="n"/>
      <c r="F131" s="30" t="n">
        <v>11586</v>
      </c>
      <c r="G131" s="3" t="n"/>
      <c r="H131" s="3" t="n"/>
    </row>
    <row r="132">
      <c r="A132" s="19" t="inlineStr">
        <is>
          <t>Total pro forma adjustment to Additional paid-in capital</t>
        </is>
      </c>
      <c r="B132" s="3" t="n"/>
      <c r="C132" s="3" t="n"/>
      <c r="D132" s="3" t="n"/>
      <c r="E132" s="3" t="n"/>
      <c r="F132" s="30" t="n">
        <v>9927</v>
      </c>
      <c r="G132" s="3" t="n"/>
      <c r="H132" s="3" t="n"/>
    </row>
    <row r="133">
      <c r="A133" s="14" t="inlineStr">
        <is>
          <t>Consideration (actual)</t>
        </is>
      </c>
      <c r="B133" s="15" t="n"/>
      <c r="C133" s="15" t="n"/>
      <c r="D133" s="15" t="n"/>
      <c r="E133" s="15" t="n"/>
      <c r="F133" s="15" t="n"/>
      <c r="G133" s="15" t="n"/>
      <c r="H133" s="15" t="n"/>
    </row>
    <row r="134">
      <c r="A134" s="19" t="inlineStr">
        <is>
          <t>Dividend paid to S&amp;P Global as consideration for transfer of certain assets, liabilities and entities (Q2-2026)</t>
        </is>
      </c>
      <c r="B134" s="3" t="n"/>
      <c r="C134" s="3" t="n"/>
      <c r="D134" s="3" t="n"/>
      <c r="E134" s="3" t="n"/>
      <c r="F134" s="30" t="n">
        <v>2000</v>
      </c>
      <c r="G134" s="3" t="n"/>
      <c r="H134" s="3" t="n"/>
    </row>
    <row r="135">
      <c r="A135" s="19" t="inlineStr">
        <is>
          <t>Senior notes principal issued 2026-05-29 (funding source)</t>
        </is>
      </c>
      <c r="B135" s="3" t="n"/>
      <c r="C135" s="3" t="n"/>
      <c r="D135" s="3" t="n"/>
      <c r="E135" s="3" t="n"/>
      <c r="F135" s="30" t="n">
        <v>2000</v>
      </c>
      <c r="G135" s="3" t="n"/>
      <c r="H135" s="3" t="n"/>
    </row>
    <row r="136">
      <c r="A136" s="19" t="inlineStr">
        <is>
          <t>Canada Carfax Loan contributed by S&amp;P Global to MBGL subsidiary (eliminated in consolidation)</t>
        </is>
      </c>
      <c r="B136" s="3" t="n"/>
      <c r="C136" s="3" t="n"/>
      <c r="D136" s="3" t="n"/>
      <c r="E136" s="3" t="n"/>
      <c r="F136" s="42" t="inlineStr">
        <is>
          <t>2026-06-25</t>
        </is>
      </c>
      <c r="G136" s="3" t="n"/>
      <c r="H136" s="3" t="n"/>
    </row>
    <row r="137">
      <c r="A137" s="14" t="inlineStr">
        <is>
          <t>Goodwill by segment 2023-12-31</t>
        </is>
      </c>
      <c r="B137" s="15" t="n"/>
      <c r="C137" s="15" t="n"/>
      <c r="D137" s="15" t="n"/>
      <c r="E137" s="15" t="n"/>
      <c r="F137" s="15" t="n"/>
      <c r="G137" s="15" t="n"/>
      <c r="H137" s="15" t="n"/>
    </row>
    <row r="138">
      <c r="A138" s="19" t="inlineStr">
        <is>
          <t>CARFAX</t>
        </is>
      </c>
      <c r="B138" s="3" t="n"/>
      <c r="C138" s="3" t="n"/>
      <c r="D138" s="3" t="n"/>
      <c r="E138" s="3" t="n"/>
      <c r="F138" s="3" t="n"/>
      <c r="G138" s="30" t="n">
        <v>5912</v>
      </c>
      <c r="H138" s="3" t="n"/>
    </row>
    <row r="139">
      <c r="A139" s="19" t="inlineStr">
        <is>
          <t>B2B</t>
        </is>
      </c>
      <c r="B139" s="3" t="n"/>
      <c r="C139" s="3" t="n"/>
      <c r="D139" s="3" t="n"/>
      <c r="E139" s="3" t="n"/>
      <c r="F139" s="3" t="n"/>
      <c r="G139" s="30" t="n">
        <v>2933</v>
      </c>
      <c r="H139" s="3" t="n"/>
    </row>
    <row r="140">
      <c r="A140" s="19" t="inlineStr">
        <is>
          <t>Total</t>
        </is>
      </c>
      <c r="B140" s="3" t="n"/>
      <c r="C140" s="3" t="n"/>
      <c r="D140" s="3" t="n"/>
      <c r="E140" s="3" t="n"/>
      <c r="F140" s="3" t="n"/>
      <c r="G140" s="30" t="n">
        <v>8845</v>
      </c>
      <c r="H140" s="3" t="n"/>
    </row>
    <row r="141">
      <c r="A141" s="14" t="inlineStr">
        <is>
          <t>Goodwill by segment 2024-12-31</t>
        </is>
      </c>
      <c r="B141" s="15" t="n"/>
      <c r="C141" s="15" t="n"/>
      <c r="D141" s="15" t="n"/>
      <c r="E141" s="15" t="n"/>
      <c r="F141" s="15" t="n"/>
      <c r="G141" s="15" t="n"/>
      <c r="H141" s="15" t="n"/>
    </row>
    <row r="142">
      <c r="A142" s="19" t="inlineStr">
        <is>
          <t>CARFAX</t>
        </is>
      </c>
      <c r="B142" s="3" t="n"/>
      <c r="C142" s="3" t="n"/>
      <c r="D142" s="3" t="n"/>
      <c r="E142" s="3" t="n"/>
      <c r="F142" s="3" t="n"/>
      <c r="G142" s="30" t="n">
        <v>5912</v>
      </c>
      <c r="H142" s="3" t="n"/>
    </row>
    <row r="143">
      <c r="A143" s="19" t="inlineStr">
        <is>
          <t>B2B</t>
        </is>
      </c>
      <c r="B143" s="3" t="n"/>
      <c r="C143" s="3" t="n"/>
      <c r="D143" s="3" t="n"/>
      <c r="E143" s="3" t="n"/>
      <c r="F143" s="3" t="n"/>
      <c r="G143" s="30" t="n">
        <v>2933</v>
      </c>
      <c r="H143" s="3" t="n"/>
    </row>
    <row r="144">
      <c r="A144" s="19" t="inlineStr">
        <is>
          <t>Total</t>
        </is>
      </c>
      <c r="B144" s="3" t="n"/>
      <c r="C144" s="3" t="n"/>
      <c r="D144" s="3" t="n"/>
      <c r="E144" s="3" t="n"/>
      <c r="F144" s="3" t="n"/>
      <c r="G144" s="30" t="n">
        <v>8845</v>
      </c>
      <c r="H144" s="3" t="n"/>
    </row>
    <row r="145">
      <c r="A145" s="14" t="inlineStr">
        <is>
          <t>Goodwill by segment 2025-12-31</t>
        </is>
      </c>
      <c r="B145" s="15" t="n"/>
      <c r="C145" s="15" t="n"/>
      <c r="D145" s="15" t="n"/>
      <c r="E145" s="15" t="n"/>
      <c r="F145" s="15" t="n"/>
      <c r="G145" s="15" t="n"/>
      <c r="H145" s="15" t="n"/>
    </row>
    <row r="146">
      <c r="A146" s="19" t="inlineStr">
        <is>
          <t>CARFAX</t>
        </is>
      </c>
      <c r="B146" s="3" t="n"/>
      <c r="C146" s="3" t="n"/>
      <c r="D146" s="3" t="n"/>
      <c r="E146" s="3" t="n"/>
      <c r="F146" s="3" t="n"/>
      <c r="G146" s="30" t="n">
        <v>5912</v>
      </c>
      <c r="H146" s="3" t="n"/>
    </row>
    <row r="147">
      <c r="A147" s="19" t="inlineStr">
        <is>
          <t>B2B</t>
        </is>
      </c>
      <c r="B147" s="3" t="n"/>
      <c r="C147" s="3" t="n"/>
      <c r="D147" s="3" t="n"/>
      <c r="E147" s="3" t="n"/>
      <c r="F147" s="3" t="n"/>
      <c r="G147" s="30" t="n">
        <v>2933</v>
      </c>
      <c r="H147" s="3" t="n"/>
    </row>
    <row r="148">
      <c r="A148" s="19" t="inlineStr">
        <is>
          <t>Total</t>
        </is>
      </c>
      <c r="B148" s="3" t="n"/>
      <c r="C148" s="3" t="n"/>
      <c r="D148" s="3" t="n"/>
      <c r="E148" s="3" t="n"/>
      <c r="F148" s="3" t="n"/>
      <c r="G148" s="30" t="n">
        <v>8845</v>
      </c>
      <c r="H148" s="3" t="n"/>
    </row>
    <row r="149">
      <c r="A149" s="14" t="inlineStr">
        <is>
          <t>Intangibles cost (12/31/23, 12/31/24, 12/31/25 identical)</t>
        </is>
      </c>
      <c r="B149" s="15" t="n"/>
      <c r="C149" s="15" t="n"/>
      <c r="D149" s="15" t="n"/>
      <c r="E149" s="15" t="n"/>
      <c r="F149" s="15" t="n"/>
      <c r="G149" s="15" t="n"/>
      <c r="H149" s="15" t="n"/>
    </row>
    <row r="150">
      <c r="A150" s="19" t="inlineStr">
        <is>
          <t>Databases and software</t>
        </is>
      </c>
      <c r="B150" s="3" t="n"/>
      <c r="C150" s="3" t="n"/>
      <c r="D150" s="3" t="n"/>
      <c r="E150" s="3" t="n"/>
      <c r="F150" s="3" t="n"/>
      <c r="G150" s="30" t="n">
        <v>1077</v>
      </c>
      <c r="H150" s="3" t="n"/>
    </row>
    <row r="151">
      <c r="A151" s="19" t="inlineStr">
        <is>
          <t>Customer relationships</t>
        </is>
      </c>
      <c r="B151" s="3" t="n"/>
      <c r="C151" s="3" t="n"/>
      <c r="D151" s="3" t="n"/>
      <c r="E151" s="3" t="n"/>
      <c r="F151" s="3" t="n"/>
      <c r="G151" s="30" t="n">
        <v>2753</v>
      </c>
      <c r="H151" s="3" t="n"/>
    </row>
    <row r="152">
      <c r="A152" s="19" t="inlineStr">
        <is>
          <t>Trade names</t>
        </is>
      </c>
      <c r="B152" s="3" t="n"/>
      <c r="C152" s="3" t="n"/>
      <c r="D152" s="3" t="n"/>
      <c r="E152" s="3" t="n"/>
      <c r="F152" s="3" t="n"/>
      <c r="G152" s="30" t="n">
        <v>1087</v>
      </c>
      <c r="H152" s="3" t="n"/>
    </row>
    <row r="153">
      <c r="A153" s="19" t="inlineStr">
        <is>
          <t>Total</t>
        </is>
      </c>
      <c r="B153" s="3" t="n"/>
      <c r="C153" s="3" t="n"/>
      <c r="D153" s="3" t="n"/>
      <c r="E153" s="3" t="n"/>
      <c r="F153" s="3" t="n"/>
      <c r="G153" s="30" t="n">
        <v>4917</v>
      </c>
      <c r="H153" s="3" t="n"/>
    </row>
    <row r="154">
      <c r="A154" s="14" t="inlineStr">
        <is>
          <t>Accumulated amortization 2023-12-31</t>
        </is>
      </c>
      <c r="B154" s="15" t="n"/>
      <c r="C154" s="15" t="n"/>
      <c r="D154" s="15" t="n"/>
      <c r="E154" s="15" t="n"/>
      <c r="F154" s="15" t="n"/>
      <c r="G154" s="15" t="n"/>
      <c r="H154" s="15" t="n"/>
    </row>
    <row r="155">
      <c r="A155" s="19" t="inlineStr">
        <is>
          <t>Databases and software</t>
        </is>
      </c>
      <c r="B155" s="3" t="n"/>
      <c r="C155" s="3" t="n"/>
      <c r="D155" s="3" t="n"/>
      <c r="E155" s="3" t="n"/>
      <c r="F155" s="3" t="n"/>
      <c r="G155" s="30" t="n">
        <v>181</v>
      </c>
      <c r="H155" s="3" t="n"/>
    </row>
    <row r="156">
      <c r="A156" s="19" t="inlineStr">
        <is>
          <t>Customer relationships</t>
        </is>
      </c>
      <c r="B156" s="3" t="n"/>
      <c r="C156" s="3" t="n"/>
      <c r="D156" s="3" t="n"/>
      <c r="E156" s="3" t="n"/>
      <c r="F156" s="3" t="n"/>
      <c r="G156" s="30" t="n">
        <v>199</v>
      </c>
      <c r="H156" s="3" t="n"/>
    </row>
    <row r="157">
      <c r="A157" s="19" t="inlineStr">
        <is>
          <t>Trade names</t>
        </is>
      </c>
      <c r="B157" s="3" t="n"/>
      <c r="C157" s="3" t="n"/>
      <c r="D157" s="3" t="n"/>
      <c r="E157" s="3" t="n"/>
      <c r="F157" s="3" t="n"/>
      <c r="G157" s="30" t="n">
        <v>156</v>
      </c>
      <c r="H157" s="3" t="n"/>
    </row>
    <row r="158">
      <c r="A158" s="19" t="inlineStr">
        <is>
          <t>Total</t>
        </is>
      </c>
      <c r="B158" s="3" t="n"/>
      <c r="C158" s="3" t="n"/>
      <c r="D158" s="3" t="n"/>
      <c r="E158" s="3" t="n"/>
      <c r="F158" s="3" t="n"/>
      <c r="G158" s="30" t="n">
        <v>536</v>
      </c>
      <c r="H158" s="3" t="n"/>
    </row>
    <row r="159">
      <c r="A159" s="14" t="inlineStr">
        <is>
          <t>Amortization FY2024</t>
        </is>
      </c>
      <c r="B159" s="15" t="n"/>
      <c r="C159" s="15" t="n"/>
      <c r="D159" s="15" t="n"/>
      <c r="E159" s="15" t="n"/>
      <c r="F159" s="15" t="n"/>
      <c r="G159" s="15" t="n"/>
      <c r="H159" s="15" t="n"/>
    </row>
    <row r="160">
      <c r="A160" s="19" t="inlineStr">
        <is>
          <t>Databases and software</t>
        </is>
      </c>
      <c r="B160" s="3" t="n"/>
      <c r="C160" s="3" t="n"/>
      <c r="D160" s="3" t="n"/>
      <c r="E160" s="3" t="n"/>
      <c r="F160" s="3" t="n"/>
      <c r="G160" s="30" t="n">
        <v>99</v>
      </c>
      <c r="H160" s="3" t="n"/>
    </row>
    <row r="161">
      <c r="A161" s="19" t="inlineStr">
        <is>
          <t>Customer relationships</t>
        </is>
      </c>
      <c r="B161" s="3" t="n"/>
      <c r="C161" s="3" t="n"/>
      <c r="D161" s="3" t="n"/>
      <c r="E161" s="3" t="n"/>
      <c r="F161" s="3" t="n"/>
      <c r="G161" s="30" t="n">
        <v>111</v>
      </c>
      <c r="H161" s="3" t="n"/>
    </row>
    <row r="162">
      <c r="A162" s="19" t="inlineStr">
        <is>
          <t>Trade names</t>
        </is>
      </c>
      <c r="B162" s="3" t="n"/>
      <c r="C162" s="3" t="n"/>
      <c r="D162" s="3" t="n"/>
      <c r="E162" s="3" t="n"/>
      <c r="F162" s="3" t="n"/>
      <c r="G162" s="30" t="n">
        <v>86</v>
      </c>
      <c r="H162" s="3" t="n"/>
    </row>
    <row r="163">
      <c r="A163" s="19" t="inlineStr">
        <is>
          <t>Total</t>
        </is>
      </c>
      <c r="B163" s="3" t="n"/>
      <c r="C163" s="3" t="n"/>
      <c r="D163" s="3" t="n"/>
      <c r="E163" s="3" t="n"/>
      <c r="F163" s="3" t="n"/>
      <c r="G163" s="30" t="n">
        <v>296</v>
      </c>
      <c r="H163" s="3" t="n"/>
    </row>
    <row r="164">
      <c r="A164" s="14" t="inlineStr">
        <is>
          <t>Accumulated amortization 2024-12-31</t>
        </is>
      </c>
      <c r="B164" s="15" t="n"/>
      <c r="C164" s="15" t="n"/>
      <c r="D164" s="15" t="n"/>
      <c r="E164" s="15" t="n"/>
      <c r="F164" s="15" t="n"/>
      <c r="G164" s="15" t="n"/>
      <c r="H164" s="15" t="n"/>
    </row>
    <row r="165">
      <c r="A165" s="19" t="inlineStr">
        <is>
          <t>Databases and software</t>
        </is>
      </c>
      <c r="B165" s="3" t="n"/>
      <c r="C165" s="3" t="n"/>
      <c r="D165" s="3" t="n"/>
      <c r="E165" s="3" t="n"/>
      <c r="F165" s="3" t="n"/>
      <c r="G165" s="30" t="n">
        <v>280</v>
      </c>
      <c r="H165" s="3" t="n"/>
    </row>
    <row r="166">
      <c r="A166" s="19" t="inlineStr">
        <is>
          <t>Customer relationships</t>
        </is>
      </c>
      <c r="B166" s="3" t="n"/>
      <c r="C166" s="3" t="n"/>
      <c r="D166" s="3" t="n"/>
      <c r="E166" s="3" t="n"/>
      <c r="F166" s="3" t="n"/>
      <c r="G166" s="30" t="n">
        <v>310</v>
      </c>
      <c r="H166" s="3" t="n"/>
    </row>
    <row r="167">
      <c r="A167" s="19" t="inlineStr">
        <is>
          <t>Trade names</t>
        </is>
      </c>
      <c r="B167" s="3" t="n"/>
      <c r="C167" s="3" t="n"/>
      <c r="D167" s="3" t="n"/>
      <c r="E167" s="3" t="n"/>
      <c r="F167" s="3" t="n"/>
      <c r="G167" s="30" t="n">
        <v>242</v>
      </c>
      <c r="H167" s="3" t="n"/>
    </row>
    <row r="168">
      <c r="A168" s="19" t="inlineStr">
        <is>
          <t>Total</t>
        </is>
      </c>
      <c r="B168" s="3" t="n"/>
      <c r="C168" s="3" t="n"/>
      <c r="D168" s="3" t="n"/>
      <c r="E168" s="3" t="n"/>
      <c r="F168" s="3" t="n"/>
      <c r="G168" s="30" t="n">
        <v>832</v>
      </c>
      <c r="H168" s="3" t="n"/>
    </row>
    <row r="169">
      <c r="A169" s="14" t="inlineStr">
        <is>
          <t>Amortization FY2025</t>
        </is>
      </c>
      <c r="B169" s="15" t="n"/>
      <c r="C169" s="15" t="n"/>
      <c r="D169" s="15" t="n"/>
      <c r="E169" s="15" t="n"/>
      <c r="F169" s="15" t="n"/>
      <c r="G169" s="15" t="n"/>
      <c r="H169" s="15" t="n"/>
    </row>
    <row r="170">
      <c r="A170" s="19" t="inlineStr">
        <is>
          <t>Databases and software</t>
        </is>
      </c>
      <c r="B170" s="3" t="n"/>
      <c r="C170" s="3" t="n"/>
      <c r="D170" s="3" t="n"/>
      <c r="E170" s="3" t="n"/>
      <c r="F170" s="3" t="n"/>
      <c r="G170" s="30" t="n">
        <v>99</v>
      </c>
      <c r="H170" s="3" t="n"/>
    </row>
    <row r="171">
      <c r="A171" s="19" t="inlineStr">
        <is>
          <t>Customer relationships</t>
        </is>
      </c>
      <c r="B171" s="3" t="n"/>
      <c r="C171" s="3" t="n"/>
      <c r="D171" s="3" t="n"/>
      <c r="E171" s="3" t="n"/>
      <c r="F171" s="3" t="n"/>
      <c r="G171" s="30" t="n">
        <v>111</v>
      </c>
      <c r="H171" s="3" t="n"/>
    </row>
    <row r="172">
      <c r="A172" s="19" t="inlineStr">
        <is>
          <t>Trade names</t>
        </is>
      </c>
      <c r="B172" s="3" t="n"/>
      <c r="C172" s="3" t="n"/>
      <c r="D172" s="3" t="n"/>
      <c r="E172" s="3" t="n"/>
      <c r="F172" s="3" t="n"/>
      <c r="G172" s="30" t="n">
        <v>86</v>
      </c>
      <c r="H172" s="3" t="n"/>
    </row>
    <row r="173">
      <c r="A173" s="19" t="inlineStr">
        <is>
          <t>Total</t>
        </is>
      </c>
      <c r="B173" s="3" t="n"/>
      <c r="C173" s="3" t="n"/>
      <c r="D173" s="3" t="n"/>
      <c r="E173" s="3" t="n"/>
      <c r="F173" s="3" t="n"/>
      <c r="G173" s="30" t="n">
        <v>296</v>
      </c>
      <c r="H173" s="3" t="n"/>
    </row>
    <row r="174">
      <c r="A174" s="14" t="inlineStr">
        <is>
          <t>Accumulated amortization 2025-12-31</t>
        </is>
      </c>
      <c r="B174" s="15" t="n"/>
      <c r="C174" s="15" t="n"/>
      <c r="D174" s="15" t="n"/>
      <c r="E174" s="15" t="n"/>
      <c r="F174" s="15" t="n"/>
      <c r="G174" s="15" t="n"/>
      <c r="H174" s="15" t="n"/>
    </row>
    <row r="175">
      <c r="A175" s="19" t="inlineStr">
        <is>
          <t>Databases and software</t>
        </is>
      </c>
      <c r="B175" s="3" t="n"/>
      <c r="C175" s="3" t="n"/>
      <c r="D175" s="3" t="n"/>
      <c r="E175" s="3" t="n"/>
      <c r="F175" s="3" t="n"/>
      <c r="G175" s="30" t="n">
        <v>379</v>
      </c>
      <c r="H175" s="3" t="n"/>
    </row>
    <row r="176">
      <c r="A176" s="19" t="inlineStr">
        <is>
          <t>Customer relationships</t>
        </is>
      </c>
      <c r="B176" s="3" t="n"/>
      <c r="C176" s="3" t="n"/>
      <c r="D176" s="3" t="n"/>
      <c r="E176" s="3" t="n"/>
      <c r="F176" s="3" t="n"/>
      <c r="G176" s="30" t="n">
        <v>421</v>
      </c>
      <c r="H176" s="3" t="n"/>
    </row>
    <row r="177">
      <c r="A177" s="19" t="inlineStr">
        <is>
          <t>Trade names</t>
        </is>
      </c>
      <c r="B177" s="3" t="n"/>
      <c r="C177" s="3" t="n"/>
      <c r="D177" s="3" t="n"/>
      <c r="E177" s="3" t="n"/>
      <c r="F177" s="3" t="n"/>
      <c r="G177" s="30" t="n">
        <v>328</v>
      </c>
      <c r="H177" s="3" t="n"/>
    </row>
    <row r="178">
      <c r="A178" s="19" t="inlineStr">
        <is>
          <t>Total</t>
        </is>
      </c>
      <c r="B178" s="3" t="n"/>
      <c r="C178" s="3" t="n"/>
      <c r="D178" s="3" t="n"/>
      <c r="E178" s="3" t="n"/>
      <c r="F178" s="3" t="n"/>
      <c r="G178" s="30" t="n">
        <v>1128</v>
      </c>
      <c r="H178" s="3" t="n"/>
    </row>
    <row r="179">
      <c r="A179" s="14" t="inlineStr">
        <is>
          <t>Net intangibles 2024-12-31</t>
        </is>
      </c>
      <c r="B179" s="15" t="n"/>
      <c r="C179" s="15" t="n"/>
      <c r="D179" s="15" t="n"/>
      <c r="E179" s="15" t="n"/>
      <c r="F179" s="15" t="n"/>
      <c r="G179" s="15" t="n"/>
      <c r="H179" s="15" t="n"/>
    </row>
    <row r="180">
      <c r="A180" s="19" t="inlineStr">
        <is>
          <t>Databases and software</t>
        </is>
      </c>
      <c r="B180" s="3" t="n"/>
      <c r="C180" s="3" t="n"/>
      <c r="D180" s="3" t="n"/>
      <c r="E180" s="3" t="n"/>
      <c r="F180" s="3" t="n"/>
      <c r="G180" s="30" t="n">
        <v>797</v>
      </c>
      <c r="H180" s="3" t="n"/>
    </row>
    <row r="181">
      <c r="A181" s="19" t="inlineStr">
        <is>
          <t>Customer relationships</t>
        </is>
      </c>
      <c r="B181" s="3" t="n"/>
      <c r="C181" s="3" t="n"/>
      <c r="D181" s="3" t="n"/>
      <c r="E181" s="3" t="n"/>
      <c r="F181" s="3" t="n"/>
      <c r="G181" s="30" t="n">
        <v>2443</v>
      </c>
      <c r="H181" s="3" t="n"/>
    </row>
    <row r="182">
      <c r="A182" s="19" t="inlineStr">
        <is>
          <t>Trade names</t>
        </is>
      </c>
      <c r="B182" s="3" t="n"/>
      <c r="C182" s="3" t="n"/>
      <c r="D182" s="3" t="n"/>
      <c r="E182" s="3" t="n"/>
      <c r="F182" s="3" t="n"/>
      <c r="G182" s="30" t="n">
        <v>845</v>
      </c>
      <c r="H182" s="3" t="n"/>
    </row>
    <row r="183">
      <c r="A183" s="19" t="inlineStr">
        <is>
          <t>Total</t>
        </is>
      </c>
      <c r="B183" s="3" t="n"/>
      <c r="C183" s="3" t="n"/>
      <c r="D183" s="3" t="n"/>
      <c r="E183" s="3" t="n"/>
      <c r="F183" s="3" t="n"/>
      <c r="G183" s="30" t="n">
        <v>4085</v>
      </c>
      <c r="H183" s="3" t="n"/>
    </row>
    <row r="184">
      <c r="A184" s="14" t="inlineStr">
        <is>
          <t>Net intangibles 2025-12-31</t>
        </is>
      </c>
      <c r="B184" s="15" t="n"/>
      <c r="C184" s="15" t="n"/>
      <c r="D184" s="15" t="n"/>
      <c r="E184" s="15" t="n"/>
      <c r="F184" s="15" t="n"/>
      <c r="G184" s="15" t="n"/>
      <c r="H184" s="15" t="n"/>
    </row>
    <row r="185">
      <c r="A185" s="19" t="inlineStr">
        <is>
          <t>Databases and software</t>
        </is>
      </c>
      <c r="B185" s="3" t="n"/>
      <c r="C185" s="3" t="n"/>
      <c r="D185" s="3" t="n"/>
      <c r="E185" s="3" t="n"/>
      <c r="F185" s="3" t="n"/>
      <c r="G185" s="30" t="n">
        <v>698</v>
      </c>
      <c r="H185" s="3" t="n"/>
    </row>
    <row r="186">
      <c r="A186" s="19" t="inlineStr">
        <is>
          <t>Customer relationships</t>
        </is>
      </c>
      <c r="B186" s="3" t="n"/>
      <c r="C186" s="3" t="n"/>
      <c r="D186" s="3" t="n"/>
      <c r="E186" s="3" t="n"/>
      <c r="F186" s="3" t="n"/>
      <c r="G186" s="30" t="n">
        <v>2332</v>
      </c>
      <c r="H186" s="3" t="n"/>
    </row>
    <row r="187">
      <c r="A187" s="19" t="inlineStr">
        <is>
          <t>Trade names</t>
        </is>
      </c>
      <c r="B187" s="3" t="n"/>
      <c r="C187" s="3" t="n"/>
      <c r="D187" s="3" t="n"/>
      <c r="E187" s="3" t="n"/>
      <c r="F187" s="3" t="n"/>
      <c r="G187" s="30" t="n">
        <v>759</v>
      </c>
      <c r="H187" s="3" t="n"/>
    </row>
    <row r="188">
      <c r="A188" s="19" t="inlineStr">
        <is>
          <t>Total</t>
        </is>
      </c>
      <c r="B188" s="3" t="n"/>
      <c r="C188" s="3" t="n"/>
      <c r="D188" s="3" t="n"/>
      <c r="E188" s="3" t="n"/>
      <c r="F188" s="3" t="n"/>
      <c r="G188" s="30" t="n">
        <v>3789</v>
      </c>
      <c r="H188" s="3" t="n"/>
    </row>
    <row r="189">
      <c r="A189" s="14" t="inlineStr">
        <is>
          <t>Amortization expense</t>
        </is>
      </c>
      <c r="B189" s="15" t="n"/>
      <c r="C189" s="15" t="n"/>
      <c r="D189" s="15" t="n"/>
      <c r="E189" s="15" t="n"/>
      <c r="F189" s="15" t="n"/>
      <c r="G189" s="15" t="n"/>
      <c r="H189" s="15" t="n"/>
    </row>
    <row r="190">
      <c r="A190" s="19" t="inlineStr">
        <is>
          <t>FY2025</t>
        </is>
      </c>
      <c r="B190" s="3" t="n"/>
      <c r="C190" s="3" t="n"/>
      <c r="D190" s="3" t="n"/>
      <c r="E190" s="3" t="n"/>
      <c r="F190" s="3" t="n"/>
      <c r="G190" s="30" t="n">
        <v>296</v>
      </c>
      <c r="H190" s="3" t="n"/>
    </row>
    <row r="191">
      <c r="A191" s="19" t="inlineStr">
        <is>
          <t>FY2024</t>
        </is>
      </c>
      <c r="B191" s="3" t="n"/>
      <c r="C191" s="3" t="n"/>
      <c r="D191" s="3" t="n"/>
      <c r="E191" s="3" t="n"/>
      <c r="F191" s="3" t="n"/>
      <c r="G191" s="30" t="n">
        <v>296</v>
      </c>
      <c r="H191" s="3" t="n"/>
    </row>
    <row r="192">
      <c r="A192" s="19" t="inlineStr">
        <is>
          <t>FY2023</t>
        </is>
      </c>
      <c r="B192" s="3" t="n"/>
      <c r="C192" s="3" t="n"/>
      <c r="D192" s="3" t="n"/>
      <c r="E192" s="3" t="n"/>
      <c r="F192" s="3" t="n"/>
      <c r="G192" s="30" t="n">
        <v>295</v>
      </c>
      <c r="H192" s="3" t="n"/>
    </row>
    <row r="193">
      <c r="A193" s="14" t="inlineStr">
        <is>
          <t>Expected amortization expense</t>
        </is>
      </c>
      <c r="B193" s="15" t="n"/>
      <c r="C193" s="15" t="n"/>
      <c r="D193" s="15" t="n"/>
      <c r="E193" s="15" t="n"/>
      <c r="F193" s="15" t="n"/>
      <c r="G193" s="15" t="n"/>
      <c r="H193" s="15" t="n"/>
    </row>
    <row r="194">
      <c r="A194" s="19" t="inlineStr">
        <is>
          <t>2026</t>
        </is>
      </c>
      <c r="B194" s="3" t="n"/>
      <c r="C194" s="3" t="n"/>
      <c r="D194" s="3" t="n"/>
      <c r="E194" s="3" t="n"/>
      <c r="F194" s="3" t="n"/>
      <c r="G194" s="30" t="n">
        <v>296</v>
      </c>
      <c r="H194" s="3" t="n"/>
    </row>
    <row r="195">
      <c r="A195" s="19" t="inlineStr">
        <is>
          <t>2027</t>
        </is>
      </c>
      <c r="B195" s="3" t="n"/>
      <c r="C195" s="3" t="n"/>
      <c r="D195" s="3" t="n"/>
      <c r="E195" s="3" t="n"/>
      <c r="F195" s="3" t="n"/>
      <c r="G195" s="30" t="n">
        <v>296</v>
      </c>
      <c r="H195" s="3" t="n"/>
    </row>
    <row r="196">
      <c r="A196" s="19" t="inlineStr">
        <is>
          <t>2028</t>
        </is>
      </c>
      <c r="B196" s="3" t="n"/>
      <c r="C196" s="3" t="n"/>
      <c r="D196" s="3" t="n"/>
      <c r="E196" s="3" t="n"/>
      <c r="F196" s="3" t="n"/>
      <c r="G196" s="30" t="n">
        <v>296</v>
      </c>
      <c r="H196" s="3" t="n"/>
    </row>
    <row r="197">
      <c r="A197" s="19" t="inlineStr">
        <is>
          <t>2029</t>
        </is>
      </c>
      <c r="B197" s="3" t="n"/>
      <c r="C197" s="3" t="n"/>
      <c r="D197" s="3" t="n"/>
      <c r="E197" s="3" t="n"/>
      <c r="F197" s="3" t="n"/>
      <c r="G197" s="30" t="n">
        <v>296</v>
      </c>
      <c r="H197" s="3" t="n"/>
    </row>
    <row r="198">
      <c r="A198" s="19" t="inlineStr">
        <is>
          <t>2030</t>
        </is>
      </c>
      <c r="B198" s="3" t="n"/>
      <c r="C198" s="3" t="n"/>
      <c r="D198" s="3" t="n"/>
      <c r="E198" s="3" t="n"/>
      <c r="F198" s="3" t="n"/>
      <c r="G198" s="30" t="n">
        <v>293</v>
      </c>
      <c r="H198" s="3" t="n"/>
    </row>
    <row r="199">
      <c r="A199" s="14" t="inlineStr">
        <is>
          <t>Goodwill share of total assets</t>
        </is>
      </c>
      <c r="B199" s="15" t="n"/>
      <c r="C199" s="15" t="n"/>
      <c r="D199" s="15" t="n"/>
      <c r="E199" s="15" t="n"/>
      <c r="F199" s="15" t="n"/>
      <c r="G199" s="15" t="n"/>
      <c r="H199" s="15" t="n"/>
    </row>
    <row r="200">
      <c r="A200" s="19" t="inlineStr">
        <is>
          <t>2025-12-31</t>
        </is>
      </c>
      <c r="B200" s="3" t="n"/>
      <c r="C200" s="3" t="n"/>
      <c r="D200" s="3" t="n"/>
      <c r="E200" s="3" t="n"/>
      <c r="F200" s="3" t="n"/>
      <c r="G200" s="41" t="n">
        <v>68</v>
      </c>
      <c r="H200" s="3" t="n"/>
    </row>
    <row r="201">
      <c r="A201" s="19" t="inlineStr">
        <is>
          <t>2024-12-31</t>
        </is>
      </c>
      <c r="B201" s="3" t="n"/>
      <c r="C201" s="3" t="n"/>
      <c r="D201" s="3" t="n"/>
      <c r="E201" s="3" t="n"/>
      <c r="F201" s="3" t="n"/>
      <c r="G201" s="41" t="n">
        <v>67</v>
      </c>
      <c r="H201" s="3" t="n"/>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C4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hidden="1" width="12" customWidth="1" min="26" max="26"/>
    <col width="12" customWidth="1" min="27" max="27"/>
    <col width="12" customWidth="1" min="28" max="28"/>
    <col width="45" customWidth="1" min="29" max="29"/>
  </cols>
  <sheetData>
    <row r="1" ht="20" customHeight="1">
      <c r="A1" s="1" t="inlineStr">
        <is>
          <t>Presentation data — deck-only figures (UNAUDITED marketing material; never overwrites filings)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c r="A2" s="4" t="inlineStr">
        <is>
          <t>Investor Day 2026-05-12 (116 slides) and Q2-2026 deck. page = slide number. Image-only slides recorded as not machine-readable.</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c r="AB3" s="3" t="n"/>
      <c r="AC3" s="3" t="n"/>
    </row>
    <row r="4">
      <c r="A4" s="9" t="inlineStr">
        <is>
          <t>Line item (verbatim caption)</t>
        </is>
      </c>
      <c r="B4" s="29" t="inlineStr">
        <is>
          <t>2021</t>
        </is>
      </c>
      <c r="C4" s="29" t="inlineStr">
        <is>
          <t>2023</t>
        </is>
      </c>
      <c r="D4" s="29" t="inlineStr">
        <is>
          <t>FY2023</t>
        </is>
      </c>
      <c r="E4" s="29" t="inlineStr">
        <is>
          <t>2024</t>
        </is>
      </c>
      <c r="F4" s="29" t="inlineStr">
        <is>
          <t>FY2024</t>
        </is>
      </c>
      <c r="G4" s="29" t="inlineStr">
        <is>
          <t>2025</t>
        </is>
      </c>
      <c r="H4" s="29" t="inlineStr">
        <is>
          <t>FY2025</t>
        </is>
      </c>
      <c r="I4" s="29" t="inlineStr">
        <is>
          <t>2026</t>
        </is>
      </c>
      <c r="J4" s="29" t="inlineStr">
        <is>
          <t>Q1-2025</t>
        </is>
      </c>
      <c r="K4" s="29" t="inlineStr">
        <is>
          <t>Q2-2025</t>
        </is>
      </c>
      <c r="L4" s="29" t="inlineStr">
        <is>
          <t>6M-2025</t>
        </is>
      </c>
      <c r="M4" s="29" t="inlineStr">
        <is>
          <t>Q3-2025</t>
        </is>
      </c>
      <c r="N4" s="29" t="inlineStr">
        <is>
          <t>Q4-2025</t>
        </is>
      </c>
      <c r="O4" s="29" t="inlineStr">
        <is>
          <t>Q1-2026</t>
        </is>
      </c>
      <c r="P4" s="29" t="inlineStr">
        <is>
          <t>Q2-2026</t>
        </is>
      </c>
      <c r="Q4" s="29" t="inlineStr">
        <is>
          <t>6M-2026</t>
        </is>
      </c>
      <c r="R4" s="29" t="inlineStr">
        <is>
          <t>FY2026E</t>
        </is>
      </c>
      <c r="S4" s="29" t="inlineStr">
        <is>
          <t>2000-2025</t>
        </is>
      </c>
      <c r="T4" s="29" t="inlineStr">
        <is>
          <t>2017-2022</t>
        </is>
      </c>
      <c r="U4" s="29" t="inlineStr">
        <is>
          <t>FY2014-FY2025</t>
        </is>
      </c>
      <c r="V4" s="29" t="inlineStr">
        <is>
          <t>FY2015-FY2025</t>
        </is>
      </c>
      <c r="W4" s="29" t="inlineStr">
        <is>
          <t>FY2023-FY2025</t>
        </is>
      </c>
      <c r="X4" s="29" t="inlineStr">
        <is>
          <t>LAUNCH</t>
        </is>
      </c>
      <c r="Y4" s="29" t="inlineStr">
        <is>
          <t>LTM-Q1-2026</t>
        </is>
      </c>
      <c r="Z4" s="29" t="inlineStr">
        <is>
          <t>MT</t>
        </is>
      </c>
      <c r="AA4" s="29" t="inlineStr">
        <is>
          <t>Q1-2025..Q1-2026</t>
        </is>
      </c>
      <c r="AB4" s="29" t="inlineStr">
        <is>
          <t>STANDALONE</t>
        </is>
      </c>
      <c r="AC4" s="29" t="inlineStr">
        <is>
          <t>Source (doc p.)</t>
        </is>
      </c>
    </row>
    <row r="5">
      <c r="A5" s="14" t="inlineStr">
        <is>
          <t>InvDay_2026-05-12 · Mobility Global today : Scaled industry leader</t>
        </is>
      </c>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row>
    <row r="6">
      <c r="A6" s="39" t="inlineStr">
        <is>
          <t>TOTAL REVENUE (printed $ 1.75B)</t>
        </is>
      </c>
      <c r="B6" s="3" t="n"/>
      <c r="C6" s="3" t="n"/>
      <c r="D6" s="3" t="n"/>
      <c r="E6" s="3" t="n"/>
      <c r="F6" s="3" t="n"/>
      <c r="G6" s="3" t="n"/>
      <c r="H6" s="49" t="inlineStr">
        <is>
          <t>1.75</t>
        </is>
      </c>
      <c r="I6" s="3" t="n"/>
      <c r="J6" s="3" t="n"/>
      <c r="K6" s="3" t="n"/>
      <c r="L6" s="3" t="n"/>
      <c r="M6" s="3" t="n"/>
      <c r="N6" s="3" t="n"/>
      <c r="O6" s="3" t="n"/>
      <c r="P6" s="3" t="n"/>
      <c r="Q6" s="3" t="n"/>
      <c r="R6" s="3" t="n"/>
      <c r="S6" s="3" t="n"/>
      <c r="T6" s="3" t="n"/>
      <c r="U6" s="3" t="n"/>
      <c r="V6" s="3" t="n"/>
      <c r="W6" s="3" t="n"/>
      <c r="X6" s="3" t="n"/>
      <c r="Y6" s="3" t="n"/>
      <c r="Z6" s="3" t="n"/>
      <c r="AA6" s="3" t="n"/>
      <c r="AB6" s="3" t="n"/>
      <c r="AC6" s="4" t="inlineStr">
        <is>
          <t>InvDay_2026-05-12 p10</t>
        </is>
      </c>
    </row>
    <row r="7">
      <c r="A7" s="38" t="inlineStr">
        <is>
          <t>REVENUE BY SEGMENT - B2B Solutions</t>
        </is>
      </c>
      <c r="B7" s="3" t="n"/>
      <c r="C7" s="3" t="n"/>
      <c r="D7" s="3" t="n"/>
      <c r="E7" s="3" t="n"/>
      <c r="F7" s="3" t="n"/>
      <c r="G7" s="3" t="n"/>
      <c r="H7" s="41" t="n">
        <v>35</v>
      </c>
      <c r="I7" s="3" t="n"/>
      <c r="J7" s="3" t="n"/>
      <c r="K7" s="3" t="n"/>
      <c r="L7" s="3" t="n"/>
      <c r="M7" s="3" t="n"/>
      <c r="N7" s="3" t="n"/>
      <c r="O7" s="3" t="n"/>
      <c r="P7" s="3" t="n"/>
      <c r="Q7" s="3" t="n"/>
      <c r="R7" s="3" t="n"/>
      <c r="S7" s="3" t="n"/>
      <c r="T7" s="3" t="n"/>
      <c r="U7" s="3" t="n"/>
      <c r="V7" s="3" t="n"/>
      <c r="W7" s="3" t="n"/>
      <c r="X7" s="3" t="n"/>
      <c r="Y7" s="3" t="n"/>
      <c r="Z7" s="3" t="n"/>
      <c r="AA7" s="3" t="n"/>
      <c r="AB7" s="3" t="n"/>
      <c r="AC7" s="4" t="inlineStr">
        <is>
          <t>InvDay_2026-05-12 p10</t>
        </is>
      </c>
    </row>
    <row r="8">
      <c r="A8" s="38" t="inlineStr">
        <is>
          <t>REVENUE BY SEGMENT - CARFAX</t>
        </is>
      </c>
      <c r="B8" s="3" t="n"/>
      <c r="C8" s="3" t="n"/>
      <c r="D8" s="3" t="n"/>
      <c r="E8" s="3" t="n"/>
      <c r="F8" s="3" t="n"/>
      <c r="G8" s="3" t="n"/>
      <c r="H8" s="41" t="n">
        <v>65</v>
      </c>
      <c r="I8" s="3" t="n"/>
      <c r="J8" s="3" t="n"/>
      <c r="K8" s="3" t="n"/>
      <c r="L8" s="3" t="n"/>
      <c r="M8" s="3" t="n"/>
      <c r="N8" s="3" t="n"/>
      <c r="O8" s="3" t="n"/>
      <c r="P8" s="3" t="n"/>
      <c r="Q8" s="3" t="n"/>
      <c r="R8" s="3" t="n"/>
      <c r="S8" s="3" t="n"/>
      <c r="T8" s="3" t="n"/>
      <c r="U8" s="3" t="n"/>
      <c r="V8" s="3" t="n"/>
      <c r="W8" s="3" t="n"/>
      <c r="X8" s="3" t="n"/>
      <c r="Y8" s="3" t="n"/>
      <c r="Z8" s="3" t="n"/>
      <c r="AA8" s="3" t="n"/>
      <c r="AB8" s="3" t="n"/>
      <c r="AC8" s="4" t="inlineStr">
        <is>
          <t>InvDay_2026-05-12 p10</t>
        </is>
      </c>
    </row>
    <row r="9">
      <c r="A9" s="38" t="inlineStr">
        <is>
          <t>SUBSCRIPTION REVENUE</t>
        </is>
      </c>
      <c r="B9" s="3" t="n"/>
      <c r="C9" s="3" t="n"/>
      <c r="D9" s="3" t="n"/>
      <c r="E9" s="3" t="n"/>
      <c r="F9" s="3" t="n"/>
      <c r="G9" s="3" t="n"/>
      <c r="H9" s="41" t="n">
        <v>81</v>
      </c>
      <c r="I9" s="3" t="n"/>
      <c r="J9" s="3" t="n"/>
      <c r="K9" s="3" t="n"/>
      <c r="L9" s="3" t="n"/>
      <c r="M9" s="3" t="n"/>
      <c r="N9" s="3" t="n"/>
      <c r="O9" s="3" t="n"/>
      <c r="P9" s="3" t="n"/>
      <c r="Q9" s="3" t="n"/>
      <c r="R9" s="3" t="n"/>
      <c r="S9" s="3" t="n"/>
      <c r="T9" s="3" t="n"/>
      <c r="U9" s="3" t="n"/>
      <c r="V9" s="3" t="n"/>
      <c r="W9" s="3" t="n"/>
      <c r="X9" s="3" t="n"/>
      <c r="Y9" s="3" t="n"/>
      <c r="Z9" s="3" t="n"/>
      <c r="AA9" s="3" t="n"/>
      <c r="AB9" s="3" t="n"/>
      <c r="AC9" s="4" t="inlineStr">
        <is>
          <t>InvDay_2026-05-12 p10</t>
        </is>
      </c>
    </row>
    <row r="10">
      <c r="A10" s="38" t="inlineStr">
        <is>
          <t>REVENUE BY CUSTOMER TYPE - OEM &amp; Supplier</t>
        </is>
      </c>
      <c r="B10" s="3" t="n"/>
      <c r="C10" s="3" t="n"/>
      <c r="D10" s="3" t="n"/>
      <c r="E10" s="3" t="n"/>
      <c r="F10" s="3" t="n"/>
      <c r="G10" s="3" t="n"/>
      <c r="H10" s="41" t="n">
        <v>20</v>
      </c>
      <c r="I10" s="3" t="n"/>
      <c r="J10" s="3" t="n"/>
      <c r="K10" s="3" t="n"/>
      <c r="L10" s="3" t="n"/>
      <c r="M10" s="3" t="n"/>
      <c r="N10" s="3" t="n"/>
      <c r="O10" s="3" t="n"/>
      <c r="P10" s="3" t="n"/>
      <c r="Q10" s="3" t="n"/>
      <c r="R10" s="3" t="n"/>
      <c r="S10" s="3" t="n"/>
      <c r="T10" s="3" t="n"/>
      <c r="U10" s="3" t="n"/>
      <c r="V10" s="3" t="n"/>
      <c r="W10" s="3" t="n"/>
      <c r="X10" s="3" t="n"/>
      <c r="Y10" s="3" t="n"/>
      <c r="Z10" s="3" t="n"/>
      <c r="AA10" s="3" t="n"/>
      <c r="AB10" s="3" t="n"/>
      <c r="AC10" s="4" t="inlineStr">
        <is>
          <t>InvDay_2026-05-12 p10</t>
        </is>
      </c>
    </row>
    <row r="11">
      <c r="A11" s="38" t="inlineStr">
        <is>
          <t>REVENUE BY CUSTOMER TYPE - Financial / Consumer / Other</t>
        </is>
      </c>
      <c r="B11" s="3" t="n"/>
      <c r="C11" s="3" t="n"/>
      <c r="D11" s="3" t="n"/>
      <c r="E11" s="3" t="n"/>
      <c r="F11" s="3" t="n"/>
      <c r="G11" s="3" t="n"/>
      <c r="H11" s="41" t="n">
        <v>18</v>
      </c>
      <c r="I11" s="3" t="n"/>
      <c r="J11" s="3" t="n"/>
      <c r="K11" s="3" t="n"/>
      <c r="L11" s="3" t="n"/>
      <c r="M11" s="3" t="n"/>
      <c r="N11" s="3" t="n"/>
      <c r="O11" s="3" t="n"/>
      <c r="P11" s="3" t="n"/>
      <c r="Q11" s="3" t="n"/>
      <c r="R11" s="3" t="n"/>
      <c r="S11" s="3" t="n"/>
      <c r="T11" s="3" t="n"/>
      <c r="U11" s="3" t="n"/>
      <c r="V11" s="3" t="n"/>
      <c r="W11" s="3" t="n"/>
      <c r="X11" s="3" t="n"/>
      <c r="Y11" s="3" t="n"/>
      <c r="Z11" s="3" t="n"/>
      <c r="AA11" s="3" t="n"/>
      <c r="AB11" s="3" t="n"/>
      <c r="AC11" s="4" t="inlineStr">
        <is>
          <t>InvDay_2026-05-12 p10</t>
        </is>
      </c>
    </row>
    <row r="12">
      <c r="A12" s="38" t="inlineStr">
        <is>
          <t>REVENUE BY CUSTOMER TYPE - Dealer ( B2B &amp; CARFAX )</t>
        </is>
      </c>
      <c r="B12" s="3" t="n"/>
      <c r="C12" s="3" t="n"/>
      <c r="D12" s="3" t="n"/>
      <c r="E12" s="3" t="n"/>
      <c r="F12" s="3" t="n"/>
      <c r="G12" s="3" t="n"/>
      <c r="H12" s="41" t="n">
        <v>62</v>
      </c>
      <c r="I12" s="3" t="n"/>
      <c r="J12" s="3" t="n"/>
      <c r="K12" s="3" t="n"/>
      <c r="L12" s="3" t="n"/>
      <c r="M12" s="3" t="n"/>
      <c r="N12" s="3" t="n"/>
      <c r="O12" s="3" t="n"/>
      <c r="P12" s="3" t="n"/>
      <c r="Q12" s="3" t="n"/>
      <c r="R12" s="3" t="n"/>
      <c r="S12" s="3" t="n"/>
      <c r="T12" s="3" t="n"/>
      <c r="U12" s="3" t="n"/>
      <c r="V12" s="3" t="n"/>
      <c r="W12" s="3" t="n"/>
      <c r="X12" s="3" t="n"/>
      <c r="Y12" s="3" t="n"/>
      <c r="Z12" s="3" t="n"/>
      <c r="AA12" s="3" t="n"/>
      <c r="AB12" s="3" t="n"/>
      <c r="AC12" s="4" t="inlineStr">
        <is>
          <t>InvDay_2026-05-12 p10</t>
        </is>
      </c>
    </row>
    <row r="13">
      <c r="A13" s="38" t="inlineStr">
        <is>
          <t>REVENUE BY GEOGRAPHY - International</t>
        </is>
      </c>
      <c r="B13" s="3" t="n"/>
      <c r="C13" s="3" t="n"/>
      <c r="D13" s="3" t="n"/>
      <c r="E13" s="3" t="n"/>
      <c r="F13" s="3" t="n"/>
      <c r="G13" s="3" t="n"/>
      <c r="H13" s="41" t="n">
        <v>17</v>
      </c>
      <c r="I13" s="3" t="n"/>
      <c r="J13" s="3" t="n"/>
      <c r="K13" s="3" t="n"/>
      <c r="L13" s="3" t="n"/>
      <c r="M13" s="3" t="n"/>
      <c r="N13" s="3" t="n"/>
      <c r="O13" s="3" t="n"/>
      <c r="P13" s="3" t="n"/>
      <c r="Q13" s="3" t="n"/>
      <c r="R13" s="3" t="n"/>
      <c r="S13" s="3" t="n"/>
      <c r="T13" s="3" t="n"/>
      <c r="U13" s="3" t="n"/>
      <c r="V13" s="3" t="n"/>
      <c r="W13" s="3" t="n"/>
      <c r="X13" s="3" t="n"/>
      <c r="Y13" s="3" t="n"/>
      <c r="Z13" s="3" t="n"/>
      <c r="AA13" s="3" t="n"/>
      <c r="AB13" s="3" t="n"/>
      <c r="AC13" s="4" t="inlineStr">
        <is>
          <t>InvDay_2026-05-12 p10</t>
        </is>
      </c>
    </row>
    <row r="14">
      <c r="A14" s="38" t="inlineStr">
        <is>
          <t>REVENUE BY GEOGRAPHY - U.S.</t>
        </is>
      </c>
      <c r="B14" s="3" t="n"/>
      <c r="C14" s="3" t="n"/>
      <c r="D14" s="3" t="n"/>
      <c r="E14" s="3" t="n"/>
      <c r="F14" s="3" t="n"/>
      <c r="G14" s="3" t="n"/>
      <c r="H14" s="41" t="n">
        <v>83</v>
      </c>
      <c r="I14" s="3" t="n"/>
      <c r="J14" s="3" t="n"/>
      <c r="K14" s="3" t="n"/>
      <c r="L14" s="3" t="n"/>
      <c r="M14" s="3" t="n"/>
      <c r="N14" s="3" t="n"/>
      <c r="O14" s="3" t="n"/>
      <c r="P14" s="3" t="n"/>
      <c r="Q14" s="3" t="n"/>
      <c r="R14" s="3" t="n"/>
      <c r="S14" s="3" t="n"/>
      <c r="T14" s="3" t="n"/>
      <c r="U14" s="3" t="n"/>
      <c r="V14" s="3" t="n"/>
      <c r="W14" s="3" t="n"/>
      <c r="X14" s="3" t="n"/>
      <c r="Y14" s="3" t="n"/>
      <c r="Z14" s="3" t="n"/>
      <c r="AA14" s="3" t="n"/>
      <c r="AB14" s="3" t="n"/>
      <c r="AC14" s="4" t="inlineStr">
        <is>
          <t>InvDay_2026-05-12 p10</t>
        </is>
      </c>
    </row>
    <row r="15">
      <c r="A15" s="14" t="inlineStr">
        <is>
          <t>InvDay_2026-05-12 · Mobility Global at a glance - FY25 BUSINESS HIGHLIGHTS</t>
        </is>
      </c>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row>
    <row r="16">
      <c r="A16" s="38" t="inlineStr">
        <is>
          <t>Revenue growth</t>
        </is>
      </c>
      <c r="B16" s="3" t="n"/>
      <c r="C16" s="3" t="n"/>
      <c r="D16" s="3" t="n"/>
      <c r="E16" s="3" t="n"/>
      <c r="F16" s="3" t="n"/>
      <c r="G16" s="3" t="n"/>
      <c r="H16" s="41" t="n">
        <v>8.5</v>
      </c>
      <c r="I16" s="3" t="n"/>
      <c r="J16" s="3" t="n"/>
      <c r="K16" s="3" t="n"/>
      <c r="L16" s="3" t="n"/>
      <c r="M16" s="3" t="n"/>
      <c r="N16" s="3" t="n"/>
      <c r="O16" s="3" t="n"/>
      <c r="P16" s="3" t="n"/>
      <c r="Q16" s="3" t="n"/>
      <c r="R16" s="3" t="n"/>
      <c r="S16" s="3" t="n"/>
      <c r="T16" s="3" t="n"/>
      <c r="U16" s="3" t="n"/>
      <c r="V16" s="3" t="n"/>
      <c r="W16" s="3" t="n"/>
      <c r="X16" s="3" t="n"/>
      <c r="Y16" s="3" t="n"/>
      <c r="Z16" s="3" t="n"/>
      <c r="AA16" s="3" t="n"/>
      <c r="AB16" s="3" t="n"/>
      <c r="AC16" s="4" t="inlineStr">
        <is>
          <t>InvDay_2026-05-12 p11</t>
        </is>
      </c>
    </row>
    <row r="17">
      <c r="A17" s="38" t="inlineStr">
        <is>
          <t>Adj . EBITDA Margin</t>
        </is>
      </c>
      <c r="B17" s="3" t="n"/>
      <c r="C17" s="3" t="n"/>
      <c r="D17" s="3" t="n"/>
      <c r="E17" s="3" t="n"/>
      <c r="F17" s="3" t="n"/>
      <c r="G17" s="3" t="n"/>
      <c r="H17" s="41" t="n">
        <v>40.6</v>
      </c>
      <c r="I17" s="3" t="n"/>
      <c r="J17" s="3" t="n"/>
      <c r="K17" s="3" t="n"/>
      <c r="L17" s="3" t="n"/>
      <c r="M17" s="3" t="n"/>
      <c r="N17" s="3" t="n"/>
      <c r="O17" s="3" t="n"/>
      <c r="P17" s="3" t="n"/>
      <c r="Q17" s="3" t="n"/>
      <c r="R17" s="3" t="n"/>
      <c r="S17" s="3" t="n"/>
      <c r="T17" s="3" t="n"/>
      <c r="U17" s="3" t="n"/>
      <c r="V17" s="3" t="n"/>
      <c r="W17" s="3" t="n"/>
      <c r="X17" s="3" t="n"/>
      <c r="Y17" s="3" t="n"/>
      <c r="Z17" s="3" t="n"/>
      <c r="AA17" s="3" t="n"/>
      <c r="AB17" s="3" t="n"/>
      <c r="AC17" s="4" t="inlineStr">
        <is>
          <t>InvDay_2026-05-12 p11</t>
        </is>
      </c>
    </row>
    <row r="18">
      <c r="A18" s="38" t="inlineStr">
        <is>
          <t>Top 40 OEMs (customers)</t>
        </is>
      </c>
      <c r="B18" s="3" t="n"/>
      <c r="C18" s="3" t="n"/>
      <c r="D18" s="3" t="n"/>
      <c r="E18" s="3" t="n"/>
      <c r="F18" s="3" t="n"/>
      <c r="G18" s="3" t="n"/>
      <c r="H18" s="41" t="n">
        <v>100</v>
      </c>
      <c r="I18" s="3" t="n"/>
      <c r="J18" s="3" t="n"/>
      <c r="K18" s="3" t="n"/>
      <c r="L18" s="3" t="n"/>
      <c r="M18" s="3" t="n"/>
      <c r="N18" s="3" t="n"/>
      <c r="O18" s="3" t="n"/>
      <c r="P18" s="3" t="n"/>
      <c r="Q18" s="3" t="n"/>
      <c r="R18" s="3" t="n"/>
      <c r="S18" s="3" t="n"/>
      <c r="T18" s="3" t="n"/>
      <c r="U18" s="3" t="n"/>
      <c r="V18" s="3" t="n"/>
      <c r="W18" s="3" t="n"/>
      <c r="X18" s="3" t="n"/>
      <c r="Y18" s="3" t="n"/>
      <c r="Z18" s="3" t="n"/>
      <c r="AA18" s="3" t="n"/>
      <c r="AB18" s="3" t="n"/>
      <c r="AC18" s="4" t="inlineStr">
        <is>
          <t>InvDay_2026-05-12 p11</t>
        </is>
      </c>
    </row>
    <row r="19">
      <c r="A19" s="38" t="inlineStr">
        <is>
          <t>Top 100 Suppliers (customers)</t>
        </is>
      </c>
      <c r="B19" s="3" t="n"/>
      <c r="C19" s="3" t="n"/>
      <c r="D19" s="3" t="n"/>
      <c r="E19" s="3" t="n"/>
      <c r="F19" s="3" t="n"/>
      <c r="G19" s="3" t="n"/>
      <c r="H19" s="41" t="n">
        <v>94</v>
      </c>
      <c r="I19" s="3" t="n"/>
      <c r="J19" s="3" t="n"/>
      <c r="K19" s="3" t="n"/>
      <c r="L19" s="3" t="n"/>
      <c r="M19" s="3" t="n"/>
      <c r="N19" s="3" t="n"/>
      <c r="O19" s="3" t="n"/>
      <c r="P19" s="3" t="n"/>
      <c r="Q19" s="3" t="n"/>
      <c r="R19" s="3" t="n"/>
      <c r="S19" s="3" t="n"/>
      <c r="T19" s="3" t="n"/>
      <c r="U19" s="3" t="n"/>
      <c r="V19" s="3" t="n"/>
      <c r="W19" s="3" t="n"/>
      <c r="X19" s="3" t="n"/>
      <c r="Y19" s="3" t="n"/>
      <c r="Z19" s="3" t="n"/>
      <c r="AA19" s="3" t="n"/>
      <c r="AB19" s="3" t="n"/>
      <c r="AC19" s="4" t="inlineStr">
        <is>
          <t>InvDay_2026-05-12 p11</t>
        </is>
      </c>
    </row>
    <row r="20">
      <c r="A20" s="38" t="inlineStr">
        <is>
          <t>Dealer Customers (printed 40K +)</t>
        </is>
      </c>
      <c r="B20" s="3" t="n"/>
      <c r="C20" s="3" t="n"/>
      <c r="D20" s="3" t="n"/>
      <c r="E20" s="3" t="n"/>
      <c r="F20" s="3" t="n"/>
      <c r="G20" s="3" t="n"/>
      <c r="H20" s="40" t="n">
        <v>40000</v>
      </c>
      <c r="I20" s="3" t="n"/>
      <c r="J20" s="3" t="n"/>
      <c r="K20" s="3" t="n"/>
      <c r="L20" s="3" t="n"/>
      <c r="M20" s="3" t="n"/>
      <c r="N20" s="3" t="n"/>
      <c r="O20" s="3" t="n"/>
      <c r="P20" s="3" t="n"/>
      <c r="Q20" s="3" t="n"/>
      <c r="R20" s="3" t="n"/>
      <c r="S20" s="3" t="n"/>
      <c r="T20" s="3" t="n"/>
      <c r="U20" s="3" t="n"/>
      <c r="V20" s="3" t="n"/>
      <c r="W20" s="3" t="n"/>
      <c r="X20" s="3" t="n"/>
      <c r="Y20" s="3" t="n"/>
      <c r="Z20" s="3" t="n"/>
      <c r="AA20" s="3" t="n"/>
      <c r="AB20" s="3" t="n"/>
      <c r="AC20" s="4" t="inlineStr">
        <is>
          <t>InvDay_2026-05-12 p11</t>
        </is>
      </c>
    </row>
    <row r="21">
      <c r="A21" s="38" t="inlineStr">
        <is>
          <t>Car Care Users (printed 53M +)</t>
        </is>
      </c>
      <c r="B21" s="3" t="n"/>
      <c r="C21" s="3" t="n"/>
      <c r="D21" s="3" t="n"/>
      <c r="E21" s="3" t="n"/>
      <c r="F21" s="3" t="n"/>
      <c r="G21" s="3" t="n"/>
      <c r="H21" s="40" t="n">
        <v>53000000</v>
      </c>
      <c r="I21" s="3" t="n"/>
      <c r="J21" s="3" t="n"/>
      <c r="K21" s="3" t="n"/>
      <c r="L21" s="3" t="n"/>
      <c r="M21" s="3" t="n"/>
      <c r="N21" s="3" t="n"/>
      <c r="O21" s="3" t="n"/>
      <c r="P21" s="3" t="n"/>
      <c r="Q21" s="3" t="n"/>
      <c r="R21" s="3" t="n"/>
      <c r="S21" s="3" t="n"/>
      <c r="T21" s="3" t="n"/>
      <c r="U21" s="3" t="n"/>
      <c r="V21" s="3" t="n"/>
      <c r="W21" s="3" t="n"/>
      <c r="X21" s="3" t="n"/>
      <c r="Y21" s="3" t="n"/>
      <c r="Z21" s="3" t="n"/>
      <c r="AA21" s="3" t="n"/>
      <c r="AB21" s="3" t="n"/>
      <c r="AC21" s="4" t="inlineStr">
        <is>
          <t>InvDay_2026-05-12 p11</t>
        </is>
      </c>
    </row>
    <row r="22">
      <c r="A22" s="14" t="inlineStr">
        <is>
          <t>InvDay_2026-05-12 · Mobility Global at a glance - REVENUE GROWTH</t>
        </is>
      </c>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row>
    <row r="23">
      <c r="A23" s="39" t="inlineStr">
        <is>
          <t>Revenue</t>
        </is>
      </c>
      <c r="B23" s="3" t="n"/>
      <c r="C23" s="3" t="n"/>
      <c r="D23" s="18" t="n">
        <v>1485</v>
      </c>
      <c r="E23" s="3" t="n"/>
      <c r="F23" s="18" t="n">
        <v>1613</v>
      </c>
      <c r="G23" s="3" t="n"/>
      <c r="H23" s="18" t="n">
        <v>1750</v>
      </c>
      <c r="I23" s="3" t="n"/>
      <c r="J23" s="3" t="n"/>
      <c r="K23" s="3" t="n"/>
      <c r="L23" s="3" t="n"/>
      <c r="M23" s="3" t="n"/>
      <c r="N23" s="3" t="n"/>
      <c r="O23" s="3" t="n"/>
      <c r="P23" s="3" t="n"/>
      <c r="Q23" s="3" t="n"/>
      <c r="R23" s="3" t="n"/>
      <c r="S23" s="3" t="n"/>
      <c r="T23" s="3" t="n"/>
      <c r="U23" s="3" t="n"/>
      <c r="V23" s="3" t="n"/>
      <c r="W23" s="3" t="n"/>
      <c r="X23" s="3" t="n"/>
      <c r="Y23" s="3" t="n"/>
      <c r="Z23" s="3" t="n"/>
      <c r="AA23" s="3" t="n"/>
      <c r="AB23" s="3" t="n"/>
      <c r="AC23" s="4" t="inlineStr">
        <is>
          <t>InvDay_2026-05-12 p11</t>
        </is>
      </c>
    </row>
    <row r="24">
      <c r="A24" s="38" t="inlineStr">
        <is>
          <t>Revenue CAGR</t>
        </is>
      </c>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41" t="n">
        <v>8.6</v>
      </c>
      <c r="X24" s="3" t="n"/>
      <c r="Y24" s="3" t="n"/>
      <c r="Z24" s="3" t="n"/>
      <c r="AA24" s="3" t="n"/>
      <c r="AB24" s="3" t="n"/>
      <c r="AC24" s="4" t="inlineStr">
        <is>
          <t>InvDay_2026-05-12 p11</t>
        </is>
      </c>
    </row>
    <row r="25">
      <c r="A25" s="14" t="inlineStr">
        <is>
          <t>InvDay_2026-05-12 · Accelerating industry demand for data and intelligence (MOBILITY GLOBAL ESTIMATES , 2025)</t>
        </is>
      </c>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row>
    <row r="26">
      <c r="A26" s="38" t="inlineStr">
        <is>
          <t>Global Auto Market (printed $ 8T)</t>
        </is>
      </c>
      <c r="B26" s="3" t="n"/>
      <c r="C26" s="3" t="n"/>
      <c r="D26" s="3" t="n"/>
      <c r="E26" s="3" t="n"/>
      <c r="F26" s="3" t="n"/>
      <c r="G26" s="42" t="inlineStr">
        <is>
          <t>8</t>
        </is>
      </c>
      <c r="H26" s="3" t="n"/>
      <c r="I26" s="3" t="n"/>
      <c r="J26" s="3" t="n"/>
      <c r="K26" s="3" t="n"/>
      <c r="L26" s="3" t="n"/>
      <c r="M26" s="3" t="n"/>
      <c r="N26" s="3" t="n"/>
      <c r="O26" s="3" t="n"/>
      <c r="P26" s="3" t="n"/>
      <c r="Q26" s="3" t="n"/>
      <c r="R26" s="3" t="n"/>
      <c r="S26" s="3" t="n"/>
      <c r="T26" s="3" t="n"/>
      <c r="U26" s="3" t="n"/>
      <c r="V26" s="3" t="n"/>
      <c r="W26" s="3" t="n"/>
      <c r="X26" s="3" t="n"/>
      <c r="Y26" s="3" t="n"/>
      <c r="Z26" s="3" t="n"/>
      <c r="AA26" s="3" t="n"/>
      <c r="AB26" s="3" t="n"/>
      <c r="AC26" s="4" t="inlineStr">
        <is>
          <t>InvDay_2026-05-12 p12</t>
        </is>
      </c>
    </row>
    <row r="27">
      <c r="A27" s="38" t="inlineStr">
        <is>
          <t>New vehicles sold annually (printed 90M +)</t>
        </is>
      </c>
      <c r="B27" s="3" t="n"/>
      <c r="C27" s="3" t="n"/>
      <c r="D27" s="3" t="n"/>
      <c r="E27" s="3" t="n"/>
      <c r="F27" s="3" t="n"/>
      <c r="G27" s="40" t="n">
        <v>90000000</v>
      </c>
      <c r="H27" s="3" t="n"/>
      <c r="I27" s="3" t="n"/>
      <c r="J27" s="3" t="n"/>
      <c r="K27" s="3" t="n"/>
      <c r="L27" s="3" t="n"/>
      <c r="M27" s="3" t="n"/>
      <c r="N27" s="3" t="n"/>
      <c r="O27" s="3" t="n"/>
      <c r="P27" s="3" t="n"/>
      <c r="Q27" s="3" t="n"/>
      <c r="R27" s="3" t="n"/>
      <c r="S27" s="3" t="n"/>
      <c r="T27" s="3" t="n"/>
      <c r="U27" s="3" t="n"/>
      <c r="V27" s="3" t="n"/>
      <c r="W27" s="3" t="n"/>
      <c r="X27" s="3" t="n"/>
      <c r="Y27" s="3" t="n"/>
      <c r="Z27" s="3" t="n"/>
      <c r="AA27" s="3" t="n"/>
      <c r="AB27" s="3" t="n"/>
      <c r="AC27" s="4" t="inlineStr">
        <is>
          <t>InvDay_2026-05-12 p12</t>
        </is>
      </c>
    </row>
    <row r="28">
      <c r="A28" s="38" t="inlineStr">
        <is>
          <t>Vehicles in operation globally (printed 1.5B +)</t>
        </is>
      </c>
      <c r="B28" s="3" t="n"/>
      <c r="C28" s="3" t="n"/>
      <c r="D28" s="3" t="n"/>
      <c r="E28" s="3" t="n"/>
      <c r="F28" s="3" t="n"/>
      <c r="G28" s="40" t="n">
        <v>1500000000</v>
      </c>
      <c r="H28" s="3" t="n"/>
      <c r="I28" s="3" t="n"/>
      <c r="J28" s="3" t="n"/>
      <c r="K28" s="3" t="n"/>
      <c r="L28" s="3" t="n"/>
      <c r="M28" s="3" t="n"/>
      <c r="N28" s="3" t="n"/>
      <c r="O28" s="3" t="n"/>
      <c r="P28" s="3" t="n"/>
      <c r="Q28" s="3" t="n"/>
      <c r="R28" s="3" t="n"/>
      <c r="S28" s="3" t="n"/>
      <c r="T28" s="3" t="n"/>
      <c r="U28" s="3" t="n"/>
      <c r="V28" s="3" t="n"/>
      <c r="W28" s="3" t="n"/>
      <c r="X28" s="3" t="n"/>
      <c r="Y28" s="3" t="n"/>
      <c r="Z28" s="3" t="n"/>
      <c r="AA28" s="3" t="n"/>
      <c r="AB28" s="3" t="n"/>
      <c r="AC28" s="4" t="inlineStr">
        <is>
          <t>InvDay_2026-05-12 p12</t>
        </is>
      </c>
    </row>
    <row r="29">
      <c r="A29" s="14" t="inlineStr">
        <is>
          <t>InvDay_2026-05-12 · Deepest , most valuable proprietary data estate in automotive</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row>
    <row r="30">
      <c r="A30" s="38" t="inlineStr">
        <is>
          <t>Revenue from unique data / proprietary IP and analytics (printed &gt; 90 %)</t>
        </is>
      </c>
      <c r="B30" s="3" t="n"/>
      <c r="C30" s="3" t="n"/>
      <c r="D30" s="3" t="n"/>
      <c r="E30" s="3" t="n"/>
      <c r="F30" s="3" t="n"/>
      <c r="G30" s="3" t="n"/>
      <c r="H30" s="42" t="inlineStr">
        <is>
          <t>&gt;90</t>
        </is>
      </c>
      <c r="I30" s="3" t="n"/>
      <c r="J30" s="3" t="n"/>
      <c r="K30" s="3" t="n"/>
      <c r="L30" s="3" t="n"/>
      <c r="M30" s="3" t="n"/>
      <c r="N30" s="3" t="n"/>
      <c r="O30" s="3" t="n"/>
      <c r="P30" s="3" t="n"/>
      <c r="Q30" s="3" t="n"/>
      <c r="R30" s="3" t="n"/>
      <c r="S30" s="3" t="n"/>
      <c r="T30" s="3" t="n"/>
      <c r="U30" s="3" t="n"/>
      <c r="V30" s="3" t="n"/>
      <c r="W30" s="3" t="n"/>
      <c r="X30" s="3" t="n"/>
      <c r="Y30" s="3" t="n"/>
      <c r="Z30" s="3" t="n"/>
      <c r="AA30" s="3" t="n"/>
      <c r="AB30" s="3" t="n"/>
      <c r="AC30" s="4" t="inlineStr">
        <is>
          <t>InvDay_2026-05-12 p17</t>
        </is>
      </c>
    </row>
    <row r="31">
      <c r="A31" s="38" t="inlineStr">
        <is>
          <t>Vehicle records (printed 60B)</t>
        </is>
      </c>
      <c r="B31" s="3" t="n"/>
      <c r="C31" s="3" t="n"/>
      <c r="D31" s="3" t="n"/>
      <c r="E31" s="3" t="n"/>
      <c r="F31" s="3" t="n"/>
      <c r="G31" s="3" t="n"/>
      <c r="H31" s="40" t="n">
        <v>60000000000</v>
      </c>
      <c r="I31" s="3" t="n"/>
      <c r="J31" s="3" t="n"/>
      <c r="K31" s="3" t="n"/>
      <c r="L31" s="3" t="n"/>
      <c r="M31" s="3" t="n"/>
      <c r="N31" s="3" t="n"/>
      <c r="O31" s="3" t="n"/>
      <c r="P31" s="3" t="n"/>
      <c r="Q31" s="3" t="n"/>
      <c r="R31" s="3" t="n"/>
      <c r="S31" s="3" t="n"/>
      <c r="T31" s="3" t="n"/>
      <c r="U31" s="3" t="n"/>
      <c r="V31" s="3" t="n"/>
      <c r="W31" s="3" t="n"/>
      <c r="X31" s="3" t="n"/>
      <c r="Y31" s="3" t="n"/>
      <c r="Z31" s="3" t="n"/>
      <c r="AA31" s="3" t="n"/>
      <c r="AB31" s="3" t="n"/>
      <c r="AC31" s="4" t="inlineStr">
        <is>
          <t>InvDay_2026-05-12 p17</t>
        </is>
      </c>
    </row>
    <row r="32">
      <c r="A32" s="38" t="inlineStr">
        <is>
          <t>Data sources (printed 177K)</t>
        </is>
      </c>
      <c r="B32" s="3" t="n"/>
      <c r="C32" s="3" t="n"/>
      <c r="D32" s="3" t="n"/>
      <c r="E32" s="3" t="n"/>
      <c r="F32" s="3" t="n"/>
      <c r="G32" s="3" t="n"/>
      <c r="H32" s="40" t="n">
        <v>177000</v>
      </c>
      <c r="I32" s="3" t="n"/>
      <c r="J32" s="3" t="n"/>
      <c r="K32" s="3" t="n"/>
      <c r="L32" s="3" t="n"/>
      <c r="M32" s="3" t="n"/>
      <c r="N32" s="3" t="n"/>
      <c r="O32" s="3" t="n"/>
      <c r="P32" s="3" t="n"/>
      <c r="Q32" s="3" t="n"/>
      <c r="R32" s="3" t="n"/>
      <c r="S32" s="3" t="n"/>
      <c r="T32" s="3" t="n"/>
      <c r="U32" s="3" t="n"/>
      <c r="V32" s="3" t="n"/>
      <c r="W32" s="3" t="n"/>
      <c r="X32" s="3" t="n"/>
      <c r="Y32" s="3" t="n"/>
      <c r="Z32" s="3" t="n"/>
      <c r="AA32" s="3" t="n"/>
      <c r="AB32" s="3" t="n"/>
      <c r="AC32" s="4" t="inlineStr">
        <is>
          <t>InvDay_2026-05-12 p17</t>
        </is>
      </c>
    </row>
    <row r="33">
      <c r="A33" s="38" t="inlineStr">
        <is>
          <t>Service Shops (printed 92K +)</t>
        </is>
      </c>
      <c r="B33" s="3" t="n"/>
      <c r="C33" s="3" t="n"/>
      <c r="D33" s="3" t="n"/>
      <c r="E33" s="3" t="n"/>
      <c r="F33" s="3" t="n"/>
      <c r="G33" s="3" t="n"/>
      <c r="H33" s="40" t="n">
        <v>92000</v>
      </c>
      <c r="I33" s="3" t="n"/>
      <c r="J33" s="3" t="n"/>
      <c r="K33" s="3" t="n"/>
      <c r="L33" s="3" t="n"/>
      <c r="M33" s="3" t="n"/>
      <c r="N33" s="3" t="n"/>
      <c r="O33" s="3" t="n"/>
      <c r="P33" s="3" t="n"/>
      <c r="Q33" s="3" t="n"/>
      <c r="R33" s="3" t="n"/>
      <c r="S33" s="3" t="n"/>
      <c r="T33" s="3" t="n"/>
      <c r="U33" s="3" t="n"/>
      <c r="V33" s="3" t="n"/>
      <c r="W33" s="3" t="n"/>
      <c r="X33" s="3" t="n"/>
      <c r="Y33" s="3" t="n"/>
      <c r="Z33" s="3" t="n"/>
      <c r="AA33" s="3" t="n"/>
      <c r="AB33" s="3" t="n"/>
      <c r="AC33" s="4" t="inlineStr">
        <is>
          <t>InvDay_2026-05-12 p17</t>
        </is>
      </c>
    </row>
    <row r="34">
      <c r="A34" s="38" t="inlineStr">
        <is>
          <t>Police agencies (printed 6K +)</t>
        </is>
      </c>
      <c r="B34" s="3" t="n"/>
      <c r="C34" s="3" t="n"/>
      <c r="D34" s="3" t="n"/>
      <c r="E34" s="3" t="n"/>
      <c r="F34" s="3" t="n"/>
      <c r="G34" s="3" t="n"/>
      <c r="H34" s="40" t="n">
        <v>6000</v>
      </c>
      <c r="I34" s="3" t="n"/>
      <c r="J34" s="3" t="n"/>
      <c r="K34" s="3" t="n"/>
      <c r="L34" s="3" t="n"/>
      <c r="M34" s="3" t="n"/>
      <c r="N34" s="3" t="n"/>
      <c r="O34" s="3" t="n"/>
      <c r="P34" s="3" t="n"/>
      <c r="Q34" s="3" t="n"/>
      <c r="R34" s="3" t="n"/>
      <c r="S34" s="3" t="n"/>
      <c r="T34" s="3" t="n"/>
      <c r="U34" s="3" t="n"/>
      <c r="V34" s="3" t="n"/>
      <c r="W34" s="3" t="n"/>
      <c r="X34" s="3" t="n"/>
      <c r="Y34" s="3" t="n"/>
      <c r="Z34" s="3" t="n"/>
      <c r="AA34" s="3" t="n"/>
      <c r="AB34" s="3" t="n"/>
      <c r="AC34" s="4" t="inlineStr">
        <is>
          <t>InvDay_2026-05-12 p17</t>
        </is>
      </c>
    </row>
    <row r="35">
      <c r="A35" s="38" t="inlineStr">
        <is>
          <t>Unique vehicles tracked (printed ~ 832M)</t>
        </is>
      </c>
      <c r="B35" s="3" t="n"/>
      <c r="C35" s="3" t="n"/>
      <c r="D35" s="3" t="n"/>
      <c r="E35" s="3" t="n"/>
      <c r="F35" s="3" t="n"/>
      <c r="G35" s="3" t="n"/>
      <c r="H35" s="40" t="n">
        <v>832000000</v>
      </c>
      <c r="I35" s="3" t="n"/>
      <c r="J35" s="3" t="n"/>
      <c r="K35" s="3" t="n"/>
      <c r="L35" s="3" t="n"/>
      <c r="M35" s="3" t="n"/>
      <c r="N35" s="3" t="n"/>
      <c r="O35" s="3" t="n"/>
      <c r="P35" s="3" t="n"/>
      <c r="Q35" s="3" t="n"/>
      <c r="R35" s="3" t="n"/>
      <c r="S35" s="3" t="n"/>
      <c r="T35" s="3" t="n"/>
      <c r="U35" s="3" t="n"/>
      <c r="V35" s="3" t="n"/>
      <c r="W35" s="3" t="n"/>
      <c r="X35" s="3" t="n"/>
      <c r="Y35" s="3" t="n"/>
      <c r="Z35" s="3" t="n"/>
      <c r="AA35" s="3" t="n"/>
      <c r="AB35" s="3" t="n"/>
      <c r="AC35" s="4" t="inlineStr">
        <is>
          <t>InvDay_2026-05-12 p17</t>
        </is>
      </c>
    </row>
    <row r="36">
      <c r="A36" s="38" t="inlineStr">
        <is>
          <t>Households modeled (printed 126M +)</t>
        </is>
      </c>
      <c r="B36" s="3" t="n"/>
      <c r="C36" s="3" t="n"/>
      <c r="D36" s="3" t="n"/>
      <c r="E36" s="3" t="n"/>
      <c r="F36" s="3" t="n"/>
      <c r="G36" s="3" t="n"/>
      <c r="H36" s="40" t="n">
        <v>126000000</v>
      </c>
      <c r="I36" s="3" t="n"/>
      <c r="J36" s="3" t="n"/>
      <c r="K36" s="3" t="n"/>
      <c r="L36" s="3" t="n"/>
      <c r="M36" s="3" t="n"/>
      <c r="N36" s="3" t="n"/>
      <c r="O36" s="3" t="n"/>
      <c r="P36" s="3" t="n"/>
      <c r="Q36" s="3" t="n"/>
      <c r="R36" s="3" t="n"/>
      <c r="S36" s="3" t="n"/>
      <c r="T36" s="3" t="n"/>
      <c r="U36" s="3" t="n"/>
      <c r="V36" s="3" t="n"/>
      <c r="W36" s="3" t="n"/>
      <c r="X36" s="3" t="n"/>
      <c r="Y36" s="3" t="n"/>
      <c r="Z36" s="3" t="n"/>
      <c r="AA36" s="3" t="n"/>
      <c r="AB36" s="3" t="n"/>
      <c r="AC36" s="4" t="inlineStr">
        <is>
          <t>InvDay_2026-05-12 p17</t>
        </is>
      </c>
    </row>
    <row r="37">
      <c r="A37" s="38" t="inlineStr">
        <is>
          <t>VH - based valuations (printed 250M)</t>
        </is>
      </c>
      <c r="B37" s="3" t="n"/>
      <c r="C37" s="3" t="n"/>
      <c r="D37" s="3" t="n"/>
      <c r="E37" s="3" t="n"/>
      <c r="F37" s="3" t="n"/>
      <c r="G37" s="3" t="n"/>
      <c r="H37" s="40" t="n">
        <v>250000000</v>
      </c>
      <c r="I37" s="3" t="n"/>
      <c r="J37" s="3" t="n"/>
      <c r="K37" s="3" t="n"/>
      <c r="L37" s="3" t="n"/>
      <c r="M37" s="3" t="n"/>
      <c r="N37" s="3" t="n"/>
      <c r="O37" s="3" t="n"/>
      <c r="P37" s="3" t="n"/>
      <c r="Q37" s="3" t="n"/>
      <c r="R37" s="3" t="n"/>
      <c r="S37" s="3" t="n"/>
      <c r="T37" s="3" t="n"/>
      <c r="U37" s="3" t="n"/>
      <c r="V37" s="3" t="n"/>
      <c r="W37" s="3" t="n"/>
      <c r="X37" s="3" t="n"/>
      <c r="Y37" s="3" t="n"/>
      <c r="Z37" s="3" t="n"/>
      <c r="AA37" s="3" t="n"/>
      <c r="AB37" s="3" t="n"/>
      <c r="AC37" s="4" t="inlineStr">
        <is>
          <t>InvDay_2026-05-12 p17</t>
        </is>
      </c>
    </row>
    <row r="38">
      <c r="A38" s="38" t="inlineStr">
        <is>
          <t>Behavior Prediction Scores calculated daily (printed 215M)</t>
        </is>
      </c>
      <c r="B38" s="3" t="n"/>
      <c r="C38" s="3" t="n"/>
      <c r="D38" s="3" t="n"/>
      <c r="E38" s="3" t="n"/>
      <c r="F38" s="3" t="n"/>
      <c r="G38" s="3" t="n"/>
      <c r="H38" s="40" t="n">
        <v>215000000</v>
      </c>
      <c r="I38" s="3" t="n"/>
      <c r="J38" s="3" t="n"/>
      <c r="K38" s="3" t="n"/>
      <c r="L38" s="3" t="n"/>
      <c r="M38" s="3" t="n"/>
      <c r="N38" s="3" t="n"/>
      <c r="O38" s="3" t="n"/>
      <c r="P38" s="3" t="n"/>
      <c r="Q38" s="3" t="n"/>
      <c r="R38" s="3" t="n"/>
      <c r="S38" s="3" t="n"/>
      <c r="T38" s="3" t="n"/>
      <c r="U38" s="3" t="n"/>
      <c r="V38" s="3" t="n"/>
      <c r="W38" s="3" t="n"/>
      <c r="X38" s="3" t="n"/>
      <c r="Y38" s="3" t="n"/>
      <c r="Z38" s="3" t="n"/>
      <c r="AA38" s="3" t="n"/>
      <c r="AB38" s="3" t="n"/>
      <c r="AC38" s="4" t="inlineStr">
        <is>
          <t>InvDay_2026-05-12 p17</t>
        </is>
      </c>
    </row>
    <row r="39">
      <c r="A39" s="38" t="inlineStr">
        <is>
          <t>Vehicle history report views monthly (printed 28M +)</t>
        </is>
      </c>
      <c r="B39" s="3" t="n"/>
      <c r="C39" s="3" t="n"/>
      <c r="D39" s="3" t="n"/>
      <c r="E39" s="3" t="n"/>
      <c r="F39" s="3" t="n"/>
      <c r="G39" s="3" t="n"/>
      <c r="H39" s="40" t="n">
        <v>28000000</v>
      </c>
      <c r="I39" s="3" t="n"/>
      <c r="J39" s="3" t="n"/>
      <c r="K39" s="3" t="n"/>
      <c r="L39" s="3" t="n"/>
      <c r="M39" s="3" t="n"/>
      <c r="N39" s="3" t="n"/>
      <c r="O39" s="3" t="n"/>
      <c r="P39" s="3" t="n"/>
      <c r="Q39" s="3" t="n"/>
      <c r="R39" s="3" t="n"/>
      <c r="S39" s="3" t="n"/>
      <c r="T39" s="3" t="n"/>
      <c r="U39" s="3" t="n"/>
      <c r="V39" s="3" t="n"/>
      <c r="W39" s="3" t="n"/>
      <c r="X39" s="3" t="n"/>
      <c r="Y39" s="3" t="n"/>
      <c r="Z39" s="3" t="n"/>
      <c r="AA39" s="3" t="n"/>
      <c r="AB39" s="3" t="n"/>
      <c r="AC39" s="4" t="inlineStr">
        <is>
          <t>InvDay_2026-05-12 p17</t>
        </is>
      </c>
    </row>
    <row r="40">
      <c r="A40" s="38" t="inlineStr">
        <is>
          <t>users logging into Strategy &amp; Planning platforms monthly (printed 23K)</t>
        </is>
      </c>
      <c r="B40" s="3" t="n"/>
      <c r="C40" s="3" t="n"/>
      <c r="D40" s="3" t="n"/>
      <c r="E40" s="3" t="n"/>
      <c r="F40" s="3" t="n"/>
      <c r="G40" s="3" t="n"/>
      <c r="H40" s="40" t="n">
        <v>23000</v>
      </c>
      <c r="I40" s="3" t="n"/>
      <c r="J40" s="3" t="n"/>
      <c r="K40" s="3" t="n"/>
      <c r="L40" s="3" t="n"/>
      <c r="M40" s="3" t="n"/>
      <c r="N40" s="3" t="n"/>
      <c r="O40" s="3" t="n"/>
      <c r="P40" s="3" t="n"/>
      <c r="Q40" s="3" t="n"/>
      <c r="R40" s="3" t="n"/>
      <c r="S40" s="3" t="n"/>
      <c r="T40" s="3" t="n"/>
      <c r="U40" s="3" t="n"/>
      <c r="V40" s="3" t="n"/>
      <c r="W40" s="3" t="n"/>
      <c r="X40" s="3" t="n"/>
      <c r="Y40" s="3" t="n"/>
      <c r="Z40" s="3" t="n"/>
      <c r="AA40" s="3" t="n"/>
      <c r="AB40" s="3" t="n"/>
      <c r="AC40" s="4" t="inlineStr">
        <is>
          <t>InvDay_2026-05-12 p17</t>
        </is>
      </c>
    </row>
    <row r="41">
      <c r="A41" s="38" t="inlineStr">
        <is>
          <t>Data research inquiries in the last year (printed ~ 170K)</t>
        </is>
      </c>
      <c r="B41" s="3" t="n"/>
      <c r="C41" s="3" t="n"/>
      <c r="D41" s="3" t="n"/>
      <c r="E41" s="3" t="n"/>
      <c r="F41" s="3" t="n"/>
      <c r="G41" s="3" t="n"/>
      <c r="H41" s="40" t="n">
        <v>170000</v>
      </c>
      <c r="I41" s="3" t="n"/>
      <c r="J41" s="3" t="n"/>
      <c r="K41" s="3" t="n"/>
      <c r="L41" s="3" t="n"/>
      <c r="M41" s="3" t="n"/>
      <c r="N41" s="3" t="n"/>
      <c r="O41" s="3" t="n"/>
      <c r="P41" s="3" t="n"/>
      <c r="Q41" s="3" t="n"/>
      <c r="R41" s="3" t="n"/>
      <c r="S41" s="3" t="n"/>
      <c r="T41" s="3" t="n"/>
      <c r="U41" s="3" t="n"/>
      <c r="V41" s="3" t="n"/>
      <c r="W41" s="3" t="n"/>
      <c r="X41" s="3" t="n"/>
      <c r="Y41" s="3" t="n"/>
      <c r="Z41" s="3" t="n"/>
      <c r="AA41" s="3" t="n"/>
      <c r="AB41" s="3" t="n"/>
      <c r="AC41" s="4" t="inlineStr">
        <is>
          <t>InvDay_2026-05-12 p17</t>
        </is>
      </c>
    </row>
    <row r="42">
      <c r="A42" s="14" t="inlineStr">
        <is>
          <t>InvDay_2026-05-12 · Our trusted , leading brands define their categories</t>
        </is>
      </c>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row>
    <row r="43">
      <c r="A43" s="38" t="inlineStr">
        <is>
          <t>CARFAX Total in - market Awareness</t>
        </is>
      </c>
      <c r="B43" s="3" t="n"/>
      <c r="C43" s="3" t="n"/>
      <c r="D43" s="3" t="n"/>
      <c r="E43" s="3" t="n"/>
      <c r="F43" s="3" t="n"/>
      <c r="G43" s="3" t="n"/>
      <c r="H43" s="41" t="n">
        <v>96</v>
      </c>
      <c r="I43" s="3" t="n"/>
      <c r="J43" s="3" t="n"/>
      <c r="K43" s="3" t="n"/>
      <c r="L43" s="3" t="n"/>
      <c r="M43" s="3" t="n"/>
      <c r="N43" s="3" t="n"/>
      <c r="O43" s="3" t="n"/>
      <c r="P43" s="3" t="n"/>
      <c r="Q43" s="3" t="n"/>
      <c r="R43" s="3" t="n"/>
      <c r="S43" s="3" t="n"/>
      <c r="T43" s="3" t="n"/>
      <c r="U43" s="3" t="n"/>
      <c r="V43" s="3" t="n"/>
      <c r="W43" s="3" t="n"/>
      <c r="X43" s="3" t="n"/>
      <c r="Y43" s="3" t="n"/>
      <c r="Z43" s="3" t="n"/>
      <c r="AA43" s="3" t="n"/>
      <c r="AB43" s="3" t="n"/>
      <c r="AC43" s="4" t="inlineStr">
        <is>
          <t>InvDay_2026-05-12 p18</t>
        </is>
      </c>
    </row>
    <row r="44">
      <c r="A44" s="38" t="inlineStr">
        <is>
          <t>Car Fox mascot Recognition</t>
        </is>
      </c>
      <c r="B44" s="3" t="n"/>
      <c r="C44" s="3" t="n"/>
      <c r="D44" s="3" t="n"/>
      <c r="E44" s="3" t="n"/>
      <c r="F44" s="3" t="n"/>
      <c r="G44" s="3" t="n"/>
      <c r="H44" s="41" t="n">
        <v>85</v>
      </c>
      <c r="I44" s="3" t="n"/>
      <c r="J44" s="3" t="n"/>
      <c r="K44" s="3" t="n"/>
      <c r="L44" s="3" t="n"/>
      <c r="M44" s="3" t="n"/>
      <c r="N44" s="3" t="n"/>
      <c r="O44" s="3" t="n"/>
      <c r="P44" s="3" t="n"/>
      <c r="Q44" s="3" t="n"/>
      <c r="R44" s="3" t="n"/>
      <c r="S44" s="3" t="n"/>
      <c r="T44" s="3" t="n"/>
      <c r="U44" s="3" t="n"/>
      <c r="V44" s="3" t="n"/>
      <c r="W44" s="3" t="n"/>
      <c r="X44" s="3" t="n"/>
      <c r="Y44" s="3" t="n"/>
      <c r="Z44" s="3" t="n"/>
      <c r="AA44" s="3" t="n"/>
      <c r="AB44" s="3" t="n"/>
      <c r="AC44" s="4" t="inlineStr">
        <is>
          <t>InvDay_2026-05-12 p18</t>
        </is>
      </c>
    </row>
    <row r="45">
      <c r="A45" s="38" t="inlineStr">
        <is>
          <t>Years as Market Leading Forecast (printed 30+ Years)</t>
        </is>
      </c>
      <c r="B45" s="3" t="n"/>
      <c r="C45" s="3" t="n"/>
      <c r="D45" s="3" t="n"/>
      <c r="E45" s="3" t="n"/>
      <c r="F45" s="3" t="n"/>
      <c r="G45" s="3" t="n"/>
      <c r="H45" s="42" t="inlineStr">
        <is>
          <t>30+</t>
        </is>
      </c>
      <c r="I45" s="3" t="n"/>
      <c r="J45" s="3" t="n"/>
      <c r="K45" s="3" t="n"/>
      <c r="L45" s="3" t="n"/>
      <c r="M45" s="3" t="n"/>
      <c r="N45" s="3" t="n"/>
      <c r="O45" s="3" t="n"/>
      <c r="P45" s="3" t="n"/>
      <c r="Q45" s="3" t="n"/>
      <c r="R45" s="3" t="n"/>
      <c r="S45" s="3" t="n"/>
      <c r="T45" s="3" t="n"/>
      <c r="U45" s="3" t="n"/>
      <c r="V45" s="3" t="n"/>
      <c r="W45" s="3" t="n"/>
      <c r="X45" s="3" t="n"/>
      <c r="Y45" s="3" t="n"/>
      <c r="Z45" s="3" t="n"/>
      <c r="AA45" s="3" t="n"/>
      <c r="AB45" s="3" t="n"/>
      <c r="AC45" s="4" t="inlineStr">
        <is>
          <t>InvDay_2026-05-12 p18</t>
        </is>
      </c>
    </row>
    <row r="46">
      <c r="A46" s="14" t="inlineStr">
        <is>
          <t>InvDay_2026-05-12 · Our trusted , leading brands define their categories (fn1: TENEO SURVEY OF 1257 AUTOMOTIVEMASTERMIND CUSTOMERS IN MAY 2021)</t>
        </is>
      </c>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row>
    <row r="47">
      <c r="A47" s="38" t="inlineStr">
        <is>
          <t>of Key Decision Makers believe automotive Mastermind is " needed in their dealerships "</t>
        </is>
      </c>
      <c r="B47" s="41" t="n">
        <v>90</v>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4" t="inlineStr">
        <is>
          <t>InvDay_2026-05-12 p18</t>
        </is>
      </c>
    </row>
    <row r="48">
      <c r="A48" s="14" t="inlineStr">
        <is>
          <t>InvDay_2026-05-12 · Our trusted , leading brands define their categories (fn2: INTERNAL CARFAX DATA 2000 TO 2025; incl. TV/radio, paid digital, classified partners, dealer POP, ad production - data only available since 2015)</t>
        </is>
      </c>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row>
    <row r="49">
      <c r="A49" s="38" t="inlineStr">
        <is>
          <t>Media Investment Since 2000 (printed $ 1.5B)</t>
        </is>
      </c>
      <c r="B49" s="3" t="n"/>
      <c r="C49" s="3" t="n"/>
      <c r="D49" s="3" t="n"/>
      <c r="E49" s="3" t="n"/>
      <c r="F49" s="3" t="n"/>
      <c r="G49" s="3" t="n"/>
      <c r="H49" s="3" t="n"/>
      <c r="I49" s="3" t="n"/>
      <c r="J49" s="3" t="n"/>
      <c r="K49" s="3" t="n"/>
      <c r="L49" s="3" t="n"/>
      <c r="M49" s="3" t="n"/>
      <c r="N49" s="3" t="n"/>
      <c r="O49" s="3" t="n"/>
      <c r="P49" s="3" t="n"/>
      <c r="Q49" s="3" t="n"/>
      <c r="R49" s="3" t="n"/>
      <c r="S49" s="30" t="n">
        <v>1500</v>
      </c>
      <c r="T49" s="3" t="n"/>
      <c r="U49" s="3" t="n"/>
      <c r="V49" s="3" t="n"/>
      <c r="W49" s="3" t="n"/>
      <c r="X49" s="3" t="n"/>
      <c r="Y49" s="3" t="n"/>
      <c r="Z49" s="3" t="n"/>
      <c r="AA49" s="3" t="n"/>
      <c r="AB49" s="3" t="n"/>
      <c r="AC49" s="4" t="inlineStr">
        <is>
          <t>InvDay_2026-05-12 p18</t>
        </is>
      </c>
    </row>
    <row r="50">
      <c r="A50" s="14" t="inlineStr">
        <is>
          <t>InvDay_2026-05-12 · Unmatched scale and reach across the automotive ecosystem</t>
        </is>
      </c>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row>
    <row r="51">
      <c r="A51" s="38" t="inlineStr">
        <is>
          <t>Of Top 20 Financial Institutions (customers)</t>
        </is>
      </c>
      <c r="B51" s="3" t="n"/>
      <c r="C51" s="3" t="n"/>
      <c r="D51" s="3" t="n"/>
      <c r="E51" s="3" t="n"/>
      <c r="F51" s="3" t="n"/>
      <c r="G51" s="3" t="n"/>
      <c r="H51" s="40" t="n">
        <v>17</v>
      </c>
      <c r="I51" s="3" t="n"/>
      <c r="J51" s="3" t="n"/>
      <c r="K51" s="3" t="n"/>
      <c r="L51" s="3" t="n"/>
      <c r="M51" s="3" t="n"/>
      <c r="N51" s="3" t="n"/>
      <c r="O51" s="3" t="n"/>
      <c r="P51" s="3" t="n"/>
      <c r="Q51" s="3" t="n"/>
      <c r="R51" s="3" t="n"/>
      <c r="S51" s="3" t="n"/>
      <c r="T51" s="3" t="n"/>
      <c r="U51" s="3" t="n"/>
      <c r="V51" s="3" t="n"/>
      <c r="W51" s="3" t="n"/>
      <c r="X51" s="3" t="n"/>
      <c r="Y51" s="3" t="n"/>
      <c r="Z51" s="3" t="n"/>
      <c r="AA51" s="3" t="n"/>
      <c r="AB51" s="3" t="n"/>
      <c r="AC51" s="4" t="inlineStr">
        <is>
          <t>InvDay_2026-05-12 p19</t>
        </is>
      </c>
    </row>
    <row r="52">
      <c r="A52" s="38" t="inlineStr">
        <is>
          <t>Top 40 Global OEMs</t>
        </is>
      </c>
      <c r="B52" s="3" t="n"/>
      <c r="C52" s="3" t="n"/>
      <c r="D52" s="3" t="n"/>
      <c r="E52" s="3" t="n"/>
      <c r="F52" s="3" t="n"/>
      <c r="G52" s="3" t="n"/>
      <c r="H52" s="41" t="n">
        <v>100</v>
      </c>
      <c r="I52" s="3" t="n"/>
      <c r="J52" s="3" t="n"/>
      <c r="K52" s="3" t="n"/>
      <c r="L52" s="3" t="n"/>
      <c r="M52" s="3" t="n"/>
      <c r="N52" s="3" t="n"/>
      <c r="O52" s="3" t="n"/>
      <c r="P52" s="3" t="n"/>
      <c r="Q52" s="3" t="n"/>
      <c r="R52" s="3" t="n"/>
      <c r="S52" s="3" t="n"/>
      <c r="T52" s="3" t="n"/>
      <c r="U52" s="3" t="n"/>
      <c r="V52" s="3" t="n"/>
      <c r="W52" s="3" t="n"/>
      <c r="X52" s="3" t="n"/>
      <c r="Y52" s="3" t="n"/>
      <c r="Z52" s="3" t="n"/>
      <c r="AA52" s="3" t="n"/>
      <c r="AB52" s="3" t="n"/>
      <c r="AC52" s="4" t="inlineStr">
        <is>
          <t>InvDay_2026-05-12 p19</t>
        </is>
      </c>
    </row>
    <row r="53">
      <c r="A53" s="38" t="inlineStr">
        <is>
          <t>Top 100 Global Automotive Suppliers</t>
        </is>
      </c>
      <c r="B53" s="3" t="n"/>
      <c r="C53" s="3" t="n"/>
      <c r="D53" s="3" t="n"/>
      <c r="E53" s="3" t="n"/>
      <c r="F53" s="3" t="n"/>
      <c r="G53" s="3" t="n"/>
      <c r="H53" s="41" t="n">
        <v>94</v>
      </c>
      <c r="I53" s="3" t="n"/>
      <c r="J53" s="3" t="n"/>
      <c r="K53" s="3" t="n"/>
      <c r="L53" s="3" t="n"/>
      <c r="M53" s="3" t="n"/>
      <c r="N53" s="3" t="n"/>
      <c r="O53" s="3" t="n"/>
      <c r="P53" s="3" t="n"/>
      <c r="Q53" s="3" t="n"/>
      <c r="R53" s="3" t="n"/>
      <c r="S53" s="3" t="n"/>
      <c r="T53" s="3" t="n"/>
      <c r="U53" s="3" t="n"/>
      <c r="V53" s="3" t="n"/>
      <c r="W53" s="3" t="n"/>
      <c r="X53" s="3" t="n"/>
      <c r="Y53" s="3" t="n"/>
      <c r="Z53" s="3" t="n"/>
      <c r="AA53" s="3" t="n"/>
      <c r="AB53" s="3" t="n"/>
      <c r="AC53" s="4" t="inlineStr">
        <is>
          <t>InvDay_2026-05-12 p19</t>
        </is>
      </c>
    </row>
    <row r="54">
      <c r="A54" s="38" t="inlineStr">
        <is>
          <t>Dealer Network (printed 40K +)</t>
        </is>
      </c>
      <c r="B54" s="3" t="n"/>
      <c r="C54" s="3" t="n"/>
      <c r="D54" s="3" t="n"/>
      <c r="E54" s="3" t="n"/>
      <c r="F54" s="3" t="n"/>
      <c r="G54" s="3" t="n"/>
      <c r="H54" s="40" t="n">
        <v>40000</v>
      </c>
      <c r="I54" s="3" t="n"/>
      <c r="J54" s="3" t="n"/>
      <c r="K54" s="3" t="n"/>
      <c r="L54" s="3" t="n"/>
      <c r="M54" s="3" t="n"/>
      <c r="N54" s="3" t="n"/>
      <c r="O54" s="3" t="n"/>
      <c r="P54" s="3" t="n"/>
      <c r="Q54" s="3" t="n"/>
      <c r="R54" s="3" t="n"/>
      <c r="S54" s="3" t="n"/>
      <c r="T54" s="3" t="n"/>
      <c r="U54" s="3" t="n"/>
      <c r="V54" s="3" t="n"/>
      <c r="W54" s="3" t="n"/>
      <c r="X54" s="3" t="n"/>
      <c r="Y54" s="3" t="n"/>
      <c r="Z54" s="3" t="n"/>
      <c r="AA54" s="3" t="n"/>
      <c r="AB54" s="3" t="n"/>
      <c r="AC54" s="4" t="inlineStr">
        <is>
          <t>InvDay_2026-05-12 p19</t>
        </is>
      </c>
    </row>
    <row r="55">
      <c r="A55" s="38" t="inlineStr">
        <is>
          <t>Annual Trade - In Leads (printed 1.4M +)</t>
        </is>
      </c>
      <c r="B55" s="3" t="n"/>
      <c r="C55" s="3" t="n"/>
      <c r="D55" s="3" t="n"/>
      <c r="E55" s="3" t="n"/>
      <c r="F55" s="3" t="n"/>
      <c r="G55" s="3" t="n"/>
      <c r="H55" s="40" t="n">
        <v>1400000</v>
      </c>
      <c r="I55" s="3" t="n"/>
      <c r="J55" s="3" t="n"/>
      <c r="K55" s="3" t="n"/>
      <c r="L55" s="3" t="n"/>
      <c r="M55" s="3" t="n"/>
      <c r="N55" s="3" t="n"/>
      <c r="O55" s="3" t="n"/>
      <c r="P55" s="3" t="n"/>
      <c r="Q55" s="3" t="n"/>
      <c r="R55" s="3" t="n"/>
      <c r="S55" s="3" t="n"/>
      <c r="T55" s="3" t="n"/>
      <c r="U55" s="3" t="n"/>
      <c r="V55" s="3" t="n"/>
      <c r="W55" s="3" t="n"/>
      <c r="X55" s="3" t="n"/>
      <c r="Y55" s="3" t="n"/>
      <c r="Z55" s="3" t="n"/>
      <c r="AA55" s="3" t="n"/>
      <c r="AB55" s="3" t="n"/>
      <c r="AC55" s="4" t="inlineStr">
        <is>
          <t>InvDay_2026-05-12 p19</t>
        </is>
      </c>
    </row>
    <row r="56">
      <c r="A56" s="38" t="inlineStr">
        <is>
          <t>Monthly Unique Visitors to CARFAX US Website and App (printed 23M +)</t>
        </is>
      </c>
      <c r="B56" s="3" t="n"/>
      <c r="C56" s="3" t="n"/>
      <c r="D56" s="3" t="n"/>
      <c r="E56" s="3" t="n"/>
      <c r="F56" s="3" t="n"/>
      <c r="G56" s="3" t="n"/>
      <c r="H56" s="40" t="n">
        <v>23000000</v>
      </c>
      <c r="I56" s="3" t="n"/>
      <c r="J56" s="3" t="n"/>
      <c r="K56" s="3" t="n"/>
      <c r="L56" s="3" t="n"/>
      <c r="M56" s="3" t="n"/>
      <c r="N56" s="3" t="n"/>
      <c r="O56" s="3" t="n"/>
      <c r="P56" s="3" t="n"/>
      <c r="Q56" s="3" t="n"/>
      <c r="R56" s="3" t="n"/>
      <c r="S56" s="3" t="n"/>
      <c r="T56" s="3" t="n"/>
      <c r="U56" s="3" t="n"/>
      <c r="V56" s="3" t="n"/>
      <c r="W56" s="3" t="n"/>
      <c r="X56" s="3" t="n"/>
      <c r="Y56" s="3" t="n"/>
      <c r="Z56" s="3" t="n"/>
      <c r="AA56" s="3" t="n"/>
      <c r="AB56" s="3" t="n"/>
      <c r="AC56" s="4" t="inlineStr">
        <is>
          <t>InvDay_2026-05-12 p19</t>
        </is>
      </c>
    </row>
    <row r="57">
      <c r="A57" s="38" t="inlineStr">
        <is>
          <t>Vehicle History Report Views Monthly (printed 28M +)</t>
        </is>
      </c>
      <c r="B57" s="3" t="n"/>
      <c r="C57" s="3" t="n"/>
      <c r="D57" s="3" t="n"/>
      <c r="E57" s="3" t="n"/>
      <c r="F57" s="3" t="n"/>
      <c r="G57" s="3" t="n"/>
      <c r="H57" s="40" t="n">
        <v>28000000</v>
      </c>
      <c r="I57" s="3" t="n"/>
      <c r="J57" s="3" t="n"/>
      <c r="K57" s="3" t="n"/>
      <c r="L57" s="3" t="n"/>
      <c r="M57" s="3" t="n"/>
      <c r="N57" s="3" t="n"/>
      <c r="O57" s="3" t="n"/>
      <c r="P57" s="3" t="n"/>
      <c r="Q57" s="3" t="n"/>
      <c r="R57" s="3" t="n"/>
      <c r="S57" s="3" t="n"/>
      <c r="T57" s="3" t="n"/>
      <c r="U57" s="3" t="n"/>
      <c r="V57" s="3" t="n"/>
      <c r="W57" s="3" t="n"/>
      <c r="X57" s="3" t="n"/>
      <c r="Y57" s="3" t="n"/>
      <c r="Z57" s="3" t="n"/>
      <c r="AA57" s="3" t="n"/>
      <c r="AB57" s="3" t="n"/>
      <c r="AC57" s="4" t="inlineStr">
        <is>
          <t>InvDay_2026-05-12 p19</t>
        </is>
      </c>
    </row>
    <row r="58">
      <c r="A58" s="38" t="inlineStr">
        <is>
          <t>CARFAX Car Care Consumer Audience (printed 53M +)</t>
        </is>
      </c>
      <c r="B58" s="3" t="n"/>
      <c r="C58" s="3" t="n"/>
      <c r="D58" s="3" t="n"/>
      <c r="E58" s="3" t="n"/>
      <c r="F58" s="3" t="n"/>
      <c r="G58" s="3" t="n"/>
      <c r="H58" s="40" t="n">
        <v>53000000</v>
      </c>
      <c r="I58" s="3" t="n"/>
      <c r="J58" s="3" t="n"/>
      <c r="K58" s="3" t="n"/>
      <c r="L58" s="3" t="n"/>
      <c r="M58" s="3" t="n"/>
      <c r="N58" s="3" t="n"/>
      <c r="O58" s="3" t="n"/>
      <c r="P58" s="3" t="n"/>
      <c r="Q58" s="3" t="n"/>
      <c r="R58" s="3" t="n"/>
      <c r="S58" s="3" t="n"/>
      <c r="T58" s="3" t="n"/>
      <c r="U58" s="3" t="n"/>
      <c r="V58" s="3" t="n"/>
      <c r="W58" s="3" t="n"/>
      <c r="X58" s="3" t="n"/>
      <c r="Y58" s="3" t="n"/>
      <c r="Z58" s="3" t="n"/>
      <c r="AA58" s="3" t="n"/>
      <c r="AB58" s="3" t="n"/>
      <c r="AC58" s="4" t="inlineStr">
        <is>
          <t>InvDay_2026-05-12 p19</t>
        </is>
      </c>
    </row>
    <row r="59">
      <c r="A59" s="14" t="inlineStr">
        <is>
          <t>InvDay_2026-05-12 · Unifying Mobility Global</t>
        </is>
      </c>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5" t="n"/>
      <c r="AB59" s="15" t="n"/>
      <c r="AC59" s="15" t="n"/>
    </row>
    <row r="60">
      <c r="A60" s="38" t="inlineStr">
        <is>
          <t>Employees (printed ~ 3,500 highly talented people)</t>
        </is>
      </c>
      <c r="B60" s="3" t="n"/>
      <c r="C60" s="3" t="n"/>
      <c r="D60" s="3" t="n"/>
      <c r="E60" s="3" t="n"/>
      <c r="F60" s="3" t="n"/>
      <c r="G60" s="3" t="n"/>
      <c r="H60" s="3" t="n"/>
      <c r="I60" s="40" t="n">
        <v>3500</v>
      </c>
      <c r="J60" s="3" t="n"/>
      <c r="K60" s="3" t="n"/>
      <c r="L60" s="3" t="n"/>
      <c r="M60" s="3" t="n"/>
      <c r="N60" s="3" t="n"/>
      <c r="O60" s="3" t="n"/>
      <c r="P60" s="3" t="n"/>
      <c r="Q60" s="3" t="n"/>
      <c r="R60" s="3" t="n"/>
      <c r="S60" s="3" t="n"/>
      <c r="T60" s="3" t="n"/>
      <c r="U60" s="3" t="n"/>
      <c r="V60" s="3" t="n"/>
      <c r="W60" s="3" t="n"/>
      <c r="X60" s="3" t="n"/>
      <c r="Y60" s="3" t="n"/>
      <c r="Z60" s="3" t="n"/>
      <c r="AA60" s="3" t="n"/>
      <c r="AB60" s="3" t="n"/>
      <c r="AC60" s="4" t="inlineStr">
        <is>
          <t>InvDay_2026-05-12 p24</t>
        </is>
      </c>
    </row>
    <row r="61">
      <c r="A61" s="14" t="inlineStr">
        <is>
          <t>InvDay_2026-05-12 · Infusing Al everywhere to accelerate growth and drive efficiency</t>
        </is>
      </c>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c r="AA61" s="15" t="n"/>
      <c r="AB61" s="15" t="n"/>
      <c r="AC61" s="15" t="n"/>
    </row>
    <row r="62">
      <c r="A62" s="38" t="inlineStr">
        <is>
          <t>accelerated engineering velocity (printed 10-15 %)</t>
        </is>
      </c>
      <c r="B62" s="3" t="n"/>
      <c r="C62" s="3" t="n"/>
      <c r="D62" s="3" t="n"/>
      <c r="E62" s="3" t="n"/>
      <c r="F62" s="3" t="n"/>
      <c r="G62" s="3" t="n"/>
      <c r="H62" s="3" t="n"/>
      <c r="I62" s="42" t="inlineStr">
        <is>
          <t>10-15</t>
        </is>
      </c>
      <c r="J62" s="3" t="n"/>
      <c r="K62" s="3" t="n"/>
      <c r="L62" s="3" t="n"/>
      <c r="M62" s="3" t="n"/>
      <c r="N62" s="3" t="n"/>
      <c r="O62" s="3" t="n"/>
      <c r="P62" s="3" t="n"/>
      <c r="Q62" s="3" t="n"/>
      <c r="R62" s="3" t="n"/>
      <c r="S62" s="3" t="n"/>
      <c r="T62" s="3" t="n"/>
      <c r="U62" s="3" t="n"/>
      <c r="V62" s="3" t="n"/>
      <c r="W62" s="3" t="n"/>
      <c r="X62" s="3" t="n"/>
      <c r="Y62" s="3" t="n"/>
      <c r="Z62" s="3" t="n"/>
      <c r="AA62" s="3" t="n"/>
      <c r="AB62" s="3" t="n"/>
      <c r="AC62" s="4" t="inlineStr">
        <is>
          <t>InvDay_2026-05-12 p25</t>
        </is>
      </c>
    </row>
    <row r="63">
      <c r="A63" s="38" t="inlineStr">
        <is>
          <t>more signals (printed 3.8B)</t>
        </is>
      </c>
      <c r="B63" s="3" t="n"/>
      <c r="C63" s="3" t="n"/>
      <c r="D63" s="3" t="n"/>
      <c r="E63" s="3" t="n"/>
      <c r="F63" s="3" t="n"/>
      <c r="G63" s="3" t="n"/>
      <c r="H63" s="3" t="n"/>
      <c r="I63" s="40" t="n">
        <v>3800000000</v>
      </c>
      <c r="J63" s="3" t="n"/>
      <c r="K63" s="3" t="n"/>
      <c r="L63" s="3" t="n"/>
      <c r="M63" s="3" t="n"/>
      <c r="N63" s="3" t="n"/>
      <c r="O63" s="3" t="n"/>
      <c r="P63" s="3" t="n"/>
      <c r="Q63" s="3" t="n"/>
      <c r="R63" s="3" t="n"/>
      <c r="S63" s="3" t="n"/>
      <c r="T63" s="3" t="n"/>
      <c r="U63" s="3" t="n"/>
      <c r="V63" s="3" t="n"/>
      <c r="W63" s="3" t="n"/>
      <c r="X63" s="3" t="n"/>
      <c r="Y63" s="3" t="n"/>
      <c r="Z63" s="3" t="n"/>
      <c r="AA63" s="3" t="n"/>
      <c r="AB63" s="3" t="n"/>
      <c r="AC63" s="4" t="inlineStr">
        <is>
          <t>InvDay_2026-05-12 p25</t>
        </is>
      </c>
    </row>
    <row r="64">
      <c r="A64" s="38" t="inlineStr">
        <is>
          <t>daily prediction scores (printed 215M)</t>
        </is>
      </c>
      <c r="B64" s="3" t="n"/>
      <c r="C64" s="3" t="n"/>
      <c r="D64" s="3" t="n"/>
      <c r="E64" s="3" t="n"/>
      <c r="F64" s="3" t="n"/>
      <c r="G64" s="3" t="n"/>
      <c r="H64" s="3" t="n"/>
      <c r="I64" s="40" t="n">
        <v>215000000</v>
      </c>
      <c r="J64" s="3" t="n"/>
      <c r="K64" s="3" t="n"/>
      <c r="L64" s="3" t="n"/>
      <c r="M64" s="3" t="n"/>
      <c r="N64" s="3" t="n"/>
      <c r="O64" s="3" t="n"/>
      <c r="P64" s="3" t="n"/>
      <c r="Q64" s="3" t="n"/>
      <c r="R64" s="3" t="n"/>
      <c r="S64" s="3" t="n"/>
      <c r="T64" s="3" t="n"/>
      <c r="U64" s="3" t="n"/>
      <c r="V64" s="3" t="n"/>
      <c r="W64" s="3" t="n"/>
      <c r="X64" s="3" t="n"/>
      <c r="Y64" s="3" t="n"/>
      <c r="Z64" s="3" t="n"/>
      <c r="AA64" s="3" t="n"/>
      <c r="AB64" s="3" t="n"/>
      <c r="AC64" s="4" t="inlineStr">
        <is>
          <t>InvDay_2026-05-12 p25</t>
        </is>
      </c>
    </row>
    <row r="65">
      <c r="A65" s="14" t="inlineStr">
        <is>
          <t>InvDay_2026-05-12 · Growth vectors unlocking a $ 78B TAM opportunity (source: 2025 ESTIMATES FROM INDEPENDENT THIRD - PARTY CONSULTING FIRM; MIDPOINT OF RANGES)</t>
        </is>
      </c>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row>
    <row r="66">
      <c r="A66" s="39" t="inlineStr">
        <is>
          <t>2025 TAM</t>
        </is>
      </c>
      <c r="B66" s="3" t="n"/>
      <c r="C66" s="3" t="n"/>
      <c r="D66" s="3" t="n"/>
      <c r="E66" s="3" t="n"/>
      <c r="F66" s="3" t="n"/>
      <c r="G66" s="18" t="n">
        <v>78000</v>
      </c>
      <c r="H66" s="3" t="n"/>
      <c r="I66" s="3" t="n"/>
      <c r="J66" s="3" t="n"/>
      <c r="K66" s="3" t="n"/>
      <c r="L66" s="3" t="n"/>
      <c r="M66" s="3" t="n"/>
      <c r="N66" s="3" t="n"/>
      <c r="O66" s="3" t="n"/>
      <c r="P66" s="3" t="n"/>
      <c r="Q66" s="3" t="n"/>
      <c r="R66" s="3" t="n"/>
      <c r="S66" s="3" t="n"/>
      <c r="T66" s="3" t="n"/>
      <c r="U66" s="3" t="n"/>
      <c r="V66" s="3" t="n"/>
      <c r="W66" s="3" t="n"/>
      <c r="X66" s="3" t="n"/>
      <c r="Y66" s="3" t="n"/>
      <c r="Z66" s="3" t="n"/>
      <c r="AA66" s="3" t="n"/>
      <c r="AB66" s="3" t="n"/>
      <c r="AC66" s="4" t="inlineStr">
        <is>
          <t>InvDay_2026-05-12 p27</t>
        </is>
      </c>
    </row>
    <row r="67">
      <c r="A67" s="38" t="inlineStr">
        <is>
          <t>ADJACENT TAM (Aftermarket services; P &amp; C claims &amp; repair; Engineering / cost solutions)</t>
        </is>
      </c>
      <c r="B67" s="3" t="n"/>
      <c r="C67" s="3" t="n"/>
      <c r="D67" s="3" t="n"/>
      <c r="E67" s="3" t="n"/>
      <c r="F67" s="3" t="n"/>
      <c r="G67" s="30" t="n">
        <v>38000</v>
      </c>
      <c r="H67" s="3" t="n"/>
      <c r="I67" s="3" t="n"/>
      <c r="J67" s="3" t="n"/>
      <c r="K67" s="3" t="n"/>
      <c r="L67" s="3" t="n"/>
      <c r="M67" s="3" t="n"/>
      <c r="N67" s="3" t="n"/>
      <c r="O67" s="3" t="n"/>
      <c r="P67" s="3" t="n"/>
      <c r="Q67" s="3" t="n"/>
      <c r="R67" s="3" t="n"/>
      <c r="S67" s="3" t="n"/>
      <c r="T67" s="3" t="n"/>
      <c r="U67" s="3" t="n"/>
      <c r="V67" s="3" t="n"/>
      <c r="W67" s="3" t="n"/>
      <c r="X67" s="3" t="n"/>
      <c r="Y67" s="3" t="n"/>
      <c r="Z67" s="3" t="n"/>
      <c r="AA67" s="3" t="n"/>
      <c r="AB67" s="3" t="n"/>
      <c r="AC67" s="4" t="inlineStr">
        <is>
          <t>InvDay_2026-05-12 p27</t>
        </is>
      </c>
    </row>
    <row r="68">
      <c r="A68" s="39" t="inlineStr">
        <is>
          <t>CORE + EXTENDED TAM</t>
        </is>
      </c>
      <c r="B68" s="3" t="n"/>
      <c r="C68" s="3" t="n"/>
      <c r="D68" s="3" t="n"/>
      <c r="E68" s="3" t="n"/>
      <c r="F68" s="3" t="n"/>
      <c r="G68" s="18" t="n">
        <v>40000</v>
      </c>
      <c r="H68" s="3" t="n"/>
      <c r="I68" s="3" t="n"/>
      <c r="J68" s="3" t="n"/>
      <c r="K68" s="3" t="n"/>
      <c r="L68" s="3" t="n"/>
      <c r="M68" s="3" t="n"/>
      <c r="N68" s="3" t="n"/>
      <c r="O68" s="3" t="n"/>
      <c r="P68" s="3" t="n"/>
      <c r="Q68" s="3" t="n"/>
      <c r="R68" s="3" t="n"/>
      <c r="S68" s="3" t="n"/>
      <c r="T68" s="3" t="n"/>
      <c r="U68" s="3" t="n"/>
      <c r="V68" s="3" t="n"/>
      <c r="W68" s="3" t="n"/>
      <c r="X68" s="3" t="n"/>
      <c r="Y68" s="3" t="n"/>
      <c r="Z68" s="3" t="n"/>
      <c r="AA68" s="3" t="n"/>
      <c r="AB68" s="3" t="n"/>
      <c r="AC68" s="4" t="inlineStr">
        <is>
          <t>InvDay_2026-05-12 p27</t>
        </is>
      </c>
    </row>
    <row r="69">
      <c r="A69" s="38" t="inlineStr">
        <is>
          <t>EXTENDED TAM (Digital Ads; Sell My Car; Data Studio; Procurement Intelligence; Internationalization)</t>
        </is>
      </c>
      <c r="B69" s="3" t="n"/>
      <c r="C69" s="3" t="n"/>
      <c r="D69" s="3" t="n"/>
      <c r="E69" s="3" t="n"/>
      <c r="F69" s="3" t="n"/>
      <c r="G69" s="30" t="n">
        <v>26000</v>
      </c>
      <c r="H69" s="3" t="n"/>
      <c r="I69" s="3" t="n"/>
      <c r="J69" s="3" t="n"/>
      <c r="K69" s="3" t="n"/>
      <c r="L69" s="3" t="n"/>
      <c r="M69" s="3" t="n"/>
      <c r="N69" s="3" t="n"/>
      <c r="O69" s="3" t="n"/>
      <c r="P69" s="3" t="n"/>
      <c r="Q69" s="3" t="n"/>
      <c r="R69" s="3" t="n"/>
      <c r="S69" s="3" t="n"/>
      <c r="T69" s="3" t="n"/>
      <c r="U69" s="3" t="n"/>
      <c r="V69" s="3" t="n"/>
      <c r="W69" s="3" t="n"/>
      <c r="X69" s="3" t="n"/>
      <c r="Y69" s="3" t="n"/>
      <c r="Z69" s="3" t="n"/>
      <c r="AA69" s="3" t="n"/>
      <c r="AB69" s="3" t="n"/>
      <c r="AC69" s="4" t="inlineStr">
        <is>
          <t>InvDay_2026-05-12 p27</t>
        </is>
      </c>
    </row>
    <row r="70">
      <c r="A70" s="38" t="inlineStr">
        <is>
          <t>CORE TAM (Vehicle History; Service Loyalty; Car Listings; OEM &amp; Dealer Marketing Solutions; Vehicle Forecasting / Supply Chain &amp; Tech)</t>
        </is>
      </c>
      <c r="B70" s="3" t="n"/>
      <c r="C70" s="3" t="n"/>
      <c r="D70" s="3" t="n"/>
      <c r="E70" s="3" t="n"/>
      <c r="F70" s="3" t="n"/>
      <c r="G70" s="30" t="n">
        <v>14000</v>
      </c>
      <c r="H70" s="3" t="n"/>
      <c r="I70" s="3" t="n"/>
      <c r="J70" s="3" t="n"/>
      <c r="K70" s="3" t="n"/>
      <c r="L70" s="3" t="n"/>
      <c r="M70" s="3" t="n"/>
      <c r="N70" s="3" t="n"/>
      <c r="O70" s="3" t="n"/>
      <c r="P70" s="3" t="n"/>
      <c r="Q70" s="3" t="n"/>
      <c r="R70" s="3" t="n"/>
      <c r="S70" s="3" t="n"/>
      <c r="T70" s="3" t="n"/>
      <c r="U70" s="3" t="n"/>
      <c r="V70" s="3" t="n"/>
      <c r="W70" s="3" t="n"/>
      <c r="X70" s="3" t="n"/>
      <c r="Y70" s="3" t="n"/>
      <c r="Z70" s="3" t="n"/>
      <c r="AA70" s="3" t="n"/>
      <c r="AB70" s="3" t="n"/>
      <c r="AC70" s="4" t="inlineStr">
        <is>
          <t>InvDay_2026-05-12 p27</t>
        </is>
      </c>
    </row>
    <row r="71">
      <c r="A71" s="38" t="inlineStr">
        <is>
          <t>SHARE OF CORE</t>
        </is>
      </c>
      <c r="B71" s="3" t="n"/>
      <c r="C71" s="3" t="n"/>
      <c r="D71" s="3" t="n"/>
      <c r="E71" s="3" t="n"/>
      <c r="F71" s="3" t="n"/>
      <c r="G71" s="41" t="n">
        <v>13</v>
      </c>
      <c r="H71" s="3" t="n"/>
      <c r="I71" s="3" t="n"/>
      <c r="J71" s="3" t="n"/>
      <c r="K71" s="3" t="n"/>
      <c r="L71" s="3" t="n"/>
      <c r="M71" s="3" t="n"/>
      <c r="N71" s="3" t="n"/>
      <c r="O71" s="3" t="n"/>
      <c r="P71" s="3" t="n"/>
      <c r="Q71" s="3" t="n"/>
      <c r="R71" s="3" t="n"/>
      <c r="S71" s="3" t="n"/>
      <c r="T71" s="3" t="n"/>
      <c r="U71" s="3" t="n"/>
      <c r="V71" s="3" t="n"/>
      <c r="W71" s="3" t="n"/>
      <c r="X71" s="3" t="n"/>
      <c r="Y71" s="3" t="n"/>
      <c r="Z71" s="3" t="n"/>
      <c r="AA71" s="3" t="n"/>
      <c r="AB71" s="3" t="n"/>
      <c r="AC71" s="4" t="inlineStr">
        <is>
          <t>InvDay_2026-05-12 p27</t>
        </is>
      </c>
    </row>
    <row r="72">
      <c r="A72" s="14" t="inlineStr">
        <is>
          <t>InvDay_2026-05-12 · Framework for investor value creation</t>
        </is>
      </c>
      <c r="B72" s="15" t="n"/>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c r="AA72" s="15" t="n"/>
      <c r="AB72" s="15" t="n"/>
      <c r="AC72" s="15" t="n"/>
    </row>
    <row r="73">
      <c r="A73" s="38" t="inlineStr">
        <is>
          <t>Predictable Organic Revenue Growth (printed: 7.5-10 % annually)</t>
        </is>
      </c>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42" t="inlineStr">
        <is>
          <t>7.5-10</t>
        </is>
      </c>
      <c r="AA73" s="3" t="n"/>
      <c r="AB73" s="3" t="n"/>
      <c r="AC73" s="4" t="inlineStr">
        <is>
          <t>InvDay_2026-05-12 p30</t>
        </is>
      </c>
    </row>
    <row r="74">
      <c r="A74" s="38" t="inlineStr">
        <is>
          <t>Margin Expansion (printed: + 50bps annually after standalone reset)</t>
        </is>
      </c>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42" t="inlineStr">
        <is>
          <t>+50bps</t>
        </is>
      </c>
      <c r="AA74" s="3" t="n"/>
      <c r="AB74" s="3" t="n"/>
      <c r="AC74" s="4" t="inlineStr">
        <is>
          <t>InvDay_2026-05-12 p30</t>
        </is>
      </c>
    </row>
    <row r="75">
      <c r="A75" s="38" t="inlineStr">
        <is>
          <t>Compounding EBITDA Growth (printed: 8-11 % Adj . EBITDA growth)</t>
        </is>
      </c>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42" t="inlineStr">
        <is>
          <t>8-11</t>
        </is>
      </c>
      <c r="AA75" s="3" t="n"/>
      <c r="AB75" s="3" t="n"/>
      <c r="AC75" s="4" t="inlineStr">
        <is>
          <t>InvDay_2026-05-12 p30</t>
        </is>
      </c>
    </row>
    <row r="76">
      <c r="A76" s="38" t="inlineStr">
        <is>
          <t>Dividend Distributor (printed: 20-25 % of GAAP net income)</t>
        </is>
      </c>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42" t="inlineStr">
        <is>
          <t>20-25</t>
        </is>
      </c>
      <c r="AA76" s="3" t="n"/>
      <c r="AB76" s="3" t="n"/>
      <c r="AC76" s="4" t="inlineStr">
        <is>
          <t>InvDay_2026-05-12 p30</t>
        </is>
      </c>
    </row>
    <row r="77">
      <c r="A77" s="38" t="inlineStr">
        <is>
          <t>M &amp; A as an Accelerant (printed: Additional capacity while maintaining IG rating)</t>
        </is>
      </c>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42" t="inlineStr">
        <is>
          <t>Additional capacity while maintaining IG rating</t>
        </is>
      </c>
      <c r="AA77" s="3" t="n"/>
      <c r="AB77" s="3" t="n"/>
      <c r="AC77" s="4" t="inlineStr">
        <is>
          <t>InvDay_2026-05-12 p30</t>
        </is>
      </c>
    </row>
    <row r="78">
      <c r="A78" s="14" t="inlineStr">
        <is>
          <t>InvDay_2026-05-12 · Framework for investor value creation (fn1: FCF for capital return = FCF after investments, defined as FCF minus acquisitions)</t>
        </is>
      </c>
      <c r="B78" s="15" t="n"/>
      <c r="C78" s="15" t="n"/>
      <c r="D78" s="15" t="n"/>
      <c r="E78" s="15" t="n"/>
      <c r="F78" s="15" t="n"/>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c r="AA78" s="15" t="n"/>
      <c r="AB78" s="15" t="n"/>
      <c r="AC78" s="15" t="n"/>
    </row>
    <row r="79">
      <c r="A79" s="38" t="inlineStr">
        <is>
          <t>Consistent Capital Returns (printed: 75 % + of FCF returned annually ( 1 ))</t>
        </is>
      </c>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42" t="inlineStr">
        <is>
          <t>75+</t>
        </is>
      </c>
      <c r="AA79" s="3" t="n"/>
      <c r="AB79" s="3" t="n"/>
      <c r="AC79" s="4" t="inlineStr">
        <is>
          <t>InvDay_2026-05-12 p30</t>
        </is>
      </c>
    </row>
    <row r="80">
      <c r="A80" s="14" t="inlineStr">
        <is>
          <t>InvDay_2026-05-12 · Diversified , resilient and subscription - led revenue - FY25 REVENUE BREAKDOWN</t>
        </is>
      </c>
      <c r="B80" s="15" t="n"/>
      <c r="C80" s="15" t="n"/>
      <c r="D80" s="15" t="n"/>
      <c r="E80" s="15" t="n"/>
      <c r="F80" s="15" t="n"/>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c r="AA80" s="15" t="n"/>
      <c r="AB80" s="15" t="n"/>
      <c r="AC80" s="15" t="n"/>
    </row>
    <row r="81">
      <c r="A81" s="39" t="inlineStr">
        <is>
          <t>B2B REVENUE</t>
        </is>
      </c>
      <c r="B81" s="3" t="n"/>
      <c r="C81" s="3" t="n"/>
      <c r="D81" s="3" t="n"/>
      <c r="E81" s="3" t="n"/>
      <c r="F81" s="3" t="n"/>
      <c r="G81" s="3" t="n"/>
      <c r="H81" s="18" t="n">
        <v>608</v>
      </c>
      <c r="I81" s="3" t="n"/>
      <c r="J81" s="3" t="n"/>
      <c r="K81" s="3" t="n"/>
      <c r="L81" s="3" t="n"/>
      <c r="M81" s="3" t="n"/>
      <c r="N81" s="3" t="n"/>
      <c r="O81" s="3" t="n"/>
      <c r="P81" s="3" t="n"/>
      <c r="Q81" s="3" t="n"/>
      <c r="R81" s="3" t="n"/>
      <c r="S81" s="3" t="n"/>
      <c r="T81" s="3" t="n"/>
      <c r="U81" s="3" t="n"/>
      <c r="V81" s="3" t="n"/>
      <c r="W81" s="3" t="n"/>
      <c r="X81" s="3" t="n"/>
      <c r="Y81" s="3" t="n"/>
      <c r="Z81" s="3" t="n"/>
      <c r="AA81" s="3" t="n"/>
      <c r="AB81" s="3" t="n"/>
      <c r="AC81" s="4" t="inlineStr">
        <is>
          <t>InvDay_2026-05-12 p34</t>
        </is>
      </c>
    </row>
    <row r="82">
      <c r="A82" s="38" t="inlineStr">
        <is>
          <t>B2B REVENUE BY TYPE - Transactional</t>
        </is>
      </c>
      <c r="B82" s="3" t="n"/>
      <c r="C82" s="3" t="n"/>
      <c r="D82" s="3" t="n"/>
      <c r="E82" s="3" t="n"/>
      <c r="F82" s="3" t="n"/>
      <c r="G82" s="3" t="n"/>
      <c r="H82" s="41" t="n">
        <v>18</v>
      </c>
      <c r="I82" s="3" t="n"/>
      <c r="J82" s="3" t="n"/>
      <c r="K82" s="3" t="n"/>
      <c r="L82" s="3" t="n"/>
      <c r="M82" s="3" t="n"/>
      <c r="N82" s="3" t="n"/>
      <c r="O82" s="3" t="n"/>
      <c r="P82" s="3" t="n"/>
      <c r="Q82" s="3" t="n"/>
      <c r="R82" s="3" t="n"/>
      <c r="S82" s="3" t="n"/>
      <c r="T82" s="3" t="n"/>
      <c r="U82" s="3" t="n"/>
      <c r="V82" s="3" t="n"/>
      <c r="W82" s="3" t="n"/>
      <c r="X82" s="3" t="n"/>
      <c r="Y82" s="3" t="n"/>
      <c r="Z82" s="3" t="n"/>
      <c r="AA82" s="3" t="n"/>
      <c r="AB82" s="3" t="n"/>
      <c r="AC82" s="4" t="inlineStr">
        <is>
          <t>InvDay_2026-05-12 p34</t>
        </is>
      </c>
    </row>
    <row r="83">
      <c r="A83" s="38" t="inlineStr">
        <is>
          <t>B2B REVENUE BY TYPE - Subscription</t>
        </is>
      </c>
      <c r="B83" s="3" t="n"/>
      <c r="C83" s="3" t="n"/>
      <c r="D83" s="3" t="n"/>
      <c r="E83" s="3" t="n"/>
      <c r="F83" s="3" t="n"/>
      <c r="G83" s="3" t="n"/>
      <c r="H83" s="41" t="n">
        <v>82</v>
      </c>
      <c r="I83" s="3" t="n"/>
      <c r="J83" s="3" t="n"/>
      <c r="K83" s="3" t="n"/>
      <c r="L83" s="3" t="n"/>
      <c r="M83" s="3" t="n"/>
      <c r="N83" s="3" t="n"/>
      <c r="O83" s="3" t="n"/>
      <c r="P83" s="3" t="n"/>
      <c r="Q83" s="3" t="n"/>
      <c r="R83" s="3" t="n"/>
      <c r="S83" s="3" t="n"/>
      <c r="T83" s="3" t="n"/>
      <c r="U83" s="3" t="n"/>
      <c r="V83" s="3" t="n"/>
      <c r="W83" s="3" t="n"/>
      <c r="X83" s="3" t="n"/>
      <c r="Y83" s="3" t="n"/>
      <c r="Z83" s="3" t="n"/>
      <c r="AA83" s="3" t="n"/>
      <c r="AB83" s="3" t="n"/>
      <c r="AC83" s="4" t="inlineStr">
        <is>
          <t>InvDay_2026-05-12 p34</t>
        </is>
      </c>
    </row>
    <row r="84">
      <c r="A84" s="38" t="inlineStr">
        <is>
          <t>B2B REVENUE BY BUSINESS LINE - Strategy &amp; Planning</t>
        </is>
      </c>
      <c r="B84" s="3" t="n"/>
      <c r="C84" s="3" t="n"/>
      <c r="D84" s="3" t="n"/>
      <c r="E84" s="3" t="n"/>
      <c r="F84" s="3" t="n"/>
      <c r="G84" s="3" t="n"/>
      <c r="H84" s="41" t="n">
        <v>26</v>
      </c>
      <c r="I84" s="3" t="n"/>
      <c r="J84" s="3" t="n"/>
      <c r="K84" s="3" t="n"/>
      <c r="L84" s="3" t="n"/>
      <c r="M84" s="3" t="n"/>
      <c r="N84" s="3" t="n"/>
      <c r="O84" s="3" t="n"/>
      <c r="P84" s="3" t="n"/>
      <c r="Q84" s="3" t="n"/>
      <c r="R84" s="3" t="n"/>
      <c r="S84" s="3" t="n"/>
      <c r="T84" s="3" t="n"/>
      <c r="U84" s="3" t="n"/>
      <c r="V84" s="3" t="n"/>
      <c r="W84" s="3" t="n"/>
      <c r="X84" s="3" t="n"/>
      <c r="Y84" s="3" t="n"/>
      <c r="Z84" s="3" t="n"/>
      <c r="AA84" s="3" t="n"/>
      <c r="AB84" s="3" t="n"/>
      <c r="AC84" s="4" t="inlineStr">
        <is>
          <t>InvDay_2026-05-12 p34</t>
        </is>
      </c>
    </row>
    <row r="85">
      <c r="A85" s="38" t="inlineStr">
        <is>
          <t>B2B REVENUE BY BUSINESS LINE - Marketing &amp; Sales</t>
        </is>
      </c>
      <c r="B85" s="3" t="n"/>
      <c r="C85" s="3" t="n"/>
      <c r="D85" s="3" t="n"/>
      <c r="E85" s="3" t="n"/>
      <c r="F85" s="3" t="n"/>
      <c r="G85" s="3" t="n"/>
      <c r="H85" s="41" t="n">
        <v>74</v>
      </c>
      <c r="I85" s="3" t="n"/>
      <c r="J85" s="3" t="n"/>
      <c r="K85" s="3" t="n"/>
      <c r="L85" s="3" t="n"/>
      <c r="M85" s="3" t="n"/>
      <c r="N85" s="3" t="n"/>
      <c r="O85" s="3" t="n"/>
      <c r="P85" s="3" t="n"/>
      <c r="Q85" s="3" t="n"/>
      <c r="R85" s="3" t="n"/>
      <c r="S85" s="3" t="n"/>
      <c r="T85" s="3" t="n"/>
      <c r="U85" s="3" t="n"/>
      <c r="V85" s="3" t="n"/>
      <c r="W85" s="3" t="n"/>
      <c r="X85" s="3" t="n"/>
      <c r="Y85" s="3" t="n"/>
      <c r="Z85" s="3" t="n"/>
      <c r="AA85" s="3" t="n"/>
      <c r="AB85" s="3" t="n"/>
      <c r="AC85" s="4" t="inlineStr">
        <is>
          <t>InvDay_2026-05-12 p34</t>
        </is>
      </c>
    </row>
    <row r="86">
      <c r="A86" s="38" t="inlineStr">
        <is>
          <t>B2B REVENUE BY GEOGRAPHY - International</t>
        </is>
      </c>
      <c r="B86" s="3" t="n"/>
      <c r="C86" s="3" t="n"/>
      <c r="D86" s="3" t="n"/>
      <c r="E86" s="3" t="n"/>
      <c r="F86" s="3" t="n"/>
      <c r="G86" s="3" t="n"/>
      <c r="H86" s="41" t="n">
        <v>21</v>
      </c>
      <c r="I86" s="3" t="n"/>
      <c r="J86" s="3" t="n"/>
      <c r="K86" s="3" t="n"/>
      <c r="L86" s="3" t="n"/>
      <c r="M86" s="3" t="n"/>
      <c r="N86" s="3" t="n"/>
      <c r="O86" s="3" t="n"/>
      <c r="P86" s="3" t="n"/>
      <c r="Q86" s="3" t="n"/>
      <c r="R86" s="3" t="n"/>
      <c r="S86" s="3" t="n"/>
      <c r="T86" s="3" t="n"/>
      <c r="U86" s="3" t="n"/>
      <c r="V86" s="3" t="n"/>
      <c r="W86" s="3" t="n"/>
      <c r="X86" s="3" t="n"/>
      <c r="Y86" s="3" t="n"/>
      <c r="Z86" s="3" t="n"/>
      <c r="AA86" s="3" t="n"/>
      <c r="AB86" s="3" t="n"/>
      <c r="AC86" s="4" t="inlineStr">
        <is>
          <t>InvDay_2026-05-12 p34</t>
        </is>
      </c>
    </row>
    <row r="87">
      <c r="A87" s="38" t="inlineStr">
        <is>
          <t>B2B REVENUE BY GEOGRAPHY - United States</t>
        </is>
      </c>
      <c r="B87" s="3" t="n"/>
      <c r="C87" s="3" t="n"/>
      <c r="D87" s="3" t="n"/>
      <c r="E87" s="3" t="n"/>
      <c r="F87" s="3" t="n"/>
      <c r="G87" s="3" t="n"/>
      <c r="H87" s="41" t="n">
        <v>79</v>
      </c>
      <c r="I87" s="3" t="n"/>
      <c r="J87" s="3" t="n"/>
      <c r="K87" s="3" t="n"/>
      <c r="L87" s="3" t="n"/>
      <c r="M87" s="3" t="n"/>
      <c r="N87" s="3" t="n"/>
      <c r="O87" s="3" t="n"/>
      <c r="P87" s="3" t="n"/>
      <c r="Q87" s="3" t="n"/>
      <c r="R87" s="3" t="n"/>
      <c r="S87" s="3" t="n"/>
      <c r="T87" s="3" t="n"/>
      <c r="U87" s="3" t="n"/>
      <c r="V87" s="3" t="n"/>
      <c r="W87" s="3" t="n"/>
      <c r="X87" s="3" t="n"/>
      <c r="Y87" s="3" t="n"/>
      <c r="Z87" s="3" t="n"/>
      <c r="AA87" s="3" t="n"/>
      <c r="AB87" s="3" t="n"/>
      <c r="AC87" s="4" t="inlineStr">
        <is>
          <t>InvDay_2026-05-12 p34</t>
        </is>
      </c>
    </row>
    <row r="88">
      <c r="A88" s="14" t="inlineStr">
        <is>
          <t>InvDay_2026-05-12 · B2B Solutions at a glance - FY25 BUSINESS HIGHLIGHTS</t>
        </is>
      </c>
      <c r="B88" s="15" t="n"/>
      <c r="C88" s="15" t="n"/>
      <c r="D88" s="15" t="n"/>
      <c r="E88" s="15" t="n"/>
      <c r="F88" s="15" t="n"/>
      <c r="G88" s="15" t="n"/>
      <c r="H88" s="15" t="n"/>
      <c r="I88" s="15" t="n"/>
      <c r="J88" s="15" t="n"/>
      <c r="K88" s="15" t="n"/>
      <c r="L88" s="15" t="n"/>
      <c r="M88" s="15" t="n"/>
      <c r="N88" s="15" t="n"/>
      <c r="O88" s="15" t="n"/>
      <c r="P88" s="15" t="n"/>
      <c r="Q88" s="15" t="n"/>
      <c r="R88" s="15" t="n"/>
      <c r="S88" s="15" t="n"/>
      <c r="T88" s="15" t="n"/>
      <c r="U88" s="15" t="n"/>
      <c r="V88" s="15" t="n"/>
      <c r="W88" s="15" t="n"/>
      <c r="X88" s="15" t="n"/>
      <c r="Y88" s="15" t="n"/>
      <c r="Z88" s="15" t="n"/>
      <c r="AA88" s="15" t="n"/>
      <c r="AB88" s="15" t="n"/>
      <c r="AC88" s="15" t="n"/>
    </row>
    <row r="89">
      <c r="A89" s="38" t="inlineStr">
        <is>
          <t>Top 40 Global OEMS</t>
        </is>
      </c>
      <c r="B89" s="3" t="n"/>
      <c r="C89" s="3" t="n"/>
      <c r="D89" s="3" t="n"/>
      <c r="E89" s="3" t="n"/>
      <c r="F89" s="3" t="n"/>
      <c r="G89" s="3" t="n"/>
      <c r="H89" s="41" t="n">
        <v>100</v>
      </c>
      <c r="I89" s="3" t="n"/>
      <c r="J89" s="3" t="n"/>
      <c r="K89" s="3" t="n"/>
      <c r="L89" s="3" t="n"/>
      <c r="M89" s="3" t="n"/>
      <c r="N89" s="3" t="n"/>
      <c r="O89" s="3" t="n"/>
      <c r="P89" s="3" t="n"/>
      <c r="Q89" s="3" t="n"/>
      <c r="R89" s="3" t="n"/>
      <c r="S89" s="3" t="n"/>
      <c r="T89" s="3" t="n"/>
      <c r="U89" s="3" t="n"/>
      <c r="V89" s="3" t="n"/>
      <c r="W89" s="3" t="n"/>
      <c r="X89" s="3" t="n"/>
      <c r="Y89" s="3" t="n"/>
      <c r="Z89" s="3" t="n"/>
      <c r="AA89" s="3" t="n"/>
      <c r="AB89" s="3" t="n"/>
      <c r="AC89" s="4" t="inlineStr">
        <is>
          <t>InvDay_2026-05-12 p35</t>
        </is>
      </c>
    </row>
    <row r="90">
      <c r="A90" s="38" t="inlineStr">
        <is>
          <t>Transaction Records (printed 13B +)</t>
        </is>
      </c>
      <c r="B90" s="3" t="n"/>
      <c r="C90" s="3" t="n"/>
      <c r="D90" s="3" t="n"/>
      <c r="E90" s="3" t="n"/>
      <c r="F90" s="3" t="n"/>
      <c r="G90" s="3" t="n"/>
      <c r="H90" s="40" t="n">
        <v>13000000000</v>
      </c>
      <c r="I90" s="3" t="n"/>
      <c r="J90" s="3" t="n"/>
      <c r="K90" s="3" t="n"/>
      <c r="L90" s="3" t="n"/>
      <c r="M90" s="3" t="n"/>
      <c r="N90" s="3" t="n"/>
      <c r="O90" s="3" t="n"/>
      <c r="P90" s="3" t="n"/>
      <c r="Q90" s="3" t="n"/>
      <c r="R90" s="3" t="n"/>
      <c r="S90" s="3" t="n"/>
      <c r="T90" s="3" t="n"/>
      <c r="U90" s="3" t="n"/>
      <c r="V90" s="3" t="n"/>
      <c r="W90" s="3" t="n"/>
      <c r="X90" s="3" t="n"/>
      <c r="Y90" s="3" t="n"/>
      <c r="Z90" s="3" t="n"/>
      <c r="AA90" s="3" t="n"/>
      <c r="AB90" s="3" t="n"/>
      <c r="AC90" s="4" t="inlineStr">
        <is>
          <t>InvDay_2026-05-12 p35</t>
        </is>
      </c>
    </row>
    <row r="91">
      <c r="A91" s="38" t="inlineStr">
        <is>
          <t>VINS Tracked (printed ~ 832M)</t>
        </is>
      </c>
      <c r="B91" s="3" t="n"/>
      <c r="C91" s="3" t="n"/>
      <c r="D91" s="3" t="n"/>
      <c r="E91" s="3" t="n"/>
      <c r="F91" s="3" t="n"/>
      <c r="G91" s="3" t="n"/>
      <c r="H91" s="40" t="n">
        <v>832000000</v>
      </c>
      <c r="I91" s="3" t="n"/>
      <c r="J91" s="3" t="n"/>
      <c r="K91" s="3" t="n"/>
      <c r="L91" s="3" t="n"/>
      <c r="M91" s="3" t="n"/>
      <c r="N91" s="3" t="n"/>
      <c r="O91" s="3" t="n"/>
      <c r="P91" s="3" t="n"/>
      <c r="Q91" s="3" t="n"/>
      <c r="R91" s="3" t="n"/>
      <c r="S91" s="3" t="n"/>
      <c r="T91" s="3" t="n"/>
      <c r="U91" s="3" t="n"/>
      <c r="V91" s="3" t="n"/>
      <c r="W91" s="3" t="n"/>
      <c r="X91" s="3" t="n"/>
      <c r="Y91" s="3" t="n"/>
      <c r="Z91" s="3" t="n"/>
      <c r="AA91" s="3" t="n"/>
      <c r="AB91" s="3" t="n"/>
      <c r="AC91" s="4" t="inlineStr">
        <is>
          <t>InvDay_2026-05-12 p35</t>
        </is>
      </c>
    </row>
    <row r="92">
      <c r="A92" s="38" t="inlineStr">
        <is>
          <t>Global Vehicle Production Covered</t>
        </is>
      </c>
      <c r="B92" s="3" t="n"/>
      <c r="C92" s="3" t="n"/>
      <c r="D92" s="3" t="n"/>
      <c r="E92" s="3" t="n"/>
      <c r="F92" s="3" t="n"/>
      <c r="G92" s="3" t="n"/>
      <c r="H92" s="41" t="n">
        <v>99</v>
      </c>
      <c r="I92" s="3" t="n"/>
      <c r="J92" s="3" t="n"/>
      <c r="K92" s="3" t="n"/>
      <c r="L92" s="3" t="n"/>
      <c r="M92" s="3" t="n"/>
      <c r="N92" s="3" t="n"/>
      <c r="O92" s="3" t="n"/>
      <c r="P92" s="3" t="n"/>
      <c r="Q92" s="3" t="n"/>
      <c r="R92" s="3" t="n"/>
      <c r="S92" s="3" t="n"/>
      <c r="T92" s="3" t="n"/>
      <c r="U92" s="3" t="n"/>
      <c r="V92" s="3" t="n"/>
      <c r="W92" s="3" t="n"/>
      <c r="X92" s="3" t="n"/>
      <c r="Y92" s="3" t="n"/>
      <c r="Z92" s="3" t="n"/>
      <c r="AA92" s="3" t="n"/>
      <c r="AB92" s="3" t="n"/>
      <c r="AC92" s="4" t="inlineStr">
        <is>
          <t>InvDay_2026-05-12 p35</t>
        </is>
      </c>
    </row>
    <row r="93">
      <c r="A93" s="14" t="inlineStr">
        <is>
          <t>InvDay_2026-05-12 · B2B Solutions at a glance - REVENUE GROWTH</t>
        </is>
      </c>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c r="AA93" s="15" t="n"/>
      <c r="AB93" s="15" t="n"/>
      <c r="AC93" s="15" t="n"/>
    </row>
    <row r="94">
      <c r="A94" s="39" t="inlineStr">
        <is>
          <t>B2B Revenue</t>
        </is>
      </c>
      <c r="B94" s="3" t="n"/>
      <c r="C94" s="3" t="n"/>
      <c r="D94" s="18" t="n">
        <v>557</v>
      </c>
      <c r="E94" s="3" t="n"/>
      <c r="F94" s="18" t="n">
        <v>574</v>
      </c>
      <c r="G94" s="3" t="n"/>
      <c r="H94" s="18" t="n">
        <v>608</v>
      </c>
      <c r="I94" s="3" t="n"/>
      <c r="J94" s="3" t="n"/>
      <c r="K94" s="3" t="n"/>
      <c r="L94" s="3" t="n"/>
      <c r="M94" s="3" t="n"/>
      <c r="N94" s="3" t="n"/>
      <c r="O94" s="3" t="n"/>
      <c r="P94" s="3" t="n"/>
      <c r="Q94" s="3" t="n"/>
      <c r="R94" s="3" t="n"/>
      <c r="S94" s="3" t="n"/>
      <c r="T94" s="3" t="n"/>
      <c r="U94" s="3" t="n"/>
      <c r="V94" s="3" t="n"/>
      <c r="W94" s="3" t="n"/>
      <c r="X94" s="3" t="n"/>
      <c r="Y94" s="3" t="n"/>
      <c r="Z94" s="3" t="n"/>
      <c r="AA94" s="3" t="n"/>
      <c r="AB94" s="3" t="n"/>
      <c r="AC94" s="4" t="inlineStr">
        <is>
          <t>InvDay_2026-05-12 p35</t>
        </is>
      </c>
    </row>
    <row r="95">
      <c r="A95" s="38" t="inlineStr">
        <is>
          <t>B2B Revenue CAGR</t>
        </is>
      </c>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41" t="n">
        <v>4.5</v>
      </c>
      <c r="X95" s="3" t="n"/>
      <c r="Y95" s="3" t="n"/>
      <c r="Z95" s="3" t="n"/>
      <c r="AA95" s="3" t="n"/>
      <c r="AB95" s="3" t="n"/>
      <c r="AC95" s="4" t="inlineStr">
        <is>
          <t>InvDay_2026-05-12 p35</t>
        </is>
      </c>
    </row>
    <row r="96">
      <c r="A96" s="14" t="inlineStr">
        <is>
          <t>InvDay_2026-05-12 · Unmatched breadth and depth of data - Strategy &amp; Planning</t>
        </is>
      </c>
      <c r="B96" s="15"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c r="AA96" s="15" t="n"/>
      <c r="AB96" s="15" t="n"/>
      <c r="AC96" s="15" t="n"/>
    </row>
    <row r="97">
      <c r="A97" s="38" t="inlineStr">
        <is>
          <t>Markets Covered (printed 145+)</t>
        </is>
      </c>
      <c r="B97" s="3" t="n"/>
      <c r="C97" s="3" t="n"/>
      <c r="D97" s="3" t="n"/>
      <c r="E97" s="3" t="n"/>
      <c r="F97" s="3" t="n"/>
      <c r="G97" s="3" t="n"/>
      <c r="H97" s="40" t="n">
        <v>145</v>
      </c>
      <c r="I97" s="3" t="n"/>
      <c r="J97" s="3" t="n"/>
      <c r="K97" s="3" t="n"/>
      <c r="L97" s="3" t="n"/>
      <c r="M97" s="3" t="n"/>
      <c r="N97" s="3" t="n"/>
      <c r="O97" s="3" t="n"/>
      <c r="P97" s="3" t="n"/>
      <c r="Q97" s="3" t="n"/>
      <c r="R97" s="3" t="n"/>
      <c r="S97" s="3" t="n"/>
      <c r="T97" s="3" t="n"/>
      <c r="U97" s="3" t="n"/>
      <c r="V97" s="3" t="n"/>
      <c r="W97" s="3" t="n"/>
      <c r="X97" s="3" t="n"/>
      <c r="Y97" s="3" t="n"/>
      <c r="Z97" s="3" t="n"/>
      <c r="AA97" s="3" t="n"/>
      <c r="AB97" s="3" t="n"/>
      <c r="AC97" s="4" t="inlineStr">
        <is>
          <t>InvDay_2026-05-12 p40</t>
        </is>
      </c>
    </row>
    <row r="98">
      <c r="A98" s="38" t="inlineStr">
        <is>
          <t>of Global Production Covered</t>
        </is>
      </c>
      <c r="B98" s="3" t="n"/>
      <c r="C98" s="3" t="n"/>
      <c r="D98" s="3" t="n"/>
      <c r="E98" s="3" t="n"/>
      <c r="F98" s="3" t="n"/>
      <c r="G98" s="3" t="n"/>
      <c r="H98" s="41" t="n">
        <v>99</v>
      </c>
      <c r="I98" s="3" t="n"/>
      <c r="J98" s="3" t="n"/>
      <c r="K98" s="3" t="n"/>
      <c r="L98" s="3" t="n"/>
      <c r="M98" s="3" t="n"/>
      <c r="N98" s="3" t="n"/>
      <c r="O98" s="3" t="n"/>
      <c r="P98" s="3" t="n"/>
      <c r="Q98" s="3" t="n"/>
      <c r="R98" s="3" t="n"/>
      <c r="S98" s="3" t="n"/>
      <c r="T98" s="3" t="n"/>
      <c r="U98" s="3" t="n"/>
      <c r="V98" s="3" t="n"/>
      <c r="W98" s="3" t="n"/>
      <c r="X98" s="3" t="n"/>
      <c r="Y98" s="3" t="n"/>
      <c r="Z98" s="3" t="n"/>
      <c r="AA98" s="3" t="n"/>
      <c r="AB98" s="3" t="n"/>
      <c r="AC98" s="4" t="inlineStr">
        <is>
          <t>InvDay_2026-05-12 p40</t>
        </is>
      </c>
    </row>
    <row r="99">
      <c r="A99" s="38" t="inlineStr">
        <is>
          <t>Sales Brands Covered (printed 400+)</t>
        </is>
      </c>
      <c r="B99" s="3" t="n"/>
      <c r="C99" s="3" t="n"/>
      <c r="D99" s="3" t="n"/>
      <c r="E99" s="3" t="n"/>
      <c r="F99" s="3" t="n"/>
      <c r="G99" s="3" t="n"/>
      <c r="H99" s="40" t="n">
        <v>400</v>
      </c>
      <c r="I99" s="3" t="n"/>
      <c r="J99" s="3" t="n"/>
      <c r="K99" s="3" t="n"/>
      <c r="L99" s="3" t="n"/>
      <c r="M99" s="3" t="n"/>
      <c r="N99" s="3" t="n"/>
      <c r="O99" s="3" t="n"/>
      <c r="P99" s="3" t="n"/>
      <c r="Q99" s="3" t="n"/>
      <c r="R99" s="3" t="n"/>
      <c r="S99" s="3" t="n"/>
      <c r="T99" s="3" t="n"/>
      <c r="U99" s="3" t="n"/>
      <c r="V99" s="3" t="n"/>
      <c r="W99" s="3" t="n"/>
      <c r="X99" s="3" t="n"/>
      <c r="Y99" s="3" t="n"/>
      <c r="Z99" s="3" t="n"/>
      <c r="AA99" s="3" t="n"/>
      <c r="AB99" s="3" t="n"/>
      <c r="AC99" s="4" t="inlineStr">
        <is>
          <t>InvDay_2026-05-12 p40</t>
        </is>
      </c>
    </row>
    <row r="100">
      <c r="A100" s="38" t="inlineStr">
        <is>
          <t>Supplier Plant Locations (printed 2,900+ across 80+ Countries)</t>
        </is>
      </c>
      <c r="B100" s="3" t="n"/>
      <c r="C100" s="3" t="n"/>
      <c r="D100" s="3" t="n"/>
      <c r="E100" s="3" t="n"/>
      <c r="F100" s="3" t="n"/>
      <c r="G100" s="3" t="n"/>
      <c r="H100" s="40" t="n">
        <v>2900</v>
      </c>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c r="AC100" s="4" t="inlineStr">
        <is>
          <t>InvDay_2026-05-12 p40</t>
        </is>
      </c>
    </row>
    <row r="101">
      <c r="A101" s="38" t="inlineStr">
        <is>
          <t>Rows of Actively Covered Vehicle Data (printed 80M +)</t>
        </is>
      </c>
      <c r="B101" s="3" t="n"/>
      <c r="C101" s="3" t="n"/>
      <c r="D101" s="3" t="n"/>
      <c r="E101" s="3" t="n"/>
      <c r="F101" s="3" t="n"/>
      <c r="G101" s="3" t="n"/>
      <c r="H101" s="40" t="n">
        <v>80000000</v>
      </c>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c r="AC101" s="4" t="inlineStr">
        <is>
          <t>InvDay_2026-05-12 p40</t>
        </is>
      </c>
    </row>
    <row r="102">
      <c r="A102" s="38" t="inlineStr">
        <is>
          <t>Vehicle variants (printed 85K +)</t>
        </is>
      </c>
      <c r="B102" s="3" t="n"/>
      <c r="C102" s="3" t="n"/>
      <c r="D102" s="3" t="n"/>
      <c r="E102" s="3" t="n"/>
      <c r="F102" s="3" t="n"/>
      <c r="G102" s="3" t="n"/>
      <c r="H102" s="40" t="n">
        <v>85000</v>
      </c>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4" t="inlineStr">
        <is>
          <t>InvDay_2026-05-12 p40</t>
        </is>
      </c>
    </row>
    <row r="103">
      <c r="A103" s="38" t="inlineStr">
        <is>
          <t>Suppliers (printed 4,400+; &gt; 60 % of Value)</t>
        </is>
      </c>
      <c r="B103" s="3" t="n"/>
      <c r="C103" s="3" t="n"/>
      <c r="D103" s="3" t="n"/>
      <c r="E103" s="3" t="n"/>
      <c r="F103" s="3" t="n"/>
      <c r="G103" s="3" t="n"/>
      <c r="H103" s="40" t="n">
        <v>4400</v>
      </c>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s="4" t="inlineStr">
        <is>
          <t>InvDay_2026-05-12 p40</t>
        </is>
      </c>
    </row>
    <row r="104">
      <c r="A104" s="38" t="inlineStr">
        <is>
          <t>Vehicle Attributes (printed 2,000+)</t>
        </is>
      </c>
      <c r="B104" s="3" t="n"/>
      <c r="C104" s="3" t="n"/>
      <c r="D104" s="3" t="n"/>
      <c r="E104" s="3" t="n"/>
      <c r="F104" s="3" t="n"/>
      <c r="G104" s="3" t="n"/>
      <c r="H104" s="40" t="n">
        <v>2000</v>
      </c>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c r="AC104" s="4" t="inlineStr">
        <is>
          <t>InvDay_2026-05-12 p40</t>
        </is>
      </c>
    </row>
    <row r="105">
      <c r="A105" s="38" t="inlineStr">
        <is>
          <t>Vehicle Production Plants (printed 990+ across 50+ Countries)</t>
        </is>
      </c>
      <c r="B105" s="3" t="n"/>
      <c r="C105" s="3" t="n"/>
      <c r="D105" s="3" t="n"/>
      <c r="E105" s="3" t="n"/>
      <c r="F105" s="3" t="n"/>
      <c r="G105" s="3" t="n"/>
      <c r="H105" s="40" t="n">
        <v>990</v>
      </c>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c r="AC105" s="4" t="inlineStr">
        <is>
          <t>InvDay_2026-05-12 p40</t>
        </is>
      </c>
    </row>
    <row r="106">
      <c r="A106" s="38" t="inlineStr">
        <is>
          <t>Engine Manufacturers (printed 200+)</t>
        </is>
      </c>
      <c r="B106" s="3" t="n"/>
      <c r="C106" s="3" t="n"/>
      <c r="D106" s="3" t="n"/>
      <c r="E106" s="3" t="n"/>
      <c r="F106" s="3" t="n"/>
      <c r="G106" s="3" t="n"/>
      <c r="H106" s="40" t="n">
        <v>200</v>
      </c>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c r="AC106" s="4" t="inlineStr">
        <is>
          <t>InvDay_2026-05-12 p40</t>
        </is>
      </c>
    </row>
    <row r="107">
      <c r="A107" s="14" t="inlineStr">
        <is>
          <t>InvDay_2026-05-12 · Unmatched breadth and depth of data - Marketing &amp; Sales</t>
        </is>
      </c>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row>
    <row r="108">
      <c r="A108" s="38" t="inlineStr">
        <is>
          <t>New &amp; Used Vehicle records (printed ~ 9B +)</t>
        </is>
      </c>
      <c r="B108" s="3" t="n"/>
      <c r="C108" s="3" t="n"/>
      <c r="D108" s="3" t="n"/>
      <c r="E108" s="3" t="n"/>
      <c r="F108" s="3" t="n"/>
      <c r="G108" s="3" t="n"/>
      <c r="H108" s="40" t="n">
        <v>9000000000</v>
      </c>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c r="AC108" s="4" t="inlineStr">
        <is>
          <t>InvDay_2026-05-12 p40</t>
        </is>
      </c>
    </row>
    <row r="109">
      <c r="A109" s="38" t="inlineStr">
        <is>
          <t>Households (printed 126M)</t>
        </is>
      </c>
      <c r="B109" s="3" t="n"/>
      <c r="C109" s="3" t="n"/>
      <c r="D109" s="3" t="n"/>
      <c r="E109" s="3" t="n"/>
      <c r="F109" s="3" t="n"/>
      <c r="G109" s="3" t="n"/>
      <c r="H109" s="40" t="n">
        <v>126000000</v>
      </c>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c r="AC109" s="4" t="inlineStr">
        <is>
          <t>InvDay_2026-05-12 p40</t>
        </is>
      </c>
    </row>
    <row r="110">
      <c r="A110" s="38" t="inlineStr">
        <is>
          <t>Household Records (printed 4B +)</t>
        </is>
      </c>
      <c r="B110" s="3" t="n"/>
      <c r="C110" s="3" t="n"/>
      <c r="D110" s="3" t="n"/>
      <c r="E110" s="3" t="n"/>
      <c r="F110" s="3" t="n"/>
      <c r="G110" s="3" t="n"/>
      <c r="H110" s="40" t="n">
        <v>4000000000</v>
      </c>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c r="AC110" s="4" t="inlineStr">
        <is>
          <t>InvDay_2026-05-12 p40</t>
        </is>
      </c>
    </row>
    <row r="111">
      <c r="A111" s="38" t="inlineStr">
        <is>
          <t>Unique VINS Tracked (printed 832M)</t>
        </is>
      </c>
      <c r="B111" s="3" t="n"/>
      <c r="C111" s="3" t="n"/>
      <c r="D111" s="3" t="n"/>
      <c r="E111" s="3" t="n"/>
      <c r="F111" s="3" t="n"/>
      <c r="G111" s="3" t="n"/>
      <c r="H111" s="40" t="n">
        <v>832000000</v>
      </c>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c r="AC111" s="4" t="inlineStr">
        <is>
          <t>InvDay_2026-05-12 p40</t>
        </is>
      </c>
    </row>
    <row r="112">
      <c r="A112" s="38" t="inlineStr">
        <is>
          <t>Ownership Data (printed 30 years)</t>
        </is>
      </c>
      <c r="B112" s="3" t="n"/>
      <c r="C112" s="3" t="n"/>
      <c r="D112" s="3" t="n"/>
      <c r="E112" s="3" t="n"/>
      <c r="F112" s="3" t="n"/>
      <c r="G112" s="3" t="n"/>
      <c r="H112" s="42" t="inlineStr">
        <is>
          <t>30</t>
        </is>
      </c>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c r="AC112" s="4" t="inlineStr">
        <is>
          <t>InvDay_2026-05-12 p40</t>
        </is>
      </c>
    </row>
    <row r="113">
      <c r="A113" s="38" t="inlineStr">
        <is>
          <t>New Vehicle Pricing and Incentive Records (printed 19B +)</t>
        </is>
      </c>
      <c r="B113" s="3" t="n"/>
      <c r="C113" s="3" t="n"/>
      <c r="D113" s="3" t="n"/>
      <c r="E113" s="3" t="n"/>
      <c r="F113" s="3" t="n"/>
      <c r="G113" s="3" t="n"/>
      <c r="H113" s="40" t="n">
        <v>19000000000</v>
      </c>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c r="AC113" s="4" t="inlineStr">
        <is>
          <t>InvDay_2026-05-12 p40</t>
        </is>
      </c>
    </row>
    <row r="114">
      <c r="A114" s="38" t="inlineStr">
        <is>
          <t>Transaction Records (printed 13B +)</t>
        </is>
      </c>
      <c r="B114" s="3" t="n"/>
      <c r="C114" s="3" t="n"/>
      <c r="D114" s="3" t="n"/>
      <c r="E114" s="3" t="n"/>
      <c r="F114" s="3" t="n"/>
      <c r="G114" s="3" t="n"/>
      <c r="H114" s="40" t="n">
        <v>13000000000</v>
      </c>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4" t="inlineStr">
        <is>
          <t>InvDay_2026-05-12 p40</t>
        </is>
      </c>
    </row>
    <row r="115">
      <c r="A115" s="14" t="inlineStr">
        <is>
          <t>InvDay_2026-05-12 · Trusted brands and leading expertise = industry gold standard</t>
        </is>
      </c>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row>
    <row r="116">
      <c r="A116" s="38" t="inlineStr">
        <is>
          <t>countries covered globally (printed 145+)</t>
        </is>
      </c>
      <c r="B116" s="3" t="n"/>
      <c r="C116" s="3" t="n"/>
      <c r="D116" s="3" t="n"/>
      <c r="E116" s="3" t="n"/>
      <c r="F116" s="3" t="n"/>
      <c r="G116" s="3" t="n"/>
      <c r="H116" s="3" t="n"/>
      <c r="I116" s="40" t="n">
        <v>145</v>
      </c>
      <c r="J116" s="3" t="n"/>
      <c r="K116" s="3" t="n"/>
      <c r="L116" s="3" t="n"/>
      <c r="M116" s="3" t="n"/>
      <c r="N116" s="3" t="n"/>
      <c r="O116" s="3" t="n"/>
      <c r="P116" s="3" t="n"/>
      <c r="Q116" s="3" t="n"/>
      <c r="R116" s="3" t="n"/>
      <c r="S116" s="3" t="n"/>
      <c r="T116" s="3" t="n"/>
      <c r="U116" s="3" t="n"/>
      <c r="V116" s="3" t="n"/>
      <c r="W116" s="3" t="n"/>
      <c r="X116" s="3" t="n"/>
      <c r="Y116" s="3" t="n"/>
      <c r="Z116" s="3" t="n"/>
      <c r="AA116" s="3" t="n"/>
      <c r="AB116" s="3" t="n"/>
      <c r="AC116" s="4" t="inlineStr">
        <is>
          <t>InvDay_2026-05-12 p41</t>
        </is>
      </c>
    </row>
    <row r="117">
      <c r="A117" s="14" t="inlineStr">
        <is>
          <t>InvDay_2026-05-12 · Powerful network effects from a scaled data moat</t>
        </is>
      </c>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row>
    <row r="118">
      <c r="A118" s="38" t="inlineStr">
        <is>
          <t>Usage by Top 40 Global OEMS</t>
        </is>
      </c>
      <c r="B118" s="3" t="n"/>
      <c r="C118" s="3" t="n"/>
      <c r="D118" s="3" t="n"/>
      <c r="E118" s="3" t="n"/>
      <c r="F118" s="3" t="n"/>
      <c r="G118" s="3" t="n"/>
      <c r="H118" s="41" t="n">
        <v>100</v>
      </c>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c r="AC118" s="4" t="inlineStr">
        <is>
          <t>InvDay_2026-05-12 p42</t>
        </is>
      </c>
    </row>
    <row r="119">
      <c r="A119" s="38" t="inlineStr">
        <is>
          <t>of Industry Volume developed with our data</t>
        </is>
      </c>
      <c r="B119" s="3" t="n"/>
      <c r="C119" s="3" t="n"/>
      <c r="D119" s="3" t="n"/>
      <c r="E119" s="3" t="n"/>
      <c r="F119" s="3" t="n"/>
      <c r="G119" s="3" t="n"/>
      <c r="H119" s="41" t="n">
        <v>90</v>
      </c>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c r="AC119" s="4" t="inlineStr">
        <is>
          <t>InvDay_2026-05-12 p42</t>
        </is>
      </c>
    </row>
    <row r="120">
      <c r="A120" s="38" t="inlineStr">
        <is>
          <t>Usage by Top 40 Automotive Suppliers</t>
        </is>
      </c>
      <c r="B120" s="3" t="n"/>
      <c r="C120" s="3" t="n"/>
      <c r="D120" s="3" t="n"/>
      <c r="E120" s="3" t="n"/>
      <c r="F120" s="3" t="n"/>
      <c r="G120" s="3" t="n"/>
      <c r="H120" s="41" t="n">
        <v>100</v>
      </c>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c r="AC120" s="4" t="inlineStr">
        <is>
          <t>InvDay_2026-05-12 p42</t>
        </is>
      </c>
    </row>
    <row r="121">
      <c r="A121" s="38" t="inlineStr">
        <is>
          <t>Usage by Top 100 Automotive Suppliers</t>
        </is>
      </c>
      <c r="B121" s="3" t="n"/>
      <c r="C121" s="3" t="n"/>
      <c r="D121" s="3" t="n"/>
      <c r="E121" s="3" t="n"/>
      <c r="F121" s="3" t="n"/>
      <c r="G121" s="3" t="n"/>
      <c r="H121" s="41" t="n">
        <v>94</v>
      </c>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c r="AC121" s="4" t="inlineStr">
        <is>
          <t>InvDay_2026-05-12 p42</t>
        </is>
      </c>
    </row>
    <row r="122">
      <c r="A122" s="38" t="inlineStr">
        <is>
          <t>US Dealers use B2B Solutions (printed 11K)</t>
        </is>
      </c>
      <c r="B122" s="3" t="n"/>
      <c r="C122" s="3" t="n"/>
      <c r="D122" s="3" t="n"/>
      <c r="E122" s="3" t="n"/>
      <c r="F122" s="3" t="n"/>
      <c r="G122" s="3" t="n"/>
      <c r="H122" s="40" t="n">
        <v>11000</v>
      </c>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c r="AC122" s="4" t="inlineStr">
        <is>
          <t>InvDay_2026-05-12 p42</t>
        </is>
      </c>
    </row>
    <row r="123">
      <c r="A123" s="14" t="inlineStr">
        <is>
          <t>InvDay_2026-05-12 · Deeply embedded in the automotive ecosystem</t>
        </is>
      </c>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row>
    <row r="124">
      <c r="A124" s="38" t="inlineStr">
        <is>
          <t>Sales Operations - Dealer Groups (printed Most OEM 90 % Dealer Groups)</t>
        </is>
      </c>
      <c r="B124" s="3" t="n"/>
      <c r="C124" s="3" t="n"/>
      <c r="D124" s="3" t="n"/>
      <c r="E124" s="3" t="n"/>
      <c r="F124" s="3" t="n"/>
      <c r="G124" s="3" t="n"/>
      <c r="H124" s="41" t="n">
        <v>90</v>
      </c>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c r="AC124" s="4" t="inlineStr">
        <is>
          <t>InvDay_2026-05-12 p43</t>
        </is>
      </c>
    </row>
    <row r="125">
      <c r="A125" s="38" t="inlineStr">
        <is>
          <t>Digital Media (printed 9 out of 10 media platforms)</t>
        </is>
      </c>
      <c r="B125" s="3" t="n"/>
      <c r="C125" s="3" t="n"/>
      <c r="D125" s="3" t="n"/>
      <c r="E125" s="3" t="n"/>
      <c r="F125" s="3" t="n"/>
      <c r="G125" s="3" t="n"/>
      <c r="H125" s="42" t="inlineStr">
        <is>
          <t>9 of 10</t>
        </is>
      </c>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c r="AC125" s="4" t="inlineStr">
        <is>
          <t>InvDay_2026-05-12 p43</t>
        </is>
      </c>
    </row>
    <row r="126">
      <c r="A126" s="14" t="inlineStr">
        <is>
          <t>InvDay_2026-05-12 · Serving a growing $ 18B TAM - B2B Solutions TAM (source: 2025 ESTIMATES FROM INDEPENDENT THIRD - PARTY CONSULTING FIRM; MIDPOINT OF RANGES)</t>
        </is>
      </c>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c r="AA126" s="15" t="n"/>
      <c r="AB126" s="15" t="n"/>
      <c r="AC126" s="15" t="n"/>
    </row>
    <row r="127">
      <c r="A127" s="39" t="inlineStr">
        <is>
          <t>B2B Solutions 2025 TAM</t>
        </is>
      </c>
      <c r="B127" s="3" t="n"/>
      <c r="C127" s="3" t="n"/>
      <c r="D127" s="3" t="n"/>
      <c r="E127" s="3" t="n"/>
      <c r="F127" s="3" t="n"/>
      <c r="G127" s="18" t="n">
        <v>18000</v>
      </c>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c r="AC127" s="4" t="inlineStr">
        <is>
          <t>InvDay_2026-05-12 p46</t>
        </is>
      </c>
    </row>
    <row r="128">
      <c r="A128" s="39" t="inlineStr">
        <is>
          <t>CORE + EXTENDED TAM</t>
        </is>
      </c>
      <c r="B128" s="3" t="n"/>
      <c r="C128" s="3" t="n"/>
      <c r="D128" s="3" t="n"/>
      <c r="E128" s="3" t="n"/>
      <c r="F128" s="3" t="n"/>
      <c r="G128" s="18" t="n">
        <v>14000</v>
      </c>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c r="AC128" s="4" t="inlineStr">
        <is>
          <t>InvDay_2026-05-12 p46</t>
        </is>
      </c>
    </row>
    <row r="129">
      <c r="A129" s="38" t="inlineStr">
        <is>
          <t>CORE TAM</t>
        </is>
      </c>
      <c r="B129" s="3" t="n"/>
      <c r="C129" s="3" t="n"/>
      <c r="D129" s="3" t="n"/>
      <c r="E129" s="3" t="n"/>
      <c r="F129" s="3" t="n"/>
      <c r="G129" s="30" t="n">
        <v>6000</v>
      </c>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c r="AC129" s="4" t="inlineStr">
        <is>
          <t>InvDay_2026-05-12 p46</t>
        </is>
      </c>
    </row>
    <row r="130">
      <c r="A130" s="38" t="inlineStr">
        <is>
          <t>SHARE OF CORE</t>
        </is>
      </c>
      <c r="B130" s="3" t="n"/>
      <c r="C130" s="3" t="n"/>
      <c r="D130" s="3" t="n"/>
      <c r="E130" s="3" t="n"/>
      <c r="F130" s="3" t="n"/>
      <c r="G130" s="41" t="n">
        <v>10</v>
      </c>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c r="AC130" s="4" t="inlineStr">
        <is>
          <t>InvDay_2026-05-12 p46</t>
        </is>
      </c>
    </row>
    <row r="131">
      <c r="A131" s="14" t="inlineStr">
        <is>
          <t>InvDay_2026-05-12 · automotiveMastermind : Predicting and converting the next buyer</t>
        </is>
      </c>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row>
    <row r="132">
      <c r="A132" s="38" t="inlineStr">
        <is>
          <t>Behavior Prediction Scores calculated every day (printed 215 Million)</t>
        </is>
      </c>
      <c r="B132" s="3" t="n"/>
      <c r="C132" s="3" t="n"/>
      <c r="D132" s="3" t="n"/>
      <c r="E132" s="3" t="n"/>
      <c r="F132" s="3" t="n"/>
      <c r="G132" s="3" t="n"/>
      <c r="H132" s="40" t="n">
        <v>215000000</v>
      </c>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c r="AC132" s="4" t="inlineStr">
        <is>
          <t>InvDay_2026-05-12 p48</t>
        </is>
      </c>
    </row>
    <row r="133">
      <c r="A133" s="14" t="inlineStr">
        <is>
          <t>InvDay_2026-05-12 · automotiveMastermind : Predicting and converting the next buyer (fn1: B2B SOLUTIONS INTERNAL DATA)</t>
        </is>
      </c>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row>
    <row r="134">
      <c r="A134" s="38" t="inlineStr">
        <is>
          <t>Sales professionals depend on automotive Mastermind (printed 56k +)</t>
        </is>
      </c>
      <c r="B134" s="3" t="n"/>
      <c r="C134" s="3" t="n"/>
      <c r="D134" s="3" t="n"/>
      <c r="E134" s="3" t="n"/>
      <c r="F134" s="3" t="n"/>
      <c r="G134" s="3" t="n"/>
      <c r="H134" s="40" t="n">
        <v>56000</v>
      </c>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c r="AC134" s="4" t="inlineStr">
        <is>
          <t>InvDay_2026-05-12 p48</t>
        </is>
      </c>
    </row>
    <row r="135">
      <c r="A135" s="14" t="inlineStr">
        <is>
          <t>InvDay_2026-05-12 · automotiveMastermind : Predicting and converting the next buyer (fn2: AUTOMOTIVE INSIGHTS NORTH AMERICAN INDUSTRY PERFORMANCE REPORTS JAN.2017 - SEPT. 2022)</t>
        </is>
      </c>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row>
    <row r="136">
      <c r="A136" s="38" t="inlineStr">
        <is>
          <t>Increase in customer loyalty</t>
        </is>
      </c>
      <c r="B136" s="3" t="n"/>
      <c r="C136" s="3" t="n"/>
      <c r="D136" s="3" t="n"/>
      <c r="E136" s="3" t="n"/>
      <c r="F136" s="3" t="n"/>
      <c r="G136" s="3" t="n"/>
      <c r="H136" s="3" t="n"/>
      <c r="I136" s="3" t="n"/>
      <c r="J136" s="3" t="n"/>
      <c r="K136" s="3" t="n"/>
      <c r="L136" s="3" t="n"/>
      <c r="M136" s="3" t="n"/>
      <c r="N136" s="3" t="n"/>
      <c r="O136" s="3" t="n"/>
      <c r="P136" s="3" t="n"/>
      <c r="Q136" s="3" t="n"/>
      <c r="R136" s="3" t="n"/>
      <c r="S136" s="3" t="n"/>
      <c r="T136" s="41" t="n">
        <v>10</v>
      </c>
      <c r="U136" s="3" t="n"/>
      <c r="V136" s="3" t="n"/>
      <c r="W136" s="3" t="n"/>
      <c r="X136" s="3" t="n"/>
      <c r="Y136" s="3" t="n"/>
      <c r="Z136" s="3" t="n"/>
      <c r="AA136" s="3" t="n"/>
      <c r="AB136" s="3" t="n"/>
      <c r="AC136" s="4" t="inlineStr">
        <is>
          <t>InvDay_2026-05-12 p48</t>
        </is>
      </c>
    </row>
    <row r="137">
      <c r="A137" s="14" t="inlineStr">
        <is>
          <t>InvDay_2026-05-12 · automotiveMastermind : Predicting and converting the next buyer (fn3: AUTOMOTIVEMASTERMIND PERFORMANCE INSIGHTS REPORT 2025)</t>
        </is>
      </c>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row>
    <row r="138">
      <c r="A138" s="38" t="inlineStr">
        <is>
          <t>Average ROI In 2025 (printed 14X)</t>
        </is>
      </c>
      <c r="B138" s="3" t="n"/>
      <c r="C138" s="3" t="n"/>
      <c r="D138" s="3" t="n"/>
      <c r="E138" s="3" t="n"/>
      <c r="F138" s="3" t="n"/>
      <c r="G138" s="3" t="n"/>
      <c r="H138" s="42" t="inlineStr">
        <is>
          <t>14x</t>
        </is>
      </c>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c r="AC138" s="4" t="inlineStr">
        <is>
          <t>InvDay_2026-05-12 p48</t>
        </is>
      </c>
    </row>
    <row r="139">
      <c r="A139" s="38" t="inlineStr">
        <is>
          <t>Attributed vehicle sales in 2025 (printed 650K)</t>
        </is>
      </c>
      <c r="B139" s="3" t="n"/>
      <c r="C139" s="3" t="n"/>
      <c r="D139" s="3" t="n"/>
      <c r="E139" s="3" t="n"/>
      <c r="F139" s="3" t="n"/>
      <c r="G139" s="3" t="n"/>
      <c r="H139" s="40" t="n">
        <v>650000</v>
      </c>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c r="AC139" s="4" t="inlineStr">
        <is>
          <t>InvDay_2026-05-12 p48</t>
        </is>
      </c>
    </row>
    <row r="140">
      <c r="A140" s="14" t="inlineStr">
        <is>
          <t>InvDay_2026-05-12 · FAST : Conquering planning complexity with Al (basis: INTERNAL DATA AND INDUSTRY RESEARCH - MCKINSEY DELOITTE IBM)</t>
        </is>
      </c>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row>
    <row r="141">
      <c r="A141" s="38" t="inlineStr">
        <is>
          <t>Time Savings</t>
        </is>
      </c>
      <c r="B141" s="3" t="n"/>
      <c r="C141" s="3" t="n"/>
      <c r="D141" s="3" t="n"/>
      <c r="E141" s="3" t="n"/>
      <c r="F141" s="3" t="n"/>
      <c r="G141" s="3" t="n"/>
      <c r="H141" s="3" t="n"/>
      <c r="I141" s="41" t="n">
        <v>80</v>
      </c>
      <c r="J141" s="3" t="n"/>
      <c r="K141" s="3" t="n"/>
      <c r="L141" s="3" t="n"/>
      <c r="M141" s="3" t="n"/>
      <c r="N141" s="3" t="n"/>
      <c r="O141" s="3" t="n"/>
      <c r="P141" s="3" t="n"/>
      <c r="Q141" s="3" t="n"/>
      <c r="R141" s="3" t="n"/>
      <c r="S141" s="3" t="n"/>
      <c r="T141" s="3" t="n"/>
      <c r="U141" s="3" t="n"/>
      <c r="V141" s="3" t="n"/>
      <c r="W141" s="3" t="n"/>
      <c r="X141" s="3" t="n"/>
      <c r="Y141" s="3" t="n"/>
      <c r="Z141" s="3" t="n"/>
      <c r="AA141" s="3" t="n"/>
      <c r="AB141" s="3" t="n"/>
      <c r="AC141" s="4" t="inlineStr">
        <is>
          <t>InvDay_2026-05-12 p49</t>
        </is>
      </c>
    </row>
    <row r="142">
      <c r="A142" s="38" t="inlineStr">
        <is>
          <t>Customer productivity gain per planner per year (printed $ 100k +)</t>
        </is>
      </c>
      <c r="B142" s="3" t="n"/>
      <c r="C142" s="3" t="n"/>
      <c r="D142" s="3" t="n"/>
      <c r="E142" s="3" t="n"/>
      <c r="F142" s="3" t="n"/>
      <c r="G142" s="3" t="n"/>
      <c r="H142" s="3" t="n"/>
      <c r="I142" s="40" t="n">
        <v>100000</v>
      </c>
      <c r="J142" s="3" t="n"/>
      <c r="K142" s="3" t="n"/>
      <c r="L142" s="3" t="n"/>
      <c r="M142" s="3" t="n"/>
      <c r="N142" s="3" t="n"/>
      <c r="O142" s="3" t="n"/>
      <c r="P142" s="3" t="n"/>
      <c r="Q142" s="3" t="n"/>
      <c r="R142" s="3" t="n"/>
      <c r="S142" s="3" t="n"/>
      <c r="T142" s="3" t="n"/>
      <c r="U142" s="3" t="n"/>
      <c r="V142" s="3" t="n"/>
      <c r="W142" s="3" t="n"/>
      <c r="X142" s="3" t="n"/>
      <c r="Y142" s="3" t="n"/>
      <c r="Z142" s="3" t="n"/>
      <c r="AA142" s="3" t="n"/>
      <c r="AB142" s="3" t="n"/>
      <c r="AC142" s="4" t="inlineStr">
        <is>
          <t>InvDay_2026-05-12 p49</t>
        </is>
      </c>
    </row>
    <row r="143">
      <c r="A143" s="38" t="inlineStr">
        <is>
          <t>Automation Rate possible</t>
        </is>
      </c>
      <c r="B143" s="3" t="n"/>
      <c r="C143" s="3" t="n"/>
      <c r="D143" s="3" t="n"/>
      <c r="E143" s="3" t="n"/>
      <c r="F143" s="3" t="n"/>
      <c r="G143" s="3" t="n"/>
      <c r="H143" s="3" t="n"/>
      <c r="I143" s="41" t="n">
        <v>90</v>
      </c>
      <c r="J143" s="3" t="n"/>
      <c r="K143" s="3" t="n"/>
      <c r="L143" s="3" t="n"/>
      <c r="M143" s="3" t="n"/>
      <c r="N143" s="3" t="n"/>
      <c r="O143" s="3" t="n"/>
      <c r="P143" s="3" t="n"/>
      <c r="Q143" s="3" t="n"/>
      <c r="R143" s="3" t="n"/>
      <c r="S143" s="3" t="n"/>
      <c r="T143" s="3" t="n"/>
      <c r="U143" s="3" t="n"/>
      <c r="V143" s="3" t="n"/>
      <c r="W143" s="3" t="n"/>
      <c r="X143" s="3" t="n"/>
      <c r="Y143" s="3" t="n"/>
      <c r="Z143" s="3" t="n"/>
      <c r="AA143" s="3" t="n"/>
      <c r="AB143" s="3" t="n"/>
      <c r="AC143" s="4" t="inlineStr">
        <is>
          <t>InvDay_2026-05-12 p49</t>
        </is>
      </c>
    </row>
    <row r="144">
      <c r="A144" s="38" t="inlineStr">
        <is>
          <t>Improved Planning and Forecasting Quality (printed 4x)</t>
        </is>
      </c>
      <c r="B144" s="3" t="n"/>
      <c r="C144" s="3" t="n"/>
      <c r="D144" s="3" t="n"/>
      <c r="E144" s="3" t="n"/>
      <c r="F144" s="3" t="n"/>
      <c r="G144" s="3" t="n"/>
      <c r="H144" s="3" t="n"/>
      <c r="I144" s="42" t="inlineStr">
        <is>
          <t>4x</t>
        </is>
      </c>
      <c r="J144" s="3" t="n"/>
      <c r="K144" s="3" t="n"/>
      <c r="L144" s="3" t="n"/>
      <c r="M144" s="3" t="n"/>
      <c r="N144" s="3" t="n"/>
      <c r="O144" s="3" t="n"/>
      <c r="P144" s="3" t="n"/>
      <c r="Q144" s="3" t="n"/>
      <c r="R144" s="3" t="n"/>
      <c r="S144" s="3" t="n"/>
      <c r="T144" s="3" t="n"/>
      <c r="U144" s="3" t="n"/>
      <c r="V144" s="3" t="n"/>
      <c r="W144" s="3" t="n"/>
      <c r="X144" s="3" t="n"/>
      <c r="Y144" s="3" t="n"/>
      <c r="Z144" s="3" t="n"/>
      <c r="AA144" s="3" t="n"/>
      <c r="AB144" s="3" t="n"/>
      <c r="AC144" s="4" t="inlineStr">
        <is>
          <t>InvDay_2026-05-12 p49</t>
        </is>
      </c>
    </row>
    <row r="145">
      <c r="A145" s="14" t="inlineStr">
        <is>
          <t>InvDay_2026-05-12 · FAST : Conquering planning complexity with Al</t>
        </is>
      </c>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row>
    <row r="146">
      <c r="A146" s="38" t="inlineStr">
        <is>
          <t>Vehicle Variants Assessed Seamlessly (printed 85K +)</t>
        </is>
      </c>
      <c r="B146" s="3" t="n"/>
      <c r="C146" s="3" t="n"/>
      <c r="D146" s="3" t="n"/>
      <c r="E146" s="3" t="n"/>
      <c r="F146" s="3" t="n"/>
      <c r="G146" s="3" t="n"/>
      <c r="H146" s="3" t="n"/>
      <c r="I146" s="40" t="n">
        <v>85000</v>
      </c>
      <c r="J146" s="3" t="n"/>
      <c r="K146" s="3" t="n"/>
      <c r="L146" s="3" t="n"/>
      <c r="M146" s="3" t="n"/>
      <c r="N146" s="3" t="n"/>
      <c r="O146" s="3" t="n"/>
      <c r="P146" s="3" t="n"/>
      <c r="Q146" s="3" t="n"/>
      <c r="R146" s="3" t="n"/>
      <c r="S146" s="3" t="n"/>
      <c r="T146" s="3" t="n"/>
      <c r="U146" s="3" t="n"/>
      <c r="V146" s="3" t="n"/>
      <c r="W146" s="3" t="n"/>
      <c r="X146" s="3" t="n"/>
      <c r="Y146" s="3" t="n"/>
      <c r="Z146" s="3" t="n"/>
      <c r="AA146" s="3" t="n"/>
      <c r="AB146" s="3" t="n"/>
      <c r="AC146" s="4" t="inlineStr">
        <is>
          <t>InvDay_2026-05-12 p49</t>
        </is>
      </c>
    </row>
    <row r="147">
      <c r="A147" s="14" t="inlineStr">
        <is>
          <t>InvDay_2026-05-12 · Data Studio : Turning data misalignment into opportunity (basis: INTERNAL DATA AND CASE STUDIES ACROSS MULTIPLE OEMS)</t>
        </is>
      </c>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row>
    <row r="148">
      <c r="A148" s="38" t="inlineStr">
        <is>
          <t>Higher close rate</t>
        </is>
      </c>
      <c r="B148" s="3" t="n"/>
      <c r="C148" s="3" t="n"/>
      <c r="D148" s="3" t="n"/>
      <c r="E148" s="3" t="n"/>
      <c r="F148" s="3" t="n"/>
      <c r="G148" s="3" t="n"/>
      <c r="H148" s="3" t="n"/>
      <c r="I148" s="41" t="n">
        <v>40</v>
      </c>
      <c r="J148" s="3" t="n"/>
      <c r="K148" s="3" t="n"/>
      <c r="L148" s="3" t="n"/>
      <c r="M148" s="3" t="n"/>
      <c r="N148" s="3" t="n"/>
      <c r="O148" s="3" t="n"/>
      <c r="P148" s="3" t="n"/>
      <c r="Q148" s="3" t="n"/>
      <c r="R148" s="3" t="n"/>
      <c r="S148" s="3" t="n"/>
      <c r="T148" s="3" t="n"/>
      <c r="U148" s="3" t="n"/>
      <c r="V148" s="3" t="n"/>
      <c r="W148" s="3" t="n"/>
      <c r="X148" s="3" t="n"/>
      <c r="Y148" s="3" t="n"/>
      <c r="Z148" s="3" t="n"/>
      <c r="AA148" s="3" t="n"/>
      <c r="AB148" s="3" t="n"/>
      <c r="AC148" s="4" t="inlineStr">
        <is>
          <t>InvDay_2026-05-12 p50</t>
        </is>
      </c>
    </row>
    <row r="149">
      <c r="A149" s="38" t="inlineStr">
        <is>
          <t>Sales Lift (printed 10 + %)</t>
        </is>
      </c>
      <c r="B149" s="3" t="n"/>
      <c r="C149" s="3" t="n"/>
      <c r="D149" s="3" t="n"/>
      <c r="E149" s="3" t="n"/>
      <c r="F149" s="3" t="n"/>
      <c r="G149" s="3" t="n"/>
      <c r="H149" s="3" t="n"/>
      <c r="I149" s="42" t="inlineStr">
        <is>
          <t>10+</t>
        </is>
      </c>
      <c r="J149" s="3" t="n"/>
      <c r="K149" s="3" t="n"/>
      <c r="L149" s="3" t="n"/>
      <c r="M149" s="3" t="n"/>
      <c r="N149" s="3" t="n"/>
      <c r="O149" s="3" t="n"/>
      <c r="P149" s="3" t="n"/>
      <c r="Q149" s="3" t="n"/>
      <c r="R149" s="3" t="n"/>
      <c r="S149" s="3" t="n"/>
      <c r="T149" s="3" t="n"/>
      <c r="U149" s="3" t="n"/>
      <c r="V149" s="3" t="n"/>
      <c r="W149" s="3" t="n"/>
      <c r="X149" s="3" t="n"/>
      <c r="Y149" s="3" t="n"/>
      <c r="Z149" s="3" t="n"/>
      <c r="AA149" s="3" t="n"/>
      <c r="AB149" s="3" t="n"/>
      <c r="AC149" s="4" t="inlineStr">
        <is>
          <t>InvDay_2026-05-12 p50</t>
        </is>
      </c>
    </row>
    <row r="150">
      <c r="A150" s="38" t="inlineStr">
        <is>
          <t>Reduction in Incentives</t>
        </is>
      </c>
      <c r="B150" s="3" t="n"/>
      <c r="C150" s="3" t="n"/>
      <c r="D150" s="3" t="n"/>
      <c r="E150" s="3" t="n"/>
      <c r="F150" s="3" t="n"/>
      <c r="G150" s="3" t="n"/>
      <c r="H150" s="3" t="n"/>
      <c r="I150" s="41" t="n">
        <v>10</v>
      </c>
      <c r="J150" s="3" t="n"/>
      <c r="K150" s="3" t="n"/>
      <c r="L150" s="3" t="n"/>
      <c r="M150" s="3" t="n"/>
      <c r="N150" s="3" t="n"/>
      <c r="O150" s="3" t="n"/>
      <c r="P150" s="3" t="n"/>
      <c r="Q150" s="3" t="n"/>
      <c r="R150" s="3" t="n"/>
      <c r="S150" s="3" t="n"/>
      <c r="T150" s="3" t="n"/>
      <c r="U150" s="3" t="n"/>
      <c r="V150" s="3" t="n"/>
      <c r="W150" s="3" t="n"/>
      <c r="X150" s="3" t="n"/>
      <c r="Y150" s="3" t="n"/>
      <c r="Z150" s="3" t="n"/>
      <c r="AA150" s="3" t="n"/>
      <c r="AB150" s="3" t="n"/>
      <c r="AC150" s="4" t="inlineStr">
        <is>
          <t>InvDay_2026-05-12 p50</t>
        </is>
      </c>
    </row>
    <row r="151">
      <c r="A151" s="14" t="inlineStr">
        <is>
          <t>InvDay_2026-05-12 · B2B : Industry leadership and accelerating growth with Al</t>
        </is>
      </c>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row>
    <row r="152">
      <c r="A152" s="38" t="inlineStr">
        <is>
          <t>Revenue (printed $ 600M +)</t>
        </is>
      </c>
      <c r="B152" s="3" t="n"/>
      <c r="C152" s="3" t="n"/>
      <c r="D152" s="3" t="n"/>
      <c r="E152" s="3" t="n"/>
      <c r="F152" s="3" t="n"/>
      <c r="G152" s="3" t="n"/>
      <c r="H152" s="42" t="inlineStr">
        <is>
          <t>600+</t>
        </is>
      </c>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c r="AC152" s="4" t="inlineStr">
        <is>
          <t>InvDay_2026-05-12 p51</t>
        </is>
      </c>
    </row>
    <row r="153">
      <c r="A153" s="38" t="inlineStr">
        <is>
          <t>Subscription Revenue</t>
        </is>
      </c>
      <c r="B153" s="3" t="n"/>
      <c r="C153" s="3" t="n"/>
      <c r="D153" s="3" t="n"/>
      <c r="E153" s="3" t="n"/>
      <c r="F153" s="3" t="n"/>
      <c r="G153" s="3" t="n"/>
      <c r="H153" s="41" t="n">
        <v>82</v>
      </c>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c r="AC153" s="4" t="inlineStr">
        <is>
          <t>InvDay_2026-05-12 p51</t>
        </is>
      </c>
    </row>
    <row r="154">
      <c r="A154" s="14" t="inlineStr">
        <is>
          <t>InvDay_2026-05-12 · Diversified , resilient and subscription - led revenue - CARFAX FY25 REVENUE BREAKDOWN</t>
        </is>
      </c>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row>
    <row r="155">
      <c r="A155" s="39" t="inlineStr">
        <is>
          <t>CARFAX REVENUE</t>
        </is>
      </c>
      <c r="B155" s="3" t="n"/>
      <c r="C155" s="3" t="n"/>
      <c r="D155" s="3" t="n"/>
      <c r="E155" s="3" t="n"/>
      <c r="F155" s="3" t="n"/>
      <c r="G155" s="3" t="n"/>
      <c r="H155" s="18" t="n">
        <v>1142</v>
      </c>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c r="AC155" s="4" t="inlineStr">
        <is>
          <t>InvDay_2026-05-12 p57</t>
        </is>
      </c>
    </row>
    <row r="156">
      <c r="A156" s="38" t="inlineStr">
        <is>
          <t>CARFAX REVENUE BY TYPE - Transactional</t>
        </is>
      </c>
      <c r="B156" s="3" t="n"/>
      <c r="C156" s="3" t="n"/>
      <c r="D156" s="3" t="n"/>
      <c r="E156" s="3" t="n"/>
      <c r="F156" s="3" t="n"/>
      <c r="G156" s="3" t="n"/>
      <c r="H156" s="41" t="n">
        <v>19</v>
      </c>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c r="AC156" s="4" t="inlineStr">
        <is>
          <t>InvDay_2026-05-12 p57</t>
        </is>
      </c>
    </row>
    <row r="157">
      <c r="A157" s="38" t="inlineStr">
        <is>
          <t>CARFAX REVENUE BY TYPE - Subscription</t>
        </is>
      </c>
      <c r="B157" s="3" t="n"/>
      <c r="C157" s="3" t="n"/>
      <c r="D157" s="3" t="n"/>
      <c r="E157" s="3" t="n"/>
      <c r="F157" s="3" t="n"/>
      <c r="G157" s="3" t="n"/>
      <c r="H157" s="41" t="n">
        <v>81</v>
      </c>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c r="AC157" s="4" t="inlineStr">
        <is>
          <t>InvDay_2026-05-12 p57</t>
        </is>
      </c>
    </row>
    <row r="158">
      <c r="A158" s="38" t="inlineStr">
        <is>
          <t>CARFAX REVENUE BY GEOGRAPHY - International</t>
        </is>
      </c>
      <c r="B158" s="3" t="n"/>
      <c r="C158" s="3" t="n"/>
      <c r="D158" s="3" t="n"/>
      <c r="E158" s="3" t="n"/>
      <c r="F158" s="3" t="n"/>
      <c r="G158" s="3" t="n"/>
      <c r="H158" s="41" t="n">
        <v>15</v>
      </c>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c r="AC158" s="4" t="inlineStr">
        <is>
          <t>InvDay_2026-05-12 p57</t>
        </is>
      </c>
    </row>
    <row r="159">
      <c r="A159" s="38" t="inlineStr">
        <is>
          <t>CARFAX REVENUE BY GEOGRAPHY - United States</t>
        </is>
      </c>
      <c r="B159" s="3" t="n"/>
      <c r="C159" s="3" t="n"/>
      <c r="D159" s="3" t="n"/>
      <c r="E159" s="3" t="n"/>
      <c r="F159" s="3" t="n"/>
      <c r="G159" s="3" t="n"/>
      <c r="H159" s="41" t="n">
        <v>85</v>
      </c>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c r="AC159" s="4" t="inlineStr">
        <is>
          <t>InvDay_2026-05-12 p57</t>
        </is>
      </c>
    </row>
    <row r="160">
      <c r="A160" s="14" t="inlineStr">
        <is>
          <t>InvDay_2026-05-12 · Diversified , resilient and subscription - led revenue - CARFAX FY25 REVENUE BREAKDOWN (fn1: PERCENTAGES MAY NOT SUM TO 100 % DUE TO ROUNDING)</t>
        </is>
      </c>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row>
    <row r="161">
      <c r="A161" s="38" t="inlineStr">
        <is>
          <t>CARFAX REVENUE BY PRODUCT &amp; INTERNATIONAL - Advantage</t>
        </is>
      </c>
      <c r="B161" s="3" t="n"/>
      <c r="C161" s="3" t="n"/>
      <c r="D161" s="3" t="n"/>
      <c r="E161" s="3" t="n"/>
      <c r="F161" s="3" t="n"/>
      <c r="G161" s="3" t="n"/>
      <c r="H161" s="41" t="n">
        <v>38</v>
      </c>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c r="AC161" s="4" t="inlineStr">
        <is>
          <t>InvDay_2026-05-12 p57</t>
        </is>
      </c>
    </row>
    <row r="162">
      <c r="A162" s="38" t="inlineStr">
        <is>
          <t>CARFAX REVENUE BY PRODUCT &amp; INTERNATIONAL - Financial / Consumer / Other</t>
        </is>
      </c>
      <c r="B162" s="3" t="n"/>
      <c r="C162" s="3" t="n"/>
      <c r="D162" s="3" t="n"/>
      <c r="E162" s="3" t="n"/>
      <c r="F162" s="3" t="n"/>
      <c r="G162" s="3" t="n"/>
      <c r="H162" s="41" t="n">
        <v>26</v>
      </c>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c r="AC162" s="4" t="inlineStr">
        <is>
          <t>InvDay_2026-05-12 p57</t>
        </is>
      </c>
    </row>
    <row r="163">
      <c r="A163" s="38" t="inlineStr">
        <is>
          <t>CARFAX REVENUE BY PRODUCT &amp; INTERNATIONAL - Listings</t>
        </is>
      </c>
      <c r="B163" s="3" t="n"/>
      <c r="C163" s="3" t="n"/>
      <c r="D163" s="3" t="n"/>
      <c r="E163" s="3" t="n"/>
      <c r="F163" s="3" t="n"/>
      <c r="G163" s="3" t="n"/>
      <c r="H163" s="41" t="n">
        <v>22</v>
      </c>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c r="AC163" s="4" t="inlineStr">
        <is>
          <t>InvDay_2026-05-12 p57</t>
        </is>
      </c>
    </row>
    <row r="164">
      <c r="A164" s="38" t="inlineStr">
        <is>
          <t>CARFAX REVENUE BY PRODUCT &amp; INTERNATIONAL - International</t>
        </is>
      </c>
      <c r="B164" s="3" t="n"/>
      <c r="C164" s="3" t="n"/>
      <c r="D164" s="3" t="n"/>
      <c r="E164" s="3" t="n"/>
      <c r="F164" s="3" t="n"/>
      <c r="G164" s="3" t="n"/>
      <c r="H164" s="41" t="n">
        <v>15</v>
      </c>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c r="AC164" s="4" t="inlineStr">
        <is>
          <t>InvDay_2026-05-12 p57</t>
        </is>
      </c>
    </row>
    <row r="165">
      <c r="A165" s="14" t="inlineStr">
        <is>
          <t>InvDay_2026-05-12 · CARFAX at a glance - FY25 BUSINESS HIGHLIGHTS</t>
        </is>
      </c>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row>
    <row r="166">
      <c r="A166" s="38" t="inlineStr">
        <is>
          <t>Total in - market awareness</t>
        </is>
      </c>
      <c r="B166" s="3" t="n"/>
      <c r="C166" s="3" t="n"/>
      <c r="D166" s="3" t="n"/>
      <c r="E166" s="3" t="n"/>
      <c r="F166" s="3" t="n"/>
      <c r="G166" s="3" t="n"/>
      <c r="H166" s="41" t="n">
        <v>96</v>
      </c>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c r="AC166" s="4" t="inlineStr">
        <is>
          <t>InvDay_2026-05-12 p58</t>
        </is>
      </c>
    </row>
    <row r="167">
      <c r="A167" s="38" t="inlineStr">
        <is>
          <t>Vehicle history records (printed 38B +)</t>
        </is>
      </c>
      <c r="B167" s="3" t="n"/>
      <c r="C167" s="3" t="n"/>
      <c r="D167" s="3" t="n"/>
      <c r="E167" s="3" t="n"/>
      <c r="F167" s="3" t="n"/>
      <c r="G167" s="3" t="n"/>
      <c r="H167" s="40" t="n">
        <v>38000000000</v>
      </c>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c r="AC167" s="4" t="inlineStr">
        <is>
          <t>InvDay_2026-05-12 p58</t>
        </is>
      </c>
    </row>
    <row r="168">
      <c r="A168" s="38" t="inlineStr">
        <is>
          <t>Dealer customers (printed 40K +)</t>
        </is>
      </c>
      <c r="B168" s="3" t="n"/>
      <c r="C168" s="3" t="n"/>
      <c r="D168" s="3" t="n"/>
      <c r="E168" s="3" t="n"/>
      <c r="F168" s="3" t="n"/>
      <c r="G168" s="3" t="n"/>
      <c r="H168" s="40" t="n">
        <v>40000</v>
      </c>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c r="AC168" s="4" t="inlineStr">
        <is>
          <t>InvDay_2026-05-12 p58</t>
        </is>
      </c>
    </row>
    <row r="169">
      <c r="A169" s="38" t="inlineStr">
        <is>
          <t>Car Care customers (printed 53M +)</t>
        </is>
      </c>
      <c r="B169" s="3" t="n"/>
      <c r="C169" s="3" t="n"/>
      <c r="D169" s="3" t="n"/>
      <c r="E169" s="3" t="n"/>
      <c r="F169" s="3" t="n"/>
      <c r="G169" s="3" t="n"/>
      <c r="H169" s="40" t="n">
        <v>53000000</v>
      </c>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c r="AC169" s="4" t="inlineStr">
        <is>
          <t>InvDay_2026-05-12 p58</t>
        </is>
      </c>
    </row>
    <row r="170">
      <c r="A170" s="14" t="inlineStr">
        <is>
          <t>InvDay_2026-05-12 · CARFAX at a glance - REVENUE GROWTH</t>
        </is>
      </c>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row>
    <row r="171">
      <c r="A171" s="39" t="inlineStr">
        <is>
          <t>CARFAX Revenue</t>
        </is>
      </c>
      <c r="B171" s="3" t="n"/>
      <c r="C171" s="3" t="n"/>
      <c r="D171" s="18" t="n">
        <v>928</v>
      </c>
      <c r="E171" s="3" t="n"/>
      <c r="F171" s="18" t="n">
        <v>1039</v>
      </c>
      <c r="G171" s="3" t="n"/>
      <c r="H171" s="18" t="n">
        <v>1142</v>
      </c>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c r="AC171" s="4" t="inlineStr">
        <is>
          <t>InvDay_2026-05-12 p58</t>
        </is>
      </c>
    </row>
    <row r="172">
      <c r="A172" s="38" t="inlineStr">
        <is>
          <t>CARFAX Revenue CAGR (printed ~ 11 %)</t>
        </is>
      </c>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41" t="n">
        <v>11</v>
      </c>
      <c r="X172" s="3" t="n"/>
      <c r="Y172" s="3" t="n"/>
      <c r="Z172" s="3" t="n"/>
      <c r="AA172" s="3" t="n"/>
      <c r="AB172" s="3" t="n"/>
      <c r="AC172" s="4" t="inlineStr">
        <is>
          <t>InvDay_2026-05-12 p58</t>
        </is>
      </c>
    </row>
    <row r="173">
      <c r="A173" s="14" t="inlineStr">
        <is>
          <t>InvDay_2026-05-12 · Four core strategic assets , powered by Al (CARFAX)</t>
        </is>
      </c>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row>
    <row r="174">
      <c r="A174" s="38" t="inlineStr">
        <is>
          <t>dealer workflow tool integrations</t>
        </is>
      </c>
      <c r="B174" s="3" t="n"/>
      <c r="C174" s="3" t="n"/>
      <c r="D174" s="3" t="n"/>
      <c r="E174" s="3" t="n"/>
      <c r="F174" s="3" t="n"/>
      <c r="G174" s="3" t="n"/>
      <c r="H174" s="40" t="n">
        <v>95</v>
      </c>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c r="AC174" s="4" t="inlineStr">
        <is>
          <t>InvDay_2026-05-12 p62</t>
        </is>
      </c>
    </row>
    <row r="175">
      <c r="A175" s="14" t="inlineStr">
        <is>
          <t>InvDay_2026-05-12 · Unique data and proprietary IP built over forty years</t>
        </is>
      </c>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row>
    <row r="176">
      <c r="A176" s="38" t="inlineStr">
        <is>
          <t>Vehicle History Records (printed 38+ BILLION)</t>
        </is>
      </c>
      <c r="B176" s="3" t="n"/>
      <c r="C176" s="3" t="n"/>
      <c r="D176" s="3" t="n"/>
      <c r="E176" s="3" t="n"/>
      <c r="F176" s="3" t="n"/>
      <c r="G176" s="3" t="n"/>
      <c r="H176" s="3" t="n"/>
      <c r="I176" s="40" t="n">
        <v>38000000000</v>
      </c>
      <c r="J176" s="3" t="n"/>
      <c r="K176" s="3" t="n"/>
      <c r="L176" s="3" t="n"/>
      <c r="M176" s="3" t="n"/>
      <c r="N176" s="3" t="n"/>
      <c r="O176" s="3" t="n"/>
      <c r="P176" s="3" t="n"/>
      <c r="Q176" s="3" t="n"/>
      <c r="R176" s="3" t="n"/>
      <c r="S176" s="3" t="n"/>
      <c r="T176" s="3" t="n"/>
      <c r="U176" s="3" t="n"/>
      <c r="V176" s="3" t="n"/>
      <c r="W176" s="3" t="n"/>
      <c r="X176" s="3" t="n"/>
      <c r="Y176" s="3" t="n"/>
      <c r="Z176" s="3" t="n"/>
      <c r="AA176" s="3" t="n"/>
      <c r="AB176" s="3" t="n"/>
      <c r="AC176" s="4" t="inlineStr">
        <is>
          <t>InvDay_2026-05-12 p63</t>
        </is>
      </c>
    </row>
    <row r="177">
      <c r="A177" s="38" t="inlineStr">
        <is>
          <t>Data Sources (printed 177,000+)</t>
        </is>
      </c>
      <c r="B177" s="3" t="n"/>
      <c r="C177" s="3" t="n"/>
      <c r="D177" s="3" t="n"/>
      <c r="E177" s="3" t="n"/>
      <c r="F177" s="3" t="n"/>
      <c r="G177" s="3" t="n"/>
      <c r="H177" s="3" t="n"/>
      <c r="I177" s="40" t="n">
        <v>177000</v>
      </c>
      <c r="J177" s="3" t="n"/>
      <c r="K177" s="3" t="n"/>
      <c r="L177" s="3" t="n"/>
      <c r="M177" s="3" t="n"/>
      <c r="N177" s="3" t="n"/>
      <c r="O177" s="3" t="n"/>
      <c r="P177" s="3" t="n"/>
      <c r="Q177" s="3" t="n"/>
      <c r="R177" s="3" t="n"/>
      <c r="S177" s="3" t="n"/>
      <c r="T177" s="3" t="n"/>
      <c r="U177" s="3" t="n"/>
      <c r="V177" s="3" t="n"/>
      <c r="W177" s="3" t="n"/>
      <c r="X177" s="3" t="n"/>
      <c r="Y177" s="3" t="n"/>
      <c r="Z177" s="3" t="n"/>
      <c r="AA177" s="3" t="n"/>
      <c r="AB177" s="3" t="n"/>
      <c r="AC177" s="4" t="inlineStr">
        <is>
          <t>InvDay_2026-05-12 p63</t>
        </is>
      </c>
    </row>
    <row r="178">
      <c r="A178" s="38" t="inlineStr">
        <is>
          <t>Service Shops (printed 92,000+)</t>
        </is>
      </c>
      <c r="B178" s="3" t="n"/>
      <c r="C178" s="3" t="n"/>
      <c r="D178" s="3" t="n"/>
      <c r="E178" s="3" t="n"/>
      <c r="F178" s="3" t="n"/>
      <c r="G178" s="3" t="n"/>
      <c r="H178" s="3" t="n"/>
      <c r="I178" s="40" t="n">
        <v>92000</v>
      </c>
      <c r="J178" s="3" t="n"/>
      <c r="K178" s="3" t="n"/>
      <c r="L178" s="3" t="n"/>
      <c r="M178" s="3" t="n"/>
      <c r="N178" s="3" t="n"/>
      <c r="O178" s="3" t="n"/>
      <c r="P178" s="3" t="n"/>
      <c r="Q178" s="3" t="n"/>
      <c r="R178" s="3" t="n"/>
      <c r="S178" s="3" t="n"/>
      <c r="T178" s="3" t="n"/>
      <c r="U178" s="3" t="n"/>
      <c r="V178" s="3" t="n"/>
      <c r="W178" s="3" t="n"/>
      <c r="X178" s="3" t="n"/>
      <c r="Y178" s="3" t="n"/>
      <c r="Z178" s="3" t="n"/>
      <c r="AA178" s="3" t="n"/>
      <c r="AB178" s="3" t="n"/>
      <c r="AC178" s="4" t="inlineStr">
        <is>
          <t>InvDay_2026-05-12 p63</t>
        </is>
      </c>
    </row>
    <row r="179">
      <c r="A179" s="38" t="inlineStr">
        <is>
          <t>Police Agencies (printed 6,300+)</t>
        </is>
      </c>
      <c r="B179" s="3" t="n"/>
      <c r="C179" s="3" t="n"/>
      <c r="D179" s="3" t="n"/>
      <c r="E179" s="3" t="n"/>
      <c r="F179" s="3" t="n"/>
      <c r="G179" s="3" t="n"/>
      <c r="H179" s="3" t="n"/>
      <c r="I179" s="40" t="n">
        <v>6300</v>
      </c>
      <c r="J179" s="3" t="n"/>
      <c r="K179" s="3" t="n"/>
      <c r="L179" s="3" t="n"/>
      <c r="M179" s="3" t="n"/>
      <c r="N179" s="3" t="n"/>
      <c r="O179" s="3" t="n"/>
      <c r="P179" s="3" t="n"/>
      <c r="Q179" s="3" t="n"/>
      <c r="R179" s="3" t="n"/>
      <c r="S179" s="3" t="n"/>
      <c r="T179" s="3" t="n"/>
      <c r="U179" s="3" t="n"/>
      <c r="V179" s="3" t="n"/>
      <c r="W179" s="3" t="n"/>
      <c r="X179" s="3" t="n"/>
      <c r="Y179" s="3" t="n"/>
      <c r="Z179" s="3" t="n"/>
      <c r="AA179" s="3" t="n"/>
      <c r="AB179" s="3" t="n"/>
      <c r="AC179" s="4" t="inlineStr">
        <is>
          <t>InvDay_2026-05-12 p63</t>
        </is>
      </c>
    </row>
    <row r="180">
      <c r="A180" s="38" t="inlineStr">
        <is>
          <t>RECORDS on Avg Added Daily (printed ~ 6M)</t>
        </is>
      </c>
      <c r="B180" s="3" t="n"/>
      <c r="C180" s="3" t="n"/>
      <c r="D180" s="3" t="n"/>
      <c r="E180" s="3" t="n"/>
      <c r="F180" s="3" t="n"/>
      <c r="G180" s="3" t="n"/>
      <c r="H180" s="3" t="n"/>
      <c r="I180" s="40" t="n">
        <v>6000000</v>
      </c>
      <c r="J180" s="3" t="n"/>
      <c r="K180" s="3" t="n"/>
      <c r="L180" s="3" t="n"/>
      <c r="M180" s="3" t="n"/>
      <c r="N180" s="3" t="n"/>
      <c r="O180" s="3" t="n"/>
      <c r="P180" s="3" t="n"/>
      <c r="Q180" s="3" t="n"/>
      <c r="R180" s="3" t="n"/>
      <c r="S180" s="3" t="n"/>
      <c r="T180" s="3" t="n"/>
      <c r="U180" s="3" t="n"/>
      <c r="V180" s="3" t="n"/>
      <c r="W180" s="3" t="n"/>
      <c r="X180" s="3" t="n"/>
      <c r="Y180" s="3" t="n"/>
      <c r="Z180" s="3" t="n"/>
      <c r="AA180" s="3" t="n"/>
      <c r="AB180" s="3" t="n"/>
      <c r="AC180" s="4" t="inlineStr">
        <is>
          <t>InvDay_2026-05-12 p63</t>
        </is>
      </c>
    </row>
    <row r="181">
      <c r="A181" s="14" t="inlineStr">
        <is>
          <t>InvDay_2026-05-12 · A self - reinforcing network built over decades</t>
        </is>
      </c>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row>
    <row r="182">
      <c r="A182" s="38" t="inlineStr">
        <is>
          <t>POLICE &amp; GOVT . AGENCIES (printed 6.3K agencies)</t>
        </is>
      </c>
      <c r="B182" s="3" t="n"/>
      <c r="C182" s="3" t="n"/>
      <c r="D182" s="3" t="n"/>
      <c r="E182" s="3" t="n"/>
      <c r="F182" s="3" t="n"/>
      <c r="G182" s="3" t="n"/>
      <c r="H182" s="3" t="n"/>
      <c r="I182" s="40" t="n">
        <v>6300</v>
      </c>
      <c r="J182" s="3" t="n"/>
      <c r="K182" s="3" t="n"/>
      <c r="L182" s="3" t="n"/>
      <c r="M182" s="3" t="n"/>
      <c r="N182" s="3" t="n"/>
      <c r="O182" s="3" t="n"/>
      <c r="P182" s="3" t="n"/>
      <c r="Q182" s="3" t="n"/>
      <c r="R182" s="3" t="n"/>
      <c r="S182" s="3" t="n"/>
      <c r="T182" s="3" t="n"/>
      <c r="U182" s="3" t="n"/>
      <c r="V182" s="3" t="n"/>
      <c r="W182" s="3" t="n"/>
      <c r="X182" s="3" t="n"/>
      <c r="Y182" s="3" t="n"/>
      <c r="Z182" s="3" t="n"/>
      <c r="AA182" s="3" t="n"/>
      <c r="AB182" s="3" t="n"/>
      <c r="AC182" s="4" t="inlineStr">
        <is>
          <t>InvDay_2026-05-12 p64</t>
        </is>
      </c>
    </row>
    <row r="183">
      <c r="A183" s="38" t="inlineStr">
        <is>
          <t>DEALERS &amp; SERVICE SHOPS (printed 92K + partners)</t>
        </is>
      </c>
      <c r="B183" s="3" t="n"/>
      <c r="C183" s="3" t="n"/>
      <c r="D183" s="3" t="n"/>
      <c r="E183" s="3" t="n"/>
      <c r="F183" s="3" t="n"/>
      <c r="G183" s="3" t="n"/>
      <c r="H183" s="3" t="n"/>
      <c r="I183" s="40" t="n">
        <v>92000</v>
      </c>
      <c r="J183" s="3" t="n"/>
      <c r="K183" s="3" t="n"/>
      <c r="L183" s="3" t="n"/>
      <c r="M183" s="3" t="n"/>
      <c r="N183" s="3" t="n"/>
      <c r="O183" s="3" t="n"/>
      <c r="P183" s="3" t="n"/>
      <c r="Q183" s="3" t="n"/>
      <c r="R183" s="3" t="n"/>
      <c r="S183" s="3" t="n"/>
      <c r="T183" s="3" t="n"/>
      <c r="U183" s="3" t="n"/>
      <c r="V183" s="3" t="n"/>
      <c r="W183" s="3" t="n"/>
      <c r="X183" s="3" t="n"/>
      <c r="Y183" s="3" t="n"/>
      <c r="Z183" s="3" t="n"/>
      <c r="AA183" s="3" t="n"/>
      <c r="AB183" s="3" t="n"/>
      <c r="AC183" s="4" t="inlineStr">
        <is>
          <t>InvDay_2026-05-12 p64</t>
        </is>
      </c>
    </row>
    <row r="184">
      <c r="A184" s="38" t="inlineStr">
        <is>
          <t>CONSUMERS - Car Care (printed 53M +)</t>
        </is>
      </c>
      <c r="B184" s="3" t="n"/>
      <c r="C184" s="3" t="n"/>
      <c r="D184" s="3" t="n"/>
      <c r="E184" s="3" t="n"/>
      <c r="F184" s="3" t="n"/>
      <c r="G184" s="3" t="n"/>
      <c r="H184" s="3" t="n"/>
      <c r="I184" s="40" t="n">
        <v>53000000</v>
      </c>
      <c r="J184" s="3" t="n"/>
      <c r="K184" s="3" t="n"/>
      <c r="L184" s="3" t="n"/>
      <c r="M184" s="3" t="n"/>
      <c r="N184" s="3" t="n"/>
      <c r="O184" s="3" t="n"/>
      <c r="P184" s="3" t="n"/>
      <c r="Q184" s="3" t="n"/>
      <c r="R184" s="3" t="n"/>
      <c r="S184" s="3" t="n"/>
      <c r="T184" s="3" t="n"/>
      <c r="U184" s="3" t="n"/>
      <c r="V184" s="3" t="n"/>
      <c r="W184" s="3" t="n"/>
      <c r="X184" s="3" t="n"/>
      <c r="Y184" s="3" t="n"/>
      <c r="Z184" s="3" t="n"/>
      <c r="AA184" s="3" t="n"/>
      <c r="AB184" s="3" t="n"/>
      <c r="AC184" s="4" t="inlineStr">
        <is>
          <t>InvDay_2026-05-12 p64</t>
        </is>
      </c>
    </row>
    <row r="185">
      <c r="A185" s="38" t="inlineStr">
        <is>
          <t>Marketing partners (printed 140+)</t>
        </is>
      </c>
      <c r="B185" s="3" t="n"/>
      <c r="C185" s="3" t="n"/>
      <c r="D185" s="3" t="n"/>
      <c r="E185" s="3" t="n"/>
      <c r="F185" s="3" t="n"/>
      <c r="G185" s="3" t="n"/>
      <c r="H185" s="3" t="n"/>
      <c r="I185" s="40" t="n">
        <v>140</v>
      </c>
      <c r="J185" s="3" t="n"/>
      <c r="K185" s="3" t="n"/>
      <c r="L185" s="3" t="n"/>
      <c r="M185" s="3" t="n"/>
      <c r="N185" s="3" t="n"/>
      <c r="O185" s="3" t="n"/>
      <c r="P185" s="3" t="n"/>
      <c r="Q185" s="3" t="n"/>
      <c r="R185" s="3" t="n"/>
      <c r="S185" s="3" t="n"/>
      <c r="T185" s="3" t="n"/>
      <c r="U185" s="3" t="n"/>
      <c r="V185" s="3" t="n"/>
      <c r="W185" s="3" t="n"/>
      <c r="X185" s="3" t="n"/>
      <c r="Y185" s="3" t="n"/>
      <c r="Z185" s="3" t="n"/>
      <c r="AA185" s="3" t="n"/>
      <c r="AB185" s="3" t="n"/>
      <c r="AC185" s="4" t="inlineStr">
        <is>
          <t>InvDay_2026-05-12 p64</t>
        </is>
      </c>
    </row>
    <row r="186">
      <c r="A186" s="38" t="inlineStr">
        <is>
          <t>Workflow tool integrations</t>
        </is>
      </c>
      <c r="B186" s="3" t="n"/>
      <c r="C186" s="3" t="n"/>
      <c r="D186" s="3" t="n"/>
      <c r="E186" s="3" t="n"/>
      <c r="F186" s="3" t="n"/>
      <c r="G186" s="3" t="n"/>
      <c r="H186" s="3" t="n"/>
      <c r="I186" s="40" t="n">
        <v>95</v>
      </c>
      <c r="J186" s="3" t="n"/>
      <c r="K186" s="3" t="n"/>
      <c r="L186" s="3" t="n"/>
      <c r="M186" s="3" t="n"/>
      <c r="N186" s="3" t="n"/>
      <c r="O186" s="3" t="n"/>
      <c r="P186" s="3" t="n"/>
      <c r="Q186" s="3" t="n"/>
      <c r="R186" s="3" t="n"/>
      <c r="S186" s="3" t="n"/>
      <c r="T186" s="3" t="n"/>
      <c r="U186" s="3" t="n"/>
      <c r="V186" s="3" t="n"/>
      <c r="W186" s="3" t="n"/>
      <c r="X186" s="3" t="n"/>
      <c r="Y186" s="3" t="n"/>
      <c r="Z186" s="3" t="n"/>
      <c r="AA186" s="3" t="n"/>
      <c r="AB186" s="3" t="n"/>
      <c r="AC186" s="4" t="inlineStr">
        <is>
          <t>InvDay_2026-05-12 p64</t>
        </is>
      </c>
    </row>
    <row r="187">
      <c r="A187" s="38" t="inlineStr">
        <is>
          <t>OEM CERTIFIED PRE - OWNED programs (printed → 36 OEM programs)</t>
        </is>
      </c>
      <c r="B187" s="3" t="n"/>
      <c r="C187" s="3" t="n"/>
      <c r="D187" s="3" t="n"/>
      <c r="E187" s="3" t="n"/>
      <c r="F187" s="3" t="n"/>
      <c r="G187" s="3" t="n"/>
      <c r="H187" s="3" t="n"/>
      <c r="I187" s="40" t="n">
        <v>36</v>
      </c>
      <c r="J187" s="3" t="n"/>
      <c r="K187" s="3" t="n"/>
      <c r="L187" s="3" t="n"/>
      <c r="M187" s="3" t="n"/>
      <c r="N187" s="3" t="n"/>
      <c r="O187" s="3" t="n"/>
      <c r="P187" s="3" t="n"/>
      <c r="Q187" s="3" t="n"/>
      <c r="R187" s="3" t="n"/>
      <c r="S187" s="3" t="n"/>
      <c r="T187" s="3" t="n"/>
      <c r="U187" s="3" t="n"/>
      <c r="V187" s="3" t="n"/>
      <c r="W187" s="3" t="n"/>
      <c r="X187" s="3" t="n"/>
      <c r="Y187" s="3" t="n"/>
      <c r="Z187" s="3" t="n"/>
      <c r="AA187" s="3" t="n"/>
      <c r="AB187" s="3" t="n"/>
      <c r="AC187" s="4" t="inlineStr">
        <is>
          <t>InvDay_2026-05-12 p64</t>
        </is>
      </c>
    </row>
    <row r="188">
      <c r="A188" s="14" t="inlineStr">
        <is>
          <t>InvDay_2026-05-12 · A self - reinforcing network built over decades (fn1: SEMRUSH AS OF FEBRUARY 2026)</t>
        </is>
      </c>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c r="AA188" s="15" t="n"/>
      <c r="AB188" s="15" t="n"/>
      <c r="AC188" s="15" t="n"/>
    </row>
    <row r="189">
      <c r="A189" s="38" t="inlineStr">
        <is>
          <t>CONSUMERS - Website visits (printed 54M)</t>
        </is>
      </c>
      <c r="B189" s="3" t="n"/>
      <c r="C189" s="3" t="n"/>
      <c r="D189" s="3" t="n"/>
      <c r="E189" s="3" t="n"/>
      <c r="F189" s="3" t="n"/>
      <c r="G189" s="3" t="n"/>
      <c r="H189" s="3" t="n"/>
      <c r="I189" s="40" t="n">
        <v>54000000</v>
      </c>
      <c r="J189" s="3" t="n"/>
      <c r="K189" s="3" t="n"/>
      <c r="L189" s="3" t="n"/>
      <c r="M189" s="3" t="n"/>
      <c r="N189" s="3" t="n"/>
      <c r="O189" s="3" t="n"/>
      <c r="P189" s="3" t="n"/>
      <c r="Q189" s="3" t="n"/>
      <c r="R189" s="3" t="n"/>
      <c r="S189" s="3" t="n"/>
      <c r="T189" s="3" t="n"/>
      <c r="U189" s="3" t="n"/>
      <c r="V189" s="3" t="n"/>
      <c r="W189" s="3" t="n"/>
      <c r="X189" s="3" t="n"/>
      <c r="Y189" s="3" t="n"/>
      <c r="Z189" s="3" t="n"/>
      <c r="AA189" s="3" t="n"/>
      <c r="AB189" s="3" t="n"/>
      <c r="AC189" s="4" t="inlineStr">
        <is>
          <t>InvDay_2026-05-12 p64</t>
        </is>
      </c>
    </row>
    <row r="190">
      <c r="A190" s="14" t="inlineStr">
        <is>
          <t>InvDay_2026-05-12 · Trusted , iconic brand with unmatched reach (fn1: SEMRUSH AS OF FEBRUARY 2026)</t>
        </is>
      </c>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c r="AA190" s="15" t="n"/>
      <c r="AB190" s="15" t="n"/>
      <c r="AC190" s="15" t="n"/>
    </row>
    <row r="191">
      <c r="A191" s="38" t="inlineStr">
        <is>
          <t>MOST VISITED AUTOMOTIVE WEBSITE ( US ) rank</t>
        </is>
      </c>
      <c r="B191" s="3" t="n"/>
      <c r="C191" s="3" t="n"/>
      <c r="D191" s="3" t="n"/>
      <c r="E191" s="3" t="n"/>
      <c r="F191" s="3" t="n"/>
      <c r="G191" s="3" t="n"/>
      <c r="H191" s="3" t="n"/>
      <c r="I191" s="40" t="n">
        <v>1</v>
      </c>
      <c r="J191" s="3" t="n"/>
      <c r="K191" s="3" t="n"/>
      <c r="L191" s="3" t="n"/>
      <c r="M191" s="3" t="n"/>
      <c r="N191" s="3" t="n"/>
      <c r="O191" s="3" t="n"/>
      <c r="P191" s="3" t="n"/>
      <c r="Q191" s="3" t="n"/>
      <c r="R191" s="3" t="n"/>
      <c r="S191" s="3" t="n"/>
      <c r="T191" s="3" t="n"/>
      <c r="U191" s="3" t="n"/>
      <c r="V191" s="3" t="n"/>
      <c r="W191" s="3" t="n"/>
      <c r="X191" s="3" t="n"/>
      <c r="Y191" s="3" t="n"/>
      <c r="Z191" s="3" t="n"/>
      <c r="AA191" s="3" t="n"/>
      <c r="AB191" s="3" t="n"/>
      <c r="AC191" s="4" t="inlineStr">
        <is>
          <t>InvDay_2026-05-12 p65</t>
        </is>
      </c>
    </row>
    <row r="192">
      <c r="A192" s="38" t="inlineStr">
        <is>
          <t>SEMRUSH REPORTED VISITS (printed ~ 54M)</t>
        </is>
      </c>
      <c r="B192" s="3" t="n"/>
      <c r="C192" s="3" t="n"/>
      <c r="D192" s="3" t="n"/>
      <c r="E192" s="3" t="n"/>
      <c r="F192" s="3" t="n"/>
      <c r="G192" s="3" t="n"/>
      <c r="H192" s="3" t="n"/>
      <c r="I192" s="40" t="n">
        <v>54000000</v>
      </c>
      <c r="J192" s="3" t="n"/>
      <c r="K192" s="3" t="n"/>
      <c r="L192" s="3" t="n"/>
      <c r="M192" s="3" t="n"/>
      <c r="N192" s="3" t="n"/>
      <c r="O192" s="3" t="n"/>
      <c r="P192" s="3" t="n"/>
      <c r="Q192" s="3" t="n"/>
      <c r="R192" s="3" t="n"/>
      <c r="S192" s="3" t="n"/>
      <c r="T192" s="3" t="n"/>
      <c r="U192" s="3" t="n"/>
      <c r="V192" s="3" t="n"/>
      <c r="W192" s="3" t="n"/>
      <c r="X192" s="3" t="n"/>
      <c r="Y192" s="3" t="n"/>
      <c r="Z192" s="3" t="n"/>
      <c r="AA192" s="3" t="n"/>
      <c r="AB192" s="3" t="n"/>
      <c r="AC192" s="4" t="inlineStr">
        <is>
          <t>InvDay_2026-05-12 p65</t>
        </is>
      </c>
    </row>
    <row r="193">
      <c r="A193" s="14" t="inlineStr">
        <is>
          <t>InvDay_2026-05-12 · Deeply embedded in customer workflows (CARFAX INTERNAL PARTNER DATA AS OF APRIL 2026)</t>
        </is>
      </c>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row>
    <row r="194">
      <c r="A194" s="38" t="inlineStr">
        <is>
          <t>Dealer : Integrations</t>
        </is>
      </c>
      <c r="B194" s="3" t="n"/>
      <c r="C194" s="3" t="n"/>
      <c r="D194" s="3" t="n"/>
      <c r="E194" s="3" t="n"/>
      <c r="F194" s="3" t="n"/>
      <c r="G194" s="3" t="n"/>
      <c r="H194" s="3" t="n"/>
      <c r="I194" s="40" t="n">
        <v>95</v>
      </c>
      <c r="J194" s="3" t="n"/>
      <c r="K194" s="3" t="n"/>
      <c r="L194" s="3" t="n"/>
      <c r="M194" s="3" t="n"/>
      <c r="N194" s="3" t="n"/>
      <c r="O194" s="3" t="n"/>
      <c r="P194" s="3" t="n"/>
      <c r="Q194" s="3" t="n"/>
      <c r="R194" s="3" t="n"/>
      <c r="S194" s="3" t="n"/>
      <c r="T194" s="3" t="n"/>
      <c r="U194" s="3" t="n"/>
      <c r="V194" s="3" t="n"/>
      <c r="W194" s="3" t="n"/>
      <c r="X194" s="3" t="n"/>
      <c r="Y194" s="3" t="n"/>
      <c r="Z194" s="3" t="n"/>
      <c r="AA194" s="3" t="n"/>
      <c r="AB194" s="3" t="n"/>
      <c r="AC194" s="4" t="inlineStr">
        <is>
          <t>InvDay_2026-05-12 p66</t>
        </is>
      </c>
    </row>
    <row r="195">
      <c r="A195" s="38" t="inlineStr">
        <is>
          <t>Financial : of Top 20 Integrations</t>
        </is>
      </c>
      <c r="B195" s="3" t="n"/>
      <c r="C195" s="3" t="n"/>
      <c r="D195" s="3" t="n"/>
      <c r="E195" s="3" t="n"/>
      <c r="F195" s="3" t="n"/>
      <c r="G195" s="3" t="n"/>
      <c r="H195" s="3" t="n"/>
      <c r="I195" s="40" t="n">
        <v>17</v>
      </c>
      <c r="J195" s="3" t="n"/>
      <c r="K195" s="3" t="n"/>
      <c r="L195" s="3" t="n"/>
      <c r="M195" s="3" t="n"/>
      <c r="N195" s="3" t="n"/>
      <c r="O195" s="3" t="n"/>
      <c r="P195" s="3" t="n"/>
      <c r="Q195" s="3" t="n"/>
      <c r="R195" s="3" t="n"/>
      <c r="S195" s="3" t="n"/>
      <c r="T195" s="3" t="n"/>
      <c r="U195" s="3" t="n"/>
      <c r="V195" s="3" t="n"/>
      <c r="W195" s="3" t="n"/>
      <c r="X195" s="3" t="n"/>
      <c r="Y195" s="3" t="n"/>
      <c r="Z195" s="3" t="n"/>
      <c r="AA195" s="3" t="n"/>
      <c r="AB195" s="3" t="n"/>
      <c r="AC195" s="4" t="inlineStr">
        <is>
          <t>InvDay_2026-05-12 p66</t>
        </is>
      </c>
    </row>
    <row r="196">
      <c r="A196" s="38" t="inlineStr">
        <is>
          <t>OEM CPO : Integrations</t>
        </is>
      </c>
      <c r="B196" s="3" t="n"/>
      <c r="C196" s="3" t="n"/>
      <c r="D196" s="3" t="n"/>
      <c r="E196" s="3" t="n"/>
      <c r="F196" s="3" t="n"/>
      <c r="G196" s="3" t="n"/>
      <c r="H196" s="3" t="n"/>
      <c r="I196" s="40" t="n">
        <v>36</v>
      </c>
      <c r="J196" s="3" t="n"/>
      <c r="K196" s="3" t="n"/>
      <c r="L196" s="3" t="n"/>
      <c r="M196" s="3" t="n"/>
      <c r="N196" s="3" t="n"/>
      <c r="O196" s="3" t="n"/>
      <c r="P196" s="3" t="n"/>
      <c r="Q196" s="3" t="n"/>
      <c r="R196" s="3" t="n"/>
      <c r="S196" s="3" t="n"/>
      <c r="T196" s="3" t="n"/>
      <c r="U196" s="3" t="n"/>
      <c r="V196" s="3" t="n"/>
      <c r="W196" s="3" t="n"/>
      <c r="X196" s="3" t="n"/>
      <c r="Y196" s="3" t="n"/>
      <c r="Z196" s="3" t="n"/>
      <c r="AA196" s="3" t="n"/>
      <c r="AB196" s="3" t="n"/>
      <c r="AC196" s="4" t="inlineStr">
        <is>
          <t>InvDay_2026-05-12 p66</t>
        </is>
      </c>
    </row>
    <row r="197">
      <c r="A197" s="14" t="inlineStr">
        <is>
          <t>InvDay_2026-05-12 · Show me the CARFAX (fn1: COMPANY DATA SOURCED THROUGH A THIRD PARTY SURVEY AS OF YEAR - END 2024)</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row>
    <row r="198">
      <c r="A198" s="38" t="inlineStr">
        <is>
          <t>Number of times per month consumers walk into dealerships and say " Show me the CARFAX " (printed ~ 2M)</t>
        </is>
      </c>
      <c r="B198" s="3" t="n"/>
      <c r="C198" s="3" t="n"/>
      <c r="D198" s="3" t="n"/>
      <c r="E198" s="40" t="n">
        <v>2000000</v>
      </c>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c r="AC198" s="4" t="inlineStr">
        <is>
          <t>InvDay_2026-05-12 p67</t>
        </is>
      </c>
    </row>
    <row r="199">
      <c r="A199" s="14" t="inlineStr">
        <is>
          <t>InvDay_2026-05-12 · Show me the CARFAX (fn2: BASED ON MONTHLY AVERAGE DEALER USAGE IN 2025)</t>
        </is>
      </c>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row>
    <row r="200">
      <c r="A200" s="38" t="inlineStr">
        <is>
          <t>Number of times per month dealers show CARFAX to consumers via free linked CARFAX reports (printed 28M +)</t>
        </is>
      </c>
      <c r="B200" s="3" t="n"/>
      <c r="C200" s="3" t="n"/>
      <c r="D200" s="3" t="n"/>
      <c r="E200" s="3" t="n"/>
      <c r="F200" s="3" t="n"/>
      <c r="G200" s="3" t="n"/>
      <c r="H200" s="40" t="n">
        <v>28000000</v>
      </c>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c r="AC200" s="4" t="inlineStr">
        <is>
          <t>InvDay_2026-05-12 p67</t>
        </is>
      </c>
    </row>
    <row r="201">
      <c r="A201" s="14" t="inlineStr">
        <is>
          <t>InvDay_2026-05-12 · CARFAX delivers proven value (column attribution of 29%/39% inferred from print order - verify against slide image)</t>
        </is>
      </c>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row>
    <row r="202">
      <c r="A202" s="38" t="inlineStr">
        <is>
          <t>More service visits</t>
        </is>
      </c>
      <c r="B202" s="3" t="n"/>
      <c r="C202" s="41" t="n">
        <v>29</v>
      </c>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c r="AC202" s="4" t="inlineStr">
        <is>
          <t>InvDay_2026-05-12 p68</t>
        </is>
      </c>
    </row>
    <row r="203">
      <c r="A203" s="38" t="inlineStr">
        <is>
          <t>More loyal customers</t>
        </is>
      </c>
      <c r="B203" s="3" t="n"/>
      <c r="C203" s="41" t="n">
        <v>39</v>
      </c>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s="4" t="inlineStr">
        <is>
          <t>InvDay_2026-05-12 p68</t>
        </is>
      </c>
    </row>
    <row r="204">
      <c r="A204" s="14" t="inlineStr">
        <is>
          <t>InvDay_2026-05-12 · CARFAX delivers proven value - Financial Institutions</t>
        </is>
      </c>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c r="AA204" s="15" t="n"/>
      <c r="AB204" s="15" t="n"/>
      <c r="AC204" s="15" t="n"/>
    </row>
    <row r="205">
      <c r="A205" s="38" t="inlineStr">
        <is>
          <t>Loan default risk reduction (printed ~ 50 %)</t>
        </is>
      </c>
      <c r="B205" s="3" t="n"/>
      <c r="C205" s="41" t="n">
        <v>50</v>
      </c>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c r="AC205" s="4" t="inlineStr">
        <is>
          <t>InvDay_2026-05-12 p68</t>
        </is>
      </c>
    </row>
    <row r="206">
      <c r="A206" s="14" t="inlineStr">
        <is>
          <t>InvDay_2026-05-12 · CARFAX delivers proven value - Consumers</t>
        </is>
      </c>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c r="AA206" s="15" t="n"/>
      <c r="AB206" s="15" t="n"/>
      <c r="AC206" s="15" t="n"/>
    </row>
    <row r="207">
      <c r="A207" s="38" t="inlineStr">
        <is>
          <t>VHR CSAT</t>
        </is>
      </c>
      <c r="B207" s="3" t="n"/>
      <c r="C207" s="41" t="n">
        <v>92</v>
      </c>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c r="AC207" s="4" t="inlineStr">
        <is>
          <t>InvDay_2026-05-12 p68</t>
        </is>
      </c>
    </row>
    <row r="208">
      <c r="A208" s="14" t="inlineStr">
        <is>
          <t>InvDay_2026-05-12 · CARFAX delivers proven value - Dealers (fn1: CARFAX 2023 ECONOMIC MODEL OF ADVANTAGE STUDY)</t>
        </is>
      </c>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c r="AA208" s="15" t="n"/>
      <c r="AB208" s="15" t="n"/>
      <c r="AC208" s="15" t="n"/>
    </row>
    <row r="209">
      <c r="A209" s="38" t="inlineStr">
        <is>
          <t>Faster inventory turn (printed ~ 9 %)</t>
        </is>
      </c>
      <c r="B209" s="3" t="n"/>
      <c r="C209" s="41" t="n">
        <v>9</v>
      </c>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c r="AC209" s="4" t="inlineStr">
        <is>
          <t>InvDay_2026-05-12 p68</t>
        </is>
      </c>
    </row>
    <row r="210">
      <c r="A210" s="38" t="inlineStr">
        <is>
          <t>More gross profit (printed ~ 5 %)</t>
        </is>
      </c>
      <c r="B210" s="3" t="n"/>
      <c r="C210" s="41" t="n">
        <v>5</v>
      </c>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c r="AC210" s="4" t="inlineStr">
        <is>
          <t>InvDay_2026-05-12 p68</t>
        </is>
      </c>
    </row>
    <row r="211">
      <c r="A211" s="38" t="inlineStr">
        <is>
          <t>ROI (printed 10-15x)</t>
        </is>
      </c>
      <c r="B211" s="3" t="n"/>
      <c r="C211" s="42" t="inlineStr">
        <is>
          <t>10-15x</t>
        </is>
      </c>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c r="AC211" s="4" t="inlineStr">
        <is>
          <t>InvDay_2026-05-12 p68</t>
        </is>
      </c>
    </row>
    <row r="212">
      <c r="A212" s="14" t="inlineStr">
        <is>
          <t>InvDay_2026-05-12 · Secular trends make CARFAX more essential (fn1: MOBILITY GLOBAL IMR AND CARFAX LISTINGS DATA 2025)</t>
        </is>
      </c>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c r="AA212" s="15" t="n"/>
      <c r="AB212" s="15" t="n"/>
      <c r="AC212" s="15" t="n"/>
    </row>
    <row r="213">
      <c r="A213" s="38" t="inlineStr">
        <is>
          <t>Rising New Vehicle Prices - NEW CAR</t>
        </is>
      </c>
      <c r="B213" s="3" t="n"/>
      <c r="C213" s="3" t="n"/>
      <c r="D213" s="3" t="n"/>
      <c r="E213" s="3" t="n"/>
      <c r="F213" s="3" t="n"/>
      <c r="G213" s="40" t="n">
        <v>53192</v>
      </c>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c r="AC213" s="4" t="inlineStr">
        <is>
          <t>InvDay_2026-05-12 p70</t>
        </is>
      </c>
    </row>
    <row r="214">
      <c r="A214" s="38" t="inlineStr">
        <is>
          <t>Rising Used Vehicle Prices - USED CAR</t>
        </is>
      </c>
      <c r="B214" s="3" t="n"/>
      <c r="C214" s="3" t="n"/>
      <c r="D214" s="3" t="n"/>
      <c r="E214" s="3" t="n"/>
      <c r="F214" s="3" t="n"/>
      <c r="G214" s="40" t="n">
        <v>28377</v>
      </c>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c r="AC214" s="4" t="inlineStr">
        <is>
          <t>InvDay_2026-05-12 p70</t>
        </is>
      </c>
    </row>
    <row r="215">
      <c r="A215" s="38" t="inlineStr">
        <is>
          <t>US Average Vehicle Age ( years ) - chart data labels 10.0 / 10.7 / 11.2 / 12.0 / 12.5 against axis 2010 / 2015 / 2020 / 2025 / 2030 (mapping by print order; 2030 is a projection)</t>
        </is>
      </c>
      <c r="B215" s="3" t="n"/>
      <c r="C215" s="3" t="n"/>
      <c r="D215" s="3" t="n"/>
      <c r="E215" s="3" t="n"/>
      <c r="F215" s="3" t="n"/>
      <c r="G215" s="42" t="inlineStr">
        <is>
          <t>10.0/10.7/11.2/12.0/12.5</t>
        </is>
      </c>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c r="AC215" s="4" t="inlineStr">
        <is>
          <t>InvDay_2026-05-12 p70</t>
        </is>
      </c>
    </row>
    <row r="216">
      <c r="A216" s="14" t="inlineStr">
        <is>
          <t>InvDay_2026-05-12 · Secular trends make CARFAX more essential</t>
        </is>
      </c>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c r="AA216" s="15" t="n"/>
      <c r="AB216" s="15" t="n"/>
      <c r="AC216" s="15" t="n"/>
    </row>
    <row r="217">
      <c r="A217" s="38" t="inlineStr">
        <is>
          <t>US Average Vehicle Age All - Time High (printed 12YRS)</t>
        </is>
      </c>
      <c r="B217" s="3" t="n"/>
      <c r="C217" s="3" t="n"/>
      <c r="D217" s="3" t="n"/>
      <c r="E217" s="3" t="n"/>
      <c r="F217" s="3" t="n"/>
      <c r="G217" s="42" t="inlineStr">
        <is>
          <t>12</t>
        </is>
      </c>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c r="AC217" s="4" t="inlineStr">
        <is>
          <t>InvDay_2026-05-12 p70</t>
        </is>
      </c>
    </row>
    <row r="218">
      <c r="A218" s="14" t="inlineStr">
        <is>
          <t>InvDay_2026-05-12 · Serving a growing $ 60B TAM - CARFAX (source: 2025 ESTIMATES FROM INDEPENDENT THIRD - PARTY CONSULTING FIRM; MIDPOINT OF RANGES)</t>
        </is>
      </c>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15" t="n"/>
    </row>
    <row r="219">
      <c r="A219" s="39" t="inlineStr">
        <is>
          <t>CARFAX 2025 TAM</t>
        </is>
      </c>
      <c r="B219" s="3" t="n"/>
      <c r="C219" s="3" t="n"/>
      <c r="D219" s="3" t="n"/>
      <c r="E219" s="3" t="n"/>
      <c r="F219" s="3" t="n"/>
      <c r="G219" s="18" t="n">
        <v>60000</v>
      </c>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c r="AC219" s="4" t="inlineStr">
        <is>
          <t>InvDay_2026-05-12 p71</t>
        </is>
      </c>
    </row>
    <row r="220">
      <c r="A220" s="38" t="inlineStr">
        <is>
          <t>ADJACENT TAM (Aftermarket services; P &amp; C claims &amp; repair; Shop management; F &amp; I marketing)</t>
        </is>
      </c>
      <c r="B220" s="3" t="n"/>
      <c r="C220" s="3" t="n"/>
      <c r="D220" s="3" t="n"/>
      <c r="E220" s="3" t="n"/>
      <c r="F220" s="3" t="n"/>
      <c r="G220" s="30" t="n">
        <v>34000</v>
      </c>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c r="AC220" s="4" t="inlineStr">
        <is>
          <t>InvDay_2026-05-12 p71</t>
        </is>
      </c>
    </row>
    <row r="221">
      <c r="A221" s="39" t="inlineStr">
        <is>
          <t>CORE + EXTENDED TAM</t>
        </is>
      </c>
      <c r="B221" s="3" t="n"/>
      <c r="C221" s="3" t="n"/>
      <c r="D221" s="3" t="n"/>
      <c r="E221" s="3" t="n"/>
      <c r="F221" s="3" t="n"/>
      <c r="G221" s="18" t="n">
        <v>26000</v>
      </c>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c r="AC221" s="4" t="inlineStr">
        <is>
          <t>InvDay_2026-05-12 p71</t>
        </is>
      </c>
    </row>
    <row r="222">
      <c r="A222" s="38" t="inlineStr">
        <is>
          <t>EXTENDED TAM (Digital Ads; Sell My Car; Internationalization)</t>
        </is>
      </c>
      <c r="B222" s="3" t="n"/>
      <c r="C222" s="3" t="n"/>
      <c r="D222" s="3" t="n"/>
      <c r="E222" s="3" t="n"/>
      <c r="F222" s="3" t="n"/>
      <c r="G222" s="30" t="n">
        <v>18000</v>
      </c>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c r="AC222" s="4" t="inlineStr">
        <is>
          <t>InvDay_2026-05-12 p71</t>
        </is>
      </c>
    </row>
    <row r="223">
      <c r="A223" s="38" t="inlineStr">
        <is>
          <t>CORE TAM (Vehicle History; Car Listings; Car Care; Banking and Insurance; US CA IT ES PL)</t>
        </is>
      </c>
      <c r="B223" s="3" t="n"/>
      <c r="C223" s="3" t="n"/>
      <c r="D223" s="3" t="n"/>
      <c r="E223" s="3" t="n"/>
      <c r="F223" s="3" t="n"/>
      <c r="G223" s="30" t="n">
        <v>8000</v>
      </c>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c r="AC223" s="4" t="inlineStr">
        <is>
          <t>InvDay_2026-05-12 p71</t>
        </is>
      </c>
    </row>
    <row r="224">
      <c r="A224" s="38" t="inlineStr">
        <is>
          <t>SHARE OF CORE</t>
        </is>
      </c>
      <c r="B224" s="3" t="n"/>
      <c r="C224" s="3" t="n"/>
      <c r="D224" s="3" t="n"/>
      <c r="E224" s="3" t="n"/>
      <c r="F224" s="3" t="n"/>
      <c r="G224" s="41" t="n">
        <v>15</v>
      </c>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c r="AC224" s="4" t="inlineStr">
        <is>
          <t>InvDay_2026-05-12 p71</t>
        </is>
      </c>
    </row>
    <row r="225">
      <c r="A225" s="14" t="inlineStr">
        <is>
          <t>InvDay_2026-05-12 · Lifetime Dealer Program : Increasing customer LTV</t>
        </is>
      </c>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c r="AB225" s="15" t="n"/>
      <c r="AC225" s="15" t="n"/>
    </row>
    <row r="226">
      <c r="A226" s="38" t="inlineStr">
        <is>
          <t>Dealers sign ups since Q4'25 (printed 1,600)</t>
        </is>
      </c>
      <c r="B226" s="3" t="n"/>
      <c r="C226" s="3" t="n"/>
      <c r="D226" s="3" t="n"/>
      <c r="E226" s="3" t="n"/>
      <c r="F226" s="3" t="n"/>
      <c r="G226" s="3" t="n"/>
      <c r="H226" s="3" t="n"/>
      <c r="I226" s="40" t="n">
        <v>1600</v>
      </c>
      <c r="J226" s="3" t="n"/>
      <c r="K226" s="3" t="n"/>
      <c r="L226" s="3" t="n"/>
      <c r="M226" s="3" t="n"/>
      <c r="N226" s="3" t="n"/>
      <c r="O226" s="3" t="n"/>
      <c r="P226" s="3" t="n"/>
      <c r="Q226" s="3" t="n"/>
      <c r="R226" s="3" t="n"/>
      <c r="S226" s="3" t="n"/>
      <c r="T226" s="3" t="n"/>
      <c r="U226" s="3" t="n"/>
      <c r="V226" s="3" t="n"/>
      <c r="W226" s="3" t="n"/>
      <c r="X226" s="3" t="n"/>
      <c r="Y226" s="3" t="n"/>
      <c r="Z226" s="3" t="n"/>
      <c r="AA226" s="3" t="n"/>
      <c r="AB226" s="3" t="n"/>
      <c r="AC226" s="4" t="inlineStr">
        <is>
          <t>InvDay_2026-05-12 p73</t>
        </is>
      </c>
    </row>
    <row r="227">
      <c r="A227" s="38" t="inlineStr">
        <is>
          <t>Monthly volume of Car Care users ' cars being serviced by average Lifetime Dealer</t>
        </is>
      </c>
      <c r="B227" s="3" t="n"/>
      <c r="C227" s="3" t="n"/>
      <c r="D227" s="3" t="n"/>
      <c r="E227" s="3" t="n"/>
      <c r="F227" s="3" t="n"/>
      <c r="G227" s="3" t="n"/>
      <c r="H227" s="3" t="n"/>
      <c r="I227" s="40" t="n">
        <v>293</v>
      </c>
      <c r="J227" s="3" t="n"/>
      <c r="K227" s="3" t="n"/>
      <c r="L227" s="3" t="n"/>
      <c r="M227" s="3" t="n"/>
      <c r="N227" s="3" t="n"/>
      <c r="O227" s="3" t="n"/>
      <c r="P227" s="3" t="n"/>
      <c r="Q227" s="3" t="n"/>
      <c r="R227" s="3" t="n"/>
      <c r="S227" s="3" t="n"/>
      <c r="T227" s="3" t="n"/>
      <c r="U227" s="3" t="n"/>
      <c r="V227" s="3" t="n"/>
      <c r="W227" s="3" t="n"/>
      <c r="X227" s="3" t="n"/>
      <c r="Y227" s="3" t="n"/>
      <c r="Z227" s="3" t="n"/>
      <c r="AA227" s="3" t="n"/>
      <c r="AB227" s="3" t="n"/>
      <c r="AC227" s="4" t="inlineStr">
        <is>
          <t>InvDay_2026-05-12 p73</t>
        </is>
      </c>
    </row>
    <row r="228">
      <c r="A228" s="38" t="inlineStr">
        <is>
          <t>Higher OEM Brand Loyalty (printed 16ppt)</t>
        </is>
      </c>
      <c r="B228" s="3" t="n"/>
      <c r="C228" s="3" t="n"/>
      <c r="D228" s="3" t="n"/>
      <c r="E228" s="3" t="n"/>
      <c r="F228" s="3" t="n"/>
      <c r="G228" s="3" t="n"/>
      <c r="H228" s="3" t="n"/>
      <c r="I228" s="42" t="inlineStr">
        <is>
          <t>16</t>
        </is>
      </c>
      <c r="J228" s="3" t="n"/>
      <c r="K228" s="3" t="n"/>
      <c r="L228" s="3" t="n"/>
      <c r="M228" s="3" t="n"/>
      <c r="N228" s="3" t="n"/>
      <c r="O228" s="3" t="n"/>
      <c r="P228" s="3" t="n"/>
      <c r="Q228" s="3" t="n"/>
      <c r="R228" s="3" t="n"/>
      <c r="S228" s="3" t="n"/>
      <c r="T228" s="3" t="n"/>
      <c r="U228" s="3" t="n"/>
      <c r="V228" s="3" t="n"/>
      <c r="W228" s="3" t="n"/>
      <c r="X228" s="3" t="n"/>
      <c r="Y228" s="3" t="n"/>
      <c r="Z228" s="3" t="n"/>
      <c r="AA228" s="3" t="n"/>
      <c r="AB228" s="3" t="n"/>
      <c r="AC228" s="4" t="inlineStr">
        <is>
          <t>InvDay_2026-05-12 p73</t>
        </is>
      </c>
    </row>
    <row r="229">
      <c r="A229" s="38" t="inlineStr">
        <is>
          <t>OEMs allow Co - op dollars to be used</t>
        </is>
      </c>
      <c r="B229" s="3" t="n"/>
      <c r="C229" s="3" t="n"/>
      <c r="D229" s="3" t="n"/>
      <c r="E229" s="3" t="n"/>
      <c r="F229" s="3" t="n"/>
      <c r="G229" s="3" t="n"/>
      <c r="H229" s="3" t="n"/>
      <c r="I229" s="40" t="n">
        <v>14</v>
      </c>
      <c r="J229" s="3" t="n"/>
      <c r="K229" s="3" t="n"/>
      <c r="L229" s="3" t="n"/>
      <c r="M229" s="3" t="n"/>
      <c r="N229" s="3" t="n"/>
      <c r="O229" s="3" t="n"/>
      <c r="P229" s="3" t="n"/>
      <c r="Q229" s="3" t="n"/>
      <c r="R229" s="3" t="n"/>
      <c r="S229" s="3" t="n"/>
      <c r="T229" s="3" t="n"/>
      <c r="U229" s="3" t="n"/>
      <c r="V229" s="3" t="n"/>
      <c r="W229" s="3" t="n"/>
      <c r="X229" s="3" t="n"/>
      <c r="Y229" s="3" t="n"/>
      <c r="Z229" s="3" t="n"/>
      <c r="AA229" s="3" t="n"/>
      <c r="AB229" s="3" t="n"/>
      <c r="AC229" s="4" t="inlineStr">
        <is>
          <t>InvDay_2026-05-12 p73</t>
        </is>
      </c>
    </row>
    <row r="230">
      <c r="A230" s="14" t="inlineStr">
        <is>
          <t>InvDay_2026-05-12 · Lifetime Dealer Program : Increasing customer LTV (fn1: return rates = % of new cars sold returning for &gt;=1 service visit at selling dealer within 12/24 months, Car Care onboarded within 90 days)</t>
        </is>
      </c>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c r="AA230" s="15" t="n"/>
      <c r="AB230" s="15" t="n"/>
      <c r="AC230" s="15" t="n"/>
    </row>
    <row r="231">
      <c r="A231" s="38" t="inlineStr">
        <is>
          <t>Lift in Return for Service in Year 1 (printed 19ppt)</t>
        </is>
      </c>
      <c r="B231" s="3" t="n"/>
      <c r="C231" s="3" t="n"/>
      <c r="D231" s="3" t="n"/>
      <c r="E231" s="3" t="n"/>
      <c r="F231" s="3" t="n"/>
      <c r="G231" s="3" t="n"/>
      <c r="H231" s="3" t="n"/>
      <c r="I231" s="42" t="inlineStr">
        <is>
          <t>19</t>
        </is>
      </c>
      <c r="J231" s="3" t="n"/>
      <c r="K231" s="3" t="n"/>
      <c r="L231" s="3" t="n"/>
      <c r="M231" s="3" t="n"/>
      <c r="N231" s="3" t="n"/>
      <c r="O231" s="3" t="n"/>
      <c r="P231" s="3" t="n"/>
      <c r="Q231" s="3" t="n"/>
      <c r="R231" s="3" t="n"/>
      <c r="S231" s="3" t="n"/>
      <c r="T231" s="3" t="n"/>
      <c r="U231" s="3" t="n"/>
      <c r="V231" s="3" t="n"/>
      <c r="W231" s="3" t="n"/>
      <c r="X231" s="3" t="n"/>
      <c r="Y231" s="3" t="n"/>
      <c r="Z231" s="3" t="n"/>
      <c r="AA231" s="3" t="n"/>
      <c r="AB231" s="3" t="n"/>
      <c r="AC231" s="4" t="inlineStr">
        <is>
          <t>InvDay_2026-05-12 p73</t>
        </is>
      </c>
    </row>
    <row r="232">
      <c r="A232" s="14" t="inlineStr">
        <is>
          <t>InvDay_2026-05-12 · The international opportunity : Massive whitespace - FY25 Vehicles in Operation by Region (fn1: MOBILITY GLOBAL IMR DATA; region-to-value mapping inferred from print order - verify)</t>
        </is>
      </c>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c r="AA232" s="15" t="n"/>
      <c r="AB232" s="15" t="n"/>
      <c r="AC232" s="15" t="n"/>
    </row>
    <row r="233">
      <c r="A233" s="38" t="inlineStr">
        <is>
          <t>US (printed ~ 292M)</t>
        </is>
      </c>
      <c r="B233" s="3" t="n"/>
      <c r="C233" s="3" t="n"/>
      <c r="D233" s="3" t="n"/>
      <c r="E233" s="3" t="n"/>
      <c r="F233" s="3" t="n"/>
      <c r="G233" s="3" t="n"/>
      <c r="H233" s="40" t="n">
        <v>292000000</v>
      </c>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c r="AC233" s="4" t="inlineStr">
        <is>
          <t>InvDay_2026-05-12 p75</t>
        </is>
      </c>
    </row>
    <row r="234">
      <c r="A234" s="38" t="inlineStr">
        <is>
          <t>CANADA (printed ~ 28M)</t>
        </is>
      </c>
      <c r="B234" s="3" t="n"/>
      <c r="C234" s="3" t="n"/>
      <c r="D234" s="3" t="n"/>
      <c r="E234" s="3" t="n"/>
      <c r="F234" s="3" t="n"/>
      <c r="G234" s="3" t="n"/>
      <c r="H234" s="40" t="n">
        <v>28000000</v>
      </c>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c r="AC234" s="4" t="inlineStr">
        <is>
          <t>InvDay_2026-05-12 p75</t>
        </is>
      </c>
    </row>
    <row r="235">
      <c r="A235" s="38" t="inlineStr">
        <is>
          <t>EMEA (printed ~ 506M)</t>
        </is>
      </c>
      <c r="B235" s="3" t="n"/>
      <c r="C235" s="3" t="n"/>
      <c r="D235" s="3" t="n"/>
      <c r="E235" s="3" t="n"/>
      <c r="F235" s="3" t="n"/>
      <c r="G235" s="3" t="n"/>
      <c r="H235" s="40" t="n">
        <v>506000000</v>
      </c>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c r="AC235" s="4" t="inlineStr">
        <is>
          <t>InvDay_2026-05-12 p75</t>
        </is>
      </c>
    </row>
    <row r="236">
      <c r="A236" s="38" t="inlineStr">
        <is>
          <t>APAC (printed ~ 612M)</t>
        </is>
      </c>
      <c r="B236" s="3" t="n"/>
      <c r="C236" s="3" t="n"/>
      <c r="D236" s="3" t="n"/>
      <c r="E236" s="3" t="n"/>
      <c r="F236" s="3" t="n"/>
      <c r="G236" s="3" t="n"/>
      <c r="H236" s="40" t="n">
        <v>612000000</v>
      </c>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c r="AC236" s="4" t="inlineStr">
        <is>
          <t>InvDay_2026-05-12 p75</t>
        </is>
      </c>
    </row>
    <row r="237">
      <c r="A237" s="14" t="inlineStr">
        <is>
          <t>InvDay_2026-05-12 · CARFAX : Built Over 40 Years . Just Getting Started .</t>
        </is>
      </c>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c r="AB237" s="15" t="n"/>
      <c r="AC237" s="15" t="n"/>
    </row>
    <row r="238">
      <c r="A238" s="38" t="inlineStr">
        <is>
          <t>Revenue (printed $ 1B +)</t>
        </is>
      </c>
      <c r="B238" s="3" t="n"/>
      <c r="C238" s="3" t="n"/>
      <c r="D238" s="3" t="n"/>
      <c r="E238" s="3" t="n"/>
      <c r="F238" s="3" t="n"/>
      <c r="G238" s="3" t="n"/>
      <c r="H238" s="42" t="inlineStr">
        <is>
          <t>1B+</t>
        </is>
      </c>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c r="AC238" s="4" t="inlineStr">
        <is>
          <t>InvDay_2026-05-12 p76</t>
        </is>
      </c>
    </row>
    <row r="239">
      <c r="A239" s="38" t="inlineStr">
        <is>
          <t>Subscription Revenue</t>
        </is>
      </c>
      <c r="B239" s="3" t="n"/>
      <c r="C239" s="3" t="n"/>
      <c r="D239" s="3" t="n"/>
      <c r="E239" s="3" t="n"/>
      <c r="F239" s="3" t="n"/>
      <c r="G239" s="3" t="n"/>
      <c r="H239" s="41" t="n">
        <v>81</v>
      </c>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c r="AC239" s="4" t="inlineStr">
        <is>
          <t>InvDay_2026-05-12 p76</t>
        </is>
      </c>
    </row>
    <row r="240">
      <c r="A240" s="14" t="inlineStr">
        <is>
          <t>InvDay_2026-05-12 · Leading Al capabilities built over nearly a decade</t>
        </is>
      </c>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c r="AA240" s="15" t="n"/>
      <c r="AB240" s="15" t="n"/>
      <c r="AC240" s="15" t="n"/>
    </row>
    <row r="241">
      <c r="A241" s="38" t="inlineStr">
        <is>
          <t>dedicated data scientists and Al experts (printed Over 100)</t>
        </is>
      </c>
      <c r="B241" s="3" t="n"/>
      <c r="C241" s="3" t="n"/>
      <c r="D241" s="3" t="n"/>
      <c r="E241" s="3" t="n"/>
      <c r="F241" s="3" t="n"/>
      <c r="G241" s="3" t="n"/>
      <c r="H241" s="3" t="n"/>
      <c r="I241" s="42" t="inlineStr">
        <is>
          <t>100+</t>
        </is>
      </c>
      <c r="J241" s="3" t="n"/>
      <c r="K241" s="3" t="n"/>
      <c r="L241" s="3" t="n"/>
      <c r="M241" s="3" t="n"/>
      <c r="N241" s="3" t="n"/>
      <c r="O241" s="3" t="n"/>
      <c r="P241" s="3" t="n"/>
      <c r="Q241" s="3" t="n"/>
      <c r="R241" s="3" t="n"/>
      <c r="S241" s="3" t="n"/>
      <c r="T241" s="3" t="n"/>
      <c r="U241" s="3" t="n"/>
      <c r="V241" s="3" t="n"/>
      <c r="W241" s="3" t="n"/>
      <c r="X241" s="3" t="n"/>
      <c r="Y241" s="3" t="n"/>
      <c r="Z241" s="3" t="n"/>
      <c r="AA241" s="3" t="n"/>
      <c r="AB241" s="3" t="n"/>
      <c r="AC241" s="4" t="inlineStr">
        <is>
          <t>InvDay_2026-05-12 p80</t>
        </is>
      </c>
    </row>
    <row r="242">
      <c r="A242" s="14" t="inlineStr">
        <is>
          <t>InvDay_2026-05-12 · Al - based productivity scaling operating leverage</t>
        </is>
      </c>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c r="AA242" s="15" t="n"/>
      <c r="AB242" s="15" t="n"/>
      <c r="AC242" s="15" t="n"/>
    </row>
    <row r="243">
      <c r="A243" s="38" t="inlineStr">
        <is>
          <t>Customer Ops Efficiency (Al resolves most inbound chats / emails)</t>
        </is>
      </c>
      <c r="B243" s="3" t="n"/>
      <c r="C243" s="3" t="n"/>
      <c r="D243" s="3" t="n"/>
      <c r="E243" s="3" t="n"/>
      <c r="F243" s="3" t="n"/>
      <c r="G243" s="3" t="n"/>
      <c r="H243" s="3" t="n"/>
      <c r="I243" s="41" t="n">
        <v>84</v>
      </c>
      <c r="J243" s="3" t="n"/>
      <c r="K243" s="3" t="n"/>
      <c r="L243" s="3" t="n"/>
      <c r="M243" s="3" t="n"/>
      <c r="N243" s="3" t="n"/>
      <c r="O243" s="3" t="n"/>
      <c r="P243" s="3" t="n"/>
      <c r="Q243" s="3" t="n"/>
      <c r="R243" s="3" t="n"/>
      <c r="S243" s="3" t="n"/>
      <c r="T243" s="3" t="n"/>
      <c r="U243" s="3" t="n"/>
      <c r="V243" s="3" t="n"/>
      <c r="W243" s="3" t="n"/>
      <c r="X243" s="3" t="n"/>
      <c r="Y243" s="3" t="n"/>
      <c r="Z243" s="3" t="n"/>
      <c r="AA243" s="3" t="n"/>
      <c r="AB243" s="3" t="n"/>
      <c r="AC243" s="4" t="inlineStr">
        <is>
          <t>InvDay_2026-05-12 p82</t>
        </is>
      </c>
    </row>
    <row r="244">
      <c r="A244" s="38" t="inlineStr">
        <is>
          <t>Engineering &amp; Ops - Accelerated engineering velocity (printed 10-15 %)</t>
        </is>
      </c>
      <c r="B244" s="3" t="n"/>
      <c r="C244" s="3" t="n"/>
      <c r="D244" s="3" t="n"/>
      <c r="E244" s="3" t="n"/>
      <c r="F244" s="3" t="n"/>
      <c r="G244" s="3" t="n"/>
      <c r="H244" s="3" t="n"/>
      <c r="I244" s="42" t="inlineStr">
        <is>
          <t>10-15</t>
        </is>
      </c>
      <c r="J244" s="3" t="n"/>
      <c r="K244" s="3" t="n"/>
      <c r="L244" s="3" t="n"/>
      <c r="M244" s="3" t="n"/>
      <c r="N244" s="3" t="n"/>
      <c r="O244" s="3" t="n"/>
      <c r="P244" s="3" t="n"/>
      <c r="Q244" s="3" t="n"/>
      <c r="R244" s="3" t="n"/>
      <c r="S244" s="3" t="n"/>
      <c r="T244" s="3" t="n"/>
      <c r="U244" s="3" t="n"/>
      <c r="V244" s="3" t="n"/>
      <c r="W244" s="3" t="n"/>
      <c r="X244" s="3" t="n"/>
      <c r="Y244" s="3" t="n"/>
      <c r="Z244" s="3" t="n"/>
      <c r="AA244" s="3" t="n"/>
      <c r="AB244" s="3" t="n"/>
      <c r="AC244" s="4" t="inlineStr">
        <is>
          <t>InvDay_2026-05-12 p82</t>
        </is>
      </c>
    </row>
    <row r="245">
      <c r="A245" s="14" t="inlineStr">
        <is>
          <t>InvDay_2026-05-12 · Extracting more signal for customers via Al (Al Car Fox example)</t>
        </is>
      </c>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c r="AB245" s="15" t="n"/>
      <c r="AC245" s="15" t="n"/>
    </row>
    <row r="246">
      <c r="A246" s="38" t="inlineStr">
        <is>
          <t>Sources (printed &gt; 177k)</t>
        </is>
      </c>
      <c r="B246" s="3" t="n"/>
      <c r="C246" s="3" t="n"/>
      <c r="D246" s="3" t="n"/>
      <c r="E246" s="3" t="n"/>
      <c r="F246" s="3" t="n"/>
      <c r="G246" s="3" t="n"/>
      <c r="H246" s="3" t="n"/>
      <c r="I246" s="40" t="n">
        <v>177000</v>
      </c>
      <c r="J246" s="3" t="n"/>
      <c r="K246" s="3" t="n"/>
      <c r="L246" s="3" t="n"/>
      <c r="M246" s="3" t="n"/>
      <c r="N246" s="3" t="n"/>
      <c r="O246" s="3" t="n"/>
      <c r="P246" s="3" t="n"/>
      <c r="Q246" s="3" t="n"/>
      <c r="R246" s="3" t="n"/>
      <c r="S246" s="3" t="n"/>
      <c r="T246" s="3" t="n"/>
      <c r="U246" s="3" t="n"/>
      <c r="V246" s="3" t="n"/>
      <c r="W246" s="3" t="n"/>
      <c r="X246" s="3" t="n"/>
      <c r="Y246" s="3" t="n"/>
      <c r="Z246" s="3" t="n"/>
      <c r="AA246" s="3" t="n"/>
      <c r="AB246" s="3" t="n"/>
      <c r="AC246" s="4" t="inlineStr">
        <is>
          <t>InvDay_2026-05-12 p83</t>
        </is>
      </c>
    </row>
    <row r="247">
      <c r="A247" s="38" t="inlineStr">
        <is>
          <t>Vehicle records (printed 60B)</t>
        </is>
      </c>
      <c r="B247" s="3" t="n"/>
      <c r="C247" s="3" t="n"/>
      <c r="D247" s="3" t="n"/>
      <c r="E247" s="3" t="n"/>
      <c r="F247" s="3" t="n"/>
      <c r="G247" s="3" t="n"/>
      <c r="H247" s="3" t="n"/>
      <c r="I247" s="40" t="n">
        <v>60000000000</v>
      </c>
      <c r="J247" s="3" t="n"/>
      <c r="K247" s="3" t="n"/>
      <c r="L247" s="3" t="n"/>
      <c r="M247" s="3" t="n"/>
      <c r="N247" s="3" t="n"/>
      <c r="O247" s="3" t="n"/>
      <c r="P247" s="3" t="n"/>
      <c r="Q247" s="3" t="n"/>
      <c r="R247" s="3" t="n"/>
      <c r="S247" s="3" t="n"/>
      <c r="T247" s="3" t="n"/>
      <c r="U247" s="3" t="n"/>
      <c r="V247" s="3" t="n"/>
      <c r="W247" s="3" t="n"/>
      <c r="X247" s="3" t="n"/>
      <c r="Y247" s="3" t="n"/>
      <c r="Z247" s="3" t="n"/>
      <c r="AA247" s="3" t="n"/>
      <c r="AB247" s="3" t="n"/>
      <c r="AC247" s="4" t="inlineStr">
        <is>
          <t>InvDay_2026-05-12 p83</t>
        </is>
      </c>
    </row>
    <row r="248">
      <c r="A248" s="38" t="inlineStr">
        <is>
          <t>hour turnaround (printed &lt; 2)</t>
        </is>
      </c>
      <c r="B248" s="3" t="n"/>
      <c r="C248" s="3" t="n"/>
      <c r="D248" s="3" t="n"/>
      <c r="E248" s="3" t="n"/>
      <c r="F248" s="3" t="n"/>
      <c r="G248" s="3" t="n"/>
      <c r="H248" s="3" t="n"/>
      <c r="I248" s="42" t="inlineStr">
        <is>
          <t>&lt;2</t>
        </is>
      </c>
      <c r="J248" s="3" t="n"/>
      <c r="K248" s="3" t="n"/>
      <c r="L248" s="3" t="n"/>
      <c r="M248" s="3" t="n"/>
      <c r="N248" s="3" t="n"/>
      <c r="O248" s="3" t="n"/>
      <c r="P248" s="3" t="n"/>
      <c r="Q248" s="3" t="n"/>
      <c r="R248" s="3" t="n"/>
      <c r="S248" s="3" t="n"/>
      <c r="T248" s="3" t="n"/>
      <c r="U248" s="3" t="n"/>
      <c r="V248" s="3" t="n"/>
      <c r="W248" s="3" t="n"/>
      <c r="X248" s="3" t="n"/>
      <c r="Y248" s="3" t="n"/>
      <c r="Z248" s="3" t="n"/>
      <c r="AA248" s="3" t="n"/>
      <c r="AB248" s="3" t="n"/>
      <c r="AC248" s="4" t="inlineStr">
        <is>
          <t>InvDay_2026-05-12 p83</t>
        </is>
      </c>
    </row>
    <row r="249">
      <c r="A249" s="38" t="inlineStr">
        <is>
          <t>decoded records (printed 3.8B)</t>
        </is>
      </c>
      <c r="B249" s="3" t="n"/>
      <c r="C249" s="3" t="n"/>
      <c r="D249" s="3" t="n"/>
      <c r="E249" s="3" t="n"/>
      <c r="F249" s="3" t="n"/>
      <c r="G249" s="3" t="n"/>
      <c r="H249" s="3" t="n"/>
      <c r="I249" s="40" t="n">
        <v>3800000000</v>
      </c>
      <c r="J249" s="3" t="n"/>
      <c r="K249" s="3" t="n"/>
      <c r="L249" s="3" t="n"/>
      <c r="M249" s="3" t="n"/>
      <c r="N249" s="3" t="n"/>
      <c r="O249" s="3" t="n"/>
      <c r="P249" s="3" t="n"/>
      <c r="Q249" s="3" t="n"/>
      <c r="R249" s="3" t="n"/>
      <c r="S249" s="3" t="n"/>
      <c r="T249" s="3" t="n"/>
      <c r="U249" s="3" t="n"/>
      <c r="V249" s="3" t="n"/>
      <c r="W249" s="3" t="n"/>
      <c r="X249" s="3" t="n"/>
      <c r="Y249" s="3" t="n"/>
      <c r="Z249" s="3" t="n"/>
      <c r="AA249" s="3" t="n"/>
      <c r="AB249" s="3" t="n"/>
      <c r="AC249" s="4" t="inlineStr">
        <is>
          <t>InvDay_2026-05-12 p83</t>
        </is>
      </c>
    </row>
    <row r="250">
      <c r="A250" s="38" t="inlineStr">
        <is>
          <t>accuracy</t>
        </is>
      </c>
      <c r="B250" s="3" t="n"/>
      <c r="C250" s="3" t="n"/>
      <c r="D250" s="3" t="n"/>
      <c r="E250" s="3" t="n"/>
      <c r="F250" s="3" t="n"/>
      <c r="G250" s="3" t="n"/>
      <c r="H250" s="3" t="n"/>
      <c r="I250" s="41" t="n">
        <v>99.5</v>
      </c>
      <c r="J250" s="3" t="n"/>
      <c r="K250" s="3" t="n"/>
      <c r="L250" s="3" t="n"/>
      <c r="M250" s="3" t="n"/>
      <c r="N250" s="3" t="n"/>
      <c r="O250" s="3" t="n"/>
      <c r="P250" s="3" t="n"/>
      <c r="Q250" s="3" t="n"/>
      <c r="R250" s="3" t="n"/>
      <c r="S250" s="3" t="n"/>
      <c r="T250" s="3" t="n"/>
      <c r="U250" s="3" t="n"/>
      <c r="V250" s="3" t="n"/>
      <c r="W250" s="3" t="n"/>
      <c r="X250" s="3" t="n"/>
      <c r="Y250" s="3" t="n"/>
      <c r="Z250" s="3" t="n"/>
      <c r="AA250" s="3" t="n"/>
      <c r="AB250" s="3" t="n"/>
      <c r="AC250" s="4" t="inlineStr">
        <is>
          <t>InvDay_2026-05-12 p83</t>
        </is>
      </c>
    </row>
    <row r="251">
      <c r="A251" s="14" t="inlineStr">
        <is>
          <t>InvDay_2026-05-12 · An organic growth engine - continuing to compound in 2026 (2023-2025 = audited carve-out; 2026 = organic constant currency)</t>
        </is>
      </c>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c r="AB251" s="15" t="n"/>
      <c r="AC251" s="15" t="n"/>
    </row>
    <row r="252">
      <c r="A252" s="38" t="inlineStr">
        <is>
          <t>Organic Growth (label over 2024 bar; = reported growth 1613/1485)</t>
        </is>
      </c>
      <c r="B252" s="3" t="n"/>
      <c r="C252" s="3" t="n"/>
      <c r="D252" s="3" t="n"/>
      <c r="E252" s="3" t="n"/>
      <c r="F252" s="41" t="n">
        <v>8.6</v>
      </c>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c r="AC252" s="4" t="inlineStr">
        <is>
          <t>InvDay_2026-05-12 p90</t>
        </is>
      </c>
    </row>
    <row r="253">
      <c r="A253" s="38" t="inlineStr">
        <is>
          <t>Organic Growth (label over 2025 bar)</t>
        </is>
      </c>
      <c r="B253" s="3" t="n"/>
      <c r="C253" s="3" t="n"/>
      <c r="D253" s="3" t="n"/>
      <c r="E253" s="3" t="n"/>
      <c r="F253" s="3" t="n"/>
      <c r="G253" s="3" t="n"/>
      <c r="H253" s="41" t="n">
        <v>8.5</v>
      </c>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c r="AC253" s="4" t="inlineStr">
        <is>
          <t>InvDay_2026-05-12 p90</t>
        </is>
      </c>
    </row>
    <row r="254">
      <c r="A254" s="38" t="inlineStr">
        <is>
          <t>2026E Organic Growth guidance (printed 7.5-9 %)</t>
        </is>
      </c>
      <c r="B254" s="3" t="n"/>
      <c r="C254" s="3" t="n"/>
      <c r="D254" s="3" t="n"/>
      <c r="E254" s="3" t="n"/>
      <c r="F254" s="3" t="n"/>
      <c r="G254" s="3" t="n"/>
      <c r="H254" s="3" t="n"/>
      <c r="I254" s="3" t="n"/>
      <c r="J254" s="3" t="n"/>
      <c r="K254" s="3" t="n"/>
      <c r="L254" s="3" t="n"/>
      <c r="M254" s="3" t="n"/>
      <c r="N254" s="3" t="n"/>
      <c r="O254" s="3" t="n"/>
      <c r="P254" s="3" t="n"/>
      <c r="Q254" s="3" t="n"/>
      <c r="R254" s="42" t="inlineStr">
        <is>
          <t>7.5-9</t>
        </is>
      </c>
      <c r="S254" s="3" t="n"/>
      <c r="T254" s="3" t="n"/>
      <c r="U254" s="3" t="n"/>
      <c r="V254" s="3" t="n"/>
      <c r="W254" s="3" t="n"/>
      <c r="X254" s="3" t="n"/>
      <c r="Y254" s="3" t="n"/>
      <c r="Z254" s="3" t="n"/>
      <c r="AA254" s="3" t="n"/>
      <c r="AB254" s="3" t="n"/>
      <c r="AC254" s="4" t="inlineStr">
        <is>
          <t>InvDay_2026-05-12 p90</t>
        </is>
      </c>
    </row>
    <row r="255">
      <c r="A255" s="14" t="inlineStr">
        <is>
          <t>InvDay_2026-05-12 · An organic growth engine - continuing to compound in 2026</t>
        </is>
      </c>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c r="AB255" s="15" t="n"/>
      <c r="AC255" s="15" t="n"/>
    </row>
    <row r="256">
      <c r="A256" s="38" t="inlineStr">
        <is>
          <t>subscription - based revenue (printed &gt; 80 %)</t>
        </is>
      </c>
      <c r="B256" s="3" t="n"/>
      <c r="C256" s="3" t="n"/>
      <c r="D256" s="3" t="n"/>
      <c r="E256" s="3" t="n"/>
      <c r="F256" s="3" t="n"/>
      <c r="G256" s="3" t="n"/>
      <c r="H256" s="42" t="inlineStr">
        <is>
          <t>&gt;80</t>
        </is>
      </c>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c r="AC256" s="4" t="inlineStr">
        <is>
          <t>InvDay_2026-05-12 p90</t>
        </is>
      </c>
    </row>
    <row r="257">
      <c r="A257" s="14" t="inlineStr">
        <is>
          <t>InvDay_2026-05-12 · Track - record of consistent , above - market growth (fn1: 2014-2021 = IHS Markit Transportation segment adjusted to exclude other businesses; 2022 = SPGI Mobility segment; 2023-2025 = audited carve-out; NOT prepared on a consistent basis)</t>
        </is>
      </c>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c r="AB257" s="15" t="n"/>
      <c r="AC257" s="15" t="n"/>
    </row>
    <row r="258">
      <c r="A258" s="38" t="inlineStr">
        <is>
          <t>REVENUE ( $ MM ) data labels in print order (year mapping NOT asserted; chart): 1,750 / 1,613 / 1,485 / 1,351 / 1,247 / 1,074 / 1,052 / 979 / 836 / 719 / 585 / 529</t>
        </is>
      </c>
      <c r="B258" s="3" t="n"/>
      <c r="C258" s="3" t="n"/>
      <c r="D258" s="3" t="n"/>
      <c r="E258" s="3" t="n"/>
      <c r="F258" s="3" t="n"/>
      <c r="G258" s="3" t="n"/>
      <c r="H258" s="3" t="n"/>
      <c r="I258" s="3" t="n"/>
      <c r="J258" s="3" t="n"/>
      <c r="K258" s="3" t="n"/>
      <c r="L258" s="3" t="n"/>
      <c r="M258" s="3" t="n"/>
      <c r="N258" s="3" t="n"/>
      <c r="O258" s="3" t="n"/>
      <c r="P258" s="3" t="n"/>
      <c r="Q258" s="3" t="n"/>
      <c r="R258" s="3" t="n"/>
      <c r="S258" s="3" t="n"/>
      <c r="T258" s="3" t="n"/>
      <c r="U258" s="42" t="inlineStr">
        <is>
          <t>see line_item</t>
        </is>
      </c>
      <c r="V258" s="3" t="n"/>
      <c r="W258" s="3" t="n"/>
      <c r="X258" s="3" t="n"/>
      <c r="Y258" s="3" t="n"/>
      <c r="Z258" s="3" t="n"/>
      <c r="AA258" s="3" t="n"/>
      <c r="AB258" s="3" t="n"/>
      <c r="AC258" s="4" t="inlineStr">
        <is>
          <t>InvDay_2026-05-12 p91</t>
        </is>
      </c>
    </row>
    <row r="259">
      <c r="A259" s="14" t="inlineStr">
        <is>
          <t>InvDay_2026-05-12 · Track - record of consistent , above - market growth (fn2: 2022-2025 organic constant-currency based on SPGI-reported Mobility segment)</t>
        </is>
      </c>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c r="AB259" s="15" t="n"/>
      <c r="AC259" s="15" t="n"/>
    </row>
    <row r="260">
      <c r="A260" s="38" t="inlineStr">
        <is>
          <t>Mobility Organic Growth ( 2 ) data labels in print order (11 labels; year mapping NOT asserted): 10% / 11% / 14% / 11% / 10% / (2%) / 18% / 10% / 9% / 9% / 9%</t>
        </is>
      </c>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42" t="inlineStr">
        <is>
          <t>see line_item</t>
        </is>
      </c>
      <c r="W260" s="3" t="n"/>
      <c r="X260" s="3" t="n"/>
      <c r="Y260" s="3" t="n"/>
      <c r="Z260" s="3" t="n"/>
      <c r="AA260" s="3" t="n"/>
      <c r="AB260" s="3" t="n"/>
      <c r="AC260" s="4" t="inlineStr">
        <is>
          <t>InvDay_2026-05-12 p91</t>
        </is>
      </c>
    </row>
    <row r="261">
      <c r="A261" s="14" t="inlineStr">
        <is>
          <t>InvDay_2026-05-12 · Track - record of consistent , above - market growth (fn3: FRED Federal Reserve Bank of St. Louis; seasonally adjusted annual figures)</t>
        </is>
      </c>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c r="AC261" s="15" t="n"/>
    </row>
    <row r="262">
      <c r="A262" s="38" t="inlineStr">
        <is>
          <t>Industry Growth ( 3 ) data labels in print order (11 labels; year mapping NOT asserted): 6% / 0% / (2%) / 1% / (1%) / (15%) / 4% / (8%) / 13% / 2% / 2%</t>
        </is>
      </c>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42" t="inlineStr">
        <is>
          <t>see line_item</t>
        </is>
      </c>
      <c r="W262" s="3" t="n"/>
      <c r="X262" s="3" t="n"/>
      <c r="Y262" s="3" t="n"/>
      <c r="Z262" s="3" t="n"/>
      <c r="AA262" s="3" t="n"/>
      <c r="AB262" s="3" t="n"/>
      <c r="AC262" s="4" t="inlineStr">
        <is>
          <t>InvDay_2026-05-12 p91</t>
        </is>
      </c>
    </row>
    <row r="263">
      <c r="A263" s="14" t="inlineStr">
        <is>
          <t>InvDay_2026-05-12 · Subscription - based model provides revenue predictability</t>
        </is>
      </c>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c r="AB263" s="15" t="n"/>
      <c r="AC263" s="15" t="n"/>
    </row>
    <row r="264">
      <c r="A264" s="38" t="inlineStr">
        <is>
          <t>Subscription</t>
        </is>
      </c>
      <c r="B264" s="3" t="n"/>
      <c r="C264" s="3" t="n"/>
      <c r="D264" s="3" t="n"/>
      <c r="E264" s="3" t="n"/>
      <c r="F264" s="3" t="n"/>
      <c r="G264" s="3" t="n"/>
      <c r="H264" s="41" t="n">
        <v>81</v>
      </c>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c r="AC264" s="4" t="inlineStr">
        <is>
          <t>InvDay_2026-05-12 p92</t>
        </is>
      </c>
    </row>
    <row r="265">
      <c r="A265" s="38" t="inlineStr">
        <is>
          <t>Non - subscription</t>
        </is>
      </c>
      <c r="B265" s="3" t="n"/>
      <c r="C265" s="3" t="n"/>
      <c r="D265" s="3" t="n"/>
      <c r="E265" s="3" t="n"/>
      <c r="F265" s="3" t="n"/>
      <c r="G265" s="3" t="n"/>
      <c r="H265" s="41" t="n">
        <v>19</v>
      </c>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c r="AC265" s="4" t="inlineStr">
        <is>
          <t>InvDay_2026-05-12 p92</t>
        </is>
      </c>
    </row>
    <row r="266">
      <c r="A266" s="14" t="inlineStr">
        <is>
          <t>InvDay_2026-05-12 · Business is increasingly diversified</t>
        </is>
      </c>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c r="AC266" s="15" t="n"/>
    </row>
    <row r="267">
      <c r="A267" s="39" t="inlineStr">
        <is>
          <t>TOTAL REVENUE (printed $ 1.75B)</t>
        </is>
      </c>
      <c r="B267" s="3" t="n"/>
      <c r="C267" s="3" t="n"/>
      <c r="D267" s="3" t="n"/>
      <c r="E267" s="3" t="n"/>
      <c r="F267" s="3" t="n"/>
      <c r="G267" s="3" t="n"/>
      <c r="H267" s="49" t="inlineStr">
        <is>
          <t>1.75B</t>
        </is>
      </c>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c r="AC267" s="4" t="inlineStr">
        <is>
          <t>InvDay_2026-05-12 p93</t>
        </is>
      </c>
    </row>
    <row r="268">
      <c r="A268" s="38" t="inlineStr">
        <is>
          <t>INTERNATIONAL REVENUE</t>
        </is>
      </c>
      <c r="B268" s="3" t="n"/>
      <c r="C268" s="3" t="n"/>
      <c r="D268" s="3" t="n"/>
      <c r="E268" s="3" t="n"/>
      <c r="F268" s="3" t="n"/>
      <c r="G268" s="3" t="n"/>
      <c r="H268" s="41" t="n">
        <v>17</v>
      </c>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c r="AC268" s="4" t="inlineStr">
        <is>
          <t>InvDay_2026-05-12 p93</t>
        </is>
      </c>
    </row>
    <row r="269">
      <c r="A269" s="14" t="inlineStr">
        <is>
          <t>InvDay_2026-05-12 · Business is increasingly diversified - REVENUE BY BUSINESS LINE (label-to-value mapping inferred from print order and cross-check vs slides 34/57 - verify)</t>
        </is>
      </c>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c r="AC269" s="15" t="n"/>
    </row>
    <row r="270">
      <c r="A270" s="38" t="inlineStr">
        <is>
          <t>B2B Planning</t>
        </is>
      </c>
      <c r="B270" s="3" t="n"/>
      <c r="C270" s="3" t="n"/>
      <c r="D270" s="3" t="n"/>
      <c r="E270" s="3" t="n"/>
      <c r="F270" s="3" t="n"/>
      <c r="G270" s="3" t="n"/>
      <c r="H270" s="41" t="n">
        <v>9</v>
      </c>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c r="AC270" s="4" t="inlineStr">
        <is>
          <t>InvDay_2026-05-12 p93</t>
        </is>
      </c>
    </row>
    <row r="271">
      <c r="A271" s="38" t="inlineStr">
        <is>
          <t>B2B Marketing &amp; Sales</t>
        </is>
      </c>
      <c r="B271" s="3" t="n"/>
      <c r="C271" s="3" t="n"/>
      <c r="D271" s="3" t="n"/>
      <c r="E271" s="3" t="n"/>
      <c r="F271" s="3" t="n"/>
      <c r="G271" s="3" t="n"/>
      <c r="H271" s="41" t="n">
        <v>26</v>
      </c>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c r="AC271" s="4" t="inlineStr">
        <is>
          <t>InvDay_2026-05-12 p93</t>
        </is>
      </c>
    </row>
    <row r="272">
      <c r="A272" s="38" t="inlineStr">
        <is>
          <t>CARFAX Advantage</t>
        </is>
      </c>
      <c r="B272" s="3" t="n"/>
      <c r="C272" s="3" t="n"/>
      <c r="D272" s="3" t="n"/>
      <c r="E272" s="3" t="n"/>
      <c r="F272" s="3" t="n"/>
      <c r="G272" s="3" t="n"/>
      <c r="H272" s="41" t="n">
        <v>25</v>
      </c>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c r="AC272" s="4" t="inlineStr">
        <is>
          <t>InvDay_2026-05-12 p93</t>
        </is>
      </c>
    </row>
    <row r="273">
      <c r="A273" s="38" t="inlineStr">
        <is>
          <t>CARFAX Financial Consumer / Other</t>
        </is>
      </c>
      <c r="B273" s="3" t="n"/>
      <c r="C273" s="3" t="n"/>
      <c r="D273" s="3" t="n"/>
      <c r="E273" s="3" t="n"/>
      <c r="F273" s="3" t="n"/>
      <c r="G273" s="3" t="n"/>
      <c r="H273" s="41" t="n">
        <v>17</v>
      </c>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4" t="inlineStr">
        <is>
          <t>InvDay_2026-05-12 p93</t>
        </is>
      </c>
    </row>
    <row r="274">
      <c r="A274" s="38" t="inlineStr">
        <is>
          <t>CARFAX International</t>
        </is>
      </c>
      <c r="B274" s="3" t="n"/>
      <c r="C274" s="3" t="n"/>
      <c r="D274" s="3" t="n"/>
      <c r="E274" s="3" t="n"/>
      <c r="F274" s="3" t="n"/>
      <c r="G274" s="3" t="n"/>
      <c r="H274" s="41" t="n">
        <v>9</v>
      </c>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s="4" t="inlineStr">
        <is>
          <t>InvDay_2026-05-12 p93</t>
        </is>
      </c>
    </row>
    <row r="275">
      <c r="A275" s="38" t="inlineStr">
        <is>
          <t>CARFAX Listings</t>
        </is>
      </c>
      <c r="B275" s="3" t="n"/>
      <c r="C275" s="3" t="n"/>
      <c r="D275" s="3" t="n"/>
      <c r="E275" s="3" t="n"/>
      <c r="F275" s="3" t="n"/>
      <c r="G275" s="3" t="n"/>
      <c r="H275" s="41" t="n">
        <v>14</v>
      </c>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4" t="inlineStr">
        <is>
          <t>InvDay_2026-05-12 p93</t>
        </is>
      </c>
    </row>
    <row r="276">
      <c r="A276" s="14" t="inlineStr">
        <is>
          <t>InvDay_2026-05-12 · Business is increasingly diversified - REVENUE BY CUSTOMER TYPE</t>
        </is>
      </c>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c r="AB276" s="15" t="n"/>
      <c r="AC276" s="15" t="n"/>
    </row>
    <row r="277">
      <c r="A277" s="38" t="inlineStr">
        <is>
          <t>OEM &amp; Supplier</t>
        </is>
      </c>
      <c r="B277" s="3" t="n"/>
      <c r="C277" s="3" t="n"/>
      <c r="D277" s="3" t="n"/>
      <c r="E277" s="3" t="n"/>
      <c r="F277" s="3" t="n"/>
      <c r="G277" s="3" t="n"/>
      <c r="H277" s="41" t="n">
        <v>20</v>
      </c>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c r="AC277" s="4" t="inlineStr">
        <is>
          <t>InvDay_2026-05-12 p93</t>
        </is>
      </c>
    </row>
    <row r="278">
      <c r="A278" s="38" t="inlineStr">
        <is>
          <t>Financial / Consumer / Other</t>
        </is>
      </c>
      <c r="B278" s="3" t="n"/>
      <c r="C278" s="3" t="n"/>
      <c r="D278" s="3" t="n"/>
      <c r="E278" s="3" t="n"/>
      <c r="F278" s="3" t="n"/>
      <c r="G278" s="3" t="n"/>
      <c r="H278" s="41" t="n">
        <v>18</v>
      </c>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c r="AC278" s="4" t="inlineStr">
        <is>
          <t>InvDay_2026-05-12 p93</t>
        </is>
      </c>
    </row>
    <row r="279">
      <c r="A279" s="38" t="inlineStr">
        <is>
          <t>Dealer ( B2B &amp; CARFAX )</t>
        </is>
      </c>
      <c r="B279" s="3" t="n"/>
      <c r="C279" s="3" t="n"/>
      <c r="D279" s="3" t="n"/>
      <c r="E279" s="3" t="n"/>
      <c r="F279" s="3" t="n"/>
      <c r="G279" s="3" t="n"/>
      <c r="H279" s="41" t="n">
        <v>62</v>
      </c>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c r="AC279" s="4" t="inlineStr">
        <is>
          <t>InvDay_2026-05-12 p93</t>
        </is>
      </c>
    </row>
    <row r="280">
      <c r="A280" s="14" t="inlineStr">
        <is>
          <t>InvDay_2026-05-12 · High - margin business with upside potential</t>
        </is>
      </c>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c r="AA280" s="15" t="n"/>
      <c r="AB280" s="15" t="n"/>
      <c r="AC280" s="15" t="n"/>
    </row>
    <row r="281">
      <c r="A281" s="38" t="inlineStr">
        <is>
          <t>Adj . EBITDA</t>
        </is>
      </c>
      <c r="B281" s="3" t="n"/>
      <c r="C281" s="3" t="n"/>
      <c r="D281" s="30" t="n">
        <v>598</v>
      </c>
      <c r="E281" s="3" t="n"/>
      <c r="F281" s="30" t="n">
        <v>658</v>
      </c>
      <c r="G281" s="3" t="n"/>
      <c r="H281" s="30" t="n">
        <v>711</v>
      </c>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c r="AC281" s="4" t="inlineStr">
        <is>
          <t>InvDay_2026-05-12 p94</t>
        </is>
      </c>
    </row>
    <row r="282">
      <c r="A282" s="38" t="inlineStr">
        <is>
          <t>Adj . EBITDA Margin ( % )</t>
        </is>
      </c>
      <c r="B282" s="3" t="n"/>
      <c r="C282" s="3" t="n"/>
      <c r="D282" s="41" t="n">
        <v>40.3</v>
      </c>
      <c r="E282" s="3" t="n"/>
      <c r="F282" s="41" t="n">
        <v>40.8</v>
      </c>
      <c r="G282" s="3" t="n"/>
      <c r="H282" s="41" t="n">
        <v>40.6</v>
      </c>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c r="AC282" s="4" t="inlineStr">
        <is>
          <t>InvDay_2026-05-12 p94</t>
        </is>
      </c>
    </row>
    <row r="283">
      <c r="A283" s="14" t="inlineStr">
        <is>
          <t>InvDay_2026-05-12 · Near - term investment in building standalone public company , followed by ~ 50bps annual margin expansion target</t>
        </is>
      </c>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row>
    <row r="284">
      <c r="A284" s="38" t="inlineStr">
        <is>
          <t>annual margin expansion target (printed ~ 50bps)</t>
        </is>
      </c>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42" t="inlineStr">
        <is>
          <t>~50bps</t>
        </is>
      </c>
      <c r="AA284" s="3" t="n"/>
      <c r="AB284" s="3" t="n"/>
      <c r="AC284" s="4" t="inlineStr">
        <is>
          <t>InvDay_2026-05-12 p96</t>
        </is>
      </c>
    </row>
    <row r="285">
      <c r="A285" s="14" t="inlineStr">
        <is>
          <t>InvDay_2026-05-12 · Near - term investment in building standalone public company - Building Standalone Foundation</t>
        </is>
      </c>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row>
    <row r="286">
      <c r="A286" s="38" t="inlineStr">
        <is>
          <t>Expected incremental run - rate costs to operate as a standalone company compared to historic SPGI allocations (printed ~ $ 20-25M)</t>
        </is>
      </c>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c r="AB286" s="42" t="inlineStr">
        <is>
          <t>20-25</t>
        </is>
      </c>
      <c r="AC286" s="4" t="inlineStr">
        <is>
          <t>InvDay_2026-05-12 p96</t>
        </is>
      </c>
    </row>
    <row r="287">
      <c r="A287" s="38" t="inlineStr">
        <is>
          <t>Hit run - rate in 12-18 months , inclusive of TSA wind - down</t>
        </is>
      </c>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42" t="inlineStr">
        <is>
          <t>12-18 months</t>
        </is>
      </c>
      <c r="AC287" s="4" t="inlineStr">
        <is>
          <t>InvDay_2026-05-12 p96</t>
        </is>
      </c>
    </row>
    <row r="288">
      <c r="A288" s="14" t="inlineStr">
        <is>
          <t>InvDay_2026-05-12 · Solid Free Cash Flow generation and conversion (FCF = CFO less capex)</t>
        </is>
      </c>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c r="AB288" s="15" t="n"/>
      <c r="AC288" s="15" t="n"/>
    </row>
    <row r="289">
      <c r="A289" s="38" t="inlineStr">
        <is>
          <t>Free Cash Flow</t>
        </is>
      </c>
      <c r="B289" s="3" t="n"/>
      <c r="C289" s="3" t="n"/>
      <c r="D289" s="30" t="n">
        <v>375</v>
      </c>
      <c r="E289" s="3" t="n"/>
      <c r="F289" s="30" t="n">
        <v>412</v>
      </c>
      <c r="G289" s="3" t="n"/>
      <c r="H289" s="30" t="n">
        <v>461</v>
      </c>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c r="AC289" s="4" t="inlineStr">
        <is>
          <t>InvDay_2026-05-12 p97</t>
        </is>
      </c>
    </row>
    <row r="290">
      <c r="A290" s="14" t="inlineStr">
        <is>
          <t>InvDay_2026-05-12 · Solid Free Cash Flow generation and conversion (fn2: FCF / total revenue)</t>
        </is>
      </c>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c r="AA290" s="15" t="n"/>
      <c r="AB290" s="15" t="n"/>
      <c r="AC290" s="15" t="n"/>
    </row>
    <row r="291">
      <c r="A291" s="38" t="inlineStr">
        <is>
          <t>Free Cash Flow Margin</t>
        </is>
      </c>
      <c r="B291" s="3" t="n"/>
      <c r="C291" s="3" t="n"/>
      <c r="D291" s="41" t="n">
        <v>25.3</v>
      </c>
      <c r="E291" s="3" t="n"/>
      <c r="F291" s="41" t="n">
        <v>25.5</v>
      </c>
      <c r="G291" s="3" t="n"/>
      <c r="H291" s="41" t="n">
        <v>26.3</v>
      </c>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c r="AC291" s="4" t="inlineStr">
        <is>
          <t>InvDay_2026-05-12 p97</t>
        </is>
      </c>
    </row>
    <row r="292">
      <c r="A292" s="14" t="inlineStr">
        <is>
          <t>InvDay_2026-05-12 · Solid Free Cash Flow generation and conversion</t>
        </is>
      </c>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c r="AA292" s="15" t="n"/>
      <c r="AB292" s="15" t="n"/>
      <c r="AC292" s="15" t="n"/>
    </row>
    <row r="293">
      <c r="A293" s="38" t="inlineStr">
        <is>
          <t>Capex ( % of Rev. )</t>
        </is>
      </c>
      <c r="B293" s="3" t="n"/>
      <c r="C293" s="3" t="n"/>
      <c r="D293" s="41" t="n">
        <v>1.2</v>
      </c>
      <c r="E293" s="3" t="n"/>
      <c r="F293" s="41" t="n">
        <v>0.9</v>
      </c>
      <c r="G293" s="3" t="n"/>
      <c r="H293" s="41" t="n">
        <v>1.4</v>
      </c>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c r="AC293" s="4" t="inlineStr">
        <is>
          <t>InvDay_2026-05-12 p97</t>
        </is>
      </c>
    </row>
    <row r="294">
      <c r="A294" s="38" t="inlineStr">
        <is>
          <t>Medium - term effective tax rate (printed 25-27 % , lower than in Form 10)</t>
        </is>
      </c>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42" t="inlineStr">
        <is>
          <t>25-27</t>
        </is>
      </c>
      <c r="AA294" s="3" t="n"/>
      <c r="AB294" s="3" t="n"/>
      <c r="AC294" s="4" t="inlineStr">
        <is>
          <t>InvDay_2026-05-12 p97</t>
        </is>
      </c>
    </row>
    <row r="295">
      <c r="A295" s="38" t="inlineStr">
        <is>
          <t>Deferred Tax Liability related to IHS merger to be paid down over remaining 12 - year period (printed ~ $ 1B)</t>
        </is>
      </c>
      <c r="B295" s="3" t="n"/>
      <c r="C295" s="3" t="n"/>
      <c r="D295" s="3" t="n"/>
      <c r="E295" s="3" t="n"/>
      <c r="F295" s="3" t="n"/>
      <c r="G295" s="3" t="n"/>
      <c r="H295" s="3" t="n"/>
      <c r="I295" s="30" t="n">
        <v>1000</v>
      </c>
      <c r="J295" s="3" t="n"/>
      <c r="K295" s="3" t="n"/>
      <c r="L295" s="3" t="n"/>
      <c r="M295" s="3" t="n"/>
      <c r="N295" s="3" t="n"/>
      <c r="O295" s="3" t="n"/>
      <c r="P295" s="3" t="n"/>
      <c r="Q295" s="3" t="n"/>
      <c r="R295" s="3" t="n"/>
      <c r="S295" s="3" t="n"/>
      <c r="T295" s="3" t="n"/>
      <c r="U295" s="3" t="n"/>
      <c r="V295" s="3" t="n"/>
      <c r="W295" s="3" t="n"/>
      <c r="X295" s="3" t="n"/>
      <c r="Y295" s="3" t="n"/>
      <c r="Z295" s="3" t="n"/>
      <c r="AA295" s="3" t="n"/>
      <c r="AB295" s="3" t="n"/>
      <c r="AC295" s="4" t="inlineStr">
        <is>
          <t>InvDay_2026-05-12 p97</t>
        </is>
      </c>
    </row>
    <row r="296">
      <c r="A296" s="14" t="inlineStr">
        <is>
          <t>InvDay_2026-05-12 · Solid Free Cash Flow generation and conversion (fn3: INTERNAL DATA)</t>
        </is>
      </c>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c r="AA296" s="15" t="n"/>
      <c r="AB296" s="15" t="n"/>
      <c r="AC296" s="15" t="n"/>
    </row>
    <row r="297">
      <c r="A297" s="38" t="inlineStr">
        <is>
          <t>one - time stand - up / transition cost over 12-18 months (printed ~ $ 75-100M)</t>
        </is>
      </c>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42" t="inlineStr">
        <is>
          <t>75-100</t>
        </is>
      </c>
      <c r="AC297" s="4" t="inlineStr">
        <is>
          <t>InvDay_2026-05-12 p97</t>
        </is>
      </c>
    </row>
    <row r="298">
      <c r="A298" s="14" t="inlineStr">
        <is>
          <t>InvDay_2026-05-12 · Strong Balance Sheet and efficient capital structure - Anticipated Starting Capital Structure</t>
        </is>
      </c>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c r="AA298" s="15" t="n"/>
      <c r="AB298" s="15" t="n"/>
      <c r="AC298" s="15" t="n"/>
    </row>
    <row r="299">
      <c r="A299" s="38" t="inlineStr">
        <is>
          <t>Senior Unsecured Notes expected to be issued prior to launch (printed ~ $ 2B)</t>
        </is>
      </c>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0" t="n">
        <v>2000</v>
      </c>
      <c r="Y299" s="3" t="n"/>
      <c r="Z299" s="3" t="n"/>
      <c r="AA299" s="3" t="n"/>
      <c r="AB299" s="3" t="n"/>
      <c r="AC299" s="4" t="inlineStr">
        <is>
          <t>InvDay_2026-05-12 p98</t>
        </is>
      </c>
    </row>
    <row r="300">
      <c r="A300" s="38" t="inlineStr">
        <is>
          <t>Revolving Credit Facility in place</t>
        </is>
      </c>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0" t="n">
        <v>500</v>
      </c>
      <c r="Y300" s="3" t="n"/>
      <c r="Z300" s="3" t="n"/>
      <c r="AA300" s="3" t="n"/>
      <c r="AB300" s="3" t="n"/>
      <c r="AC300" s="4" t="inlineStr">
        <is>
          <t>InvDay_2026-05-12 p98</t>
        </is>
      </c>
    </row>
    <row r="301">
      <c r="A301" s="14" t="inlineStr">
        <is>
          <t>InvDay_2026-05-12 · Strong Balance Sheet and efficient capital structure - Target Starting Cash</t>
        </is>
      </c>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c r="AB301" s="15" t="n"/>
      <c r="AC301" s="15" t="n"/>
    </row>
    <row r="302">
      <c r="A302" s="38" t="inlineStr">
        <is>
          <t>One - Time Cash Payment to S &amp; P Global (printed Up to ~ $ 1.95B)</t>
        </is>
      </c>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0" t="n">
        <v>1950</v>
      </c>
      <c r="Y302" s="3" t="n"/>
      <c r="Z302" s="3" t="n"/>
      <c r="AA302" s="3" t="n"/>
      <c r="AB302" s="3" t="n"/>
      <c r="AC302" s="4" t="inlineStr">
        <is>
          <t>InvDay_2026-05-12 p98</t>
        </is>
      </c>
    </row>
    <row r="303">
      <c r="A303" s="38" t="inlineStr">
        <is>
          <t>Cash on the Balance Sheet (printed ~ $ 150M)</t>
        </is>
      </c>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0" t="n">
        <v>150</v>
      </c>
      <c r="Y303" s="3" t="n"/>
      <c r="Z303" s="3" t="n"/>
      <c r="AA303" s="3" t="n"/>
      <c r="AB303" s="3" t="n"/>
      <c r="AC303" s="4" t="inlineStr">
        <is>
          <t>InvDay_2026-05-12 p98</t>
        </is>
      </c>
    </row>
    <row r="304">
      <c r="A304" s="14" t="inlineStr">
        <is>
          <t>InvDay_2026-05-12 · Strong Balance Sheet and efficient capital structure - Commitment to Investment Grade</t>
        </is>
      </c>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c r="AA304" s="15" t="n"/>
      <c r="AB304" s="15" t="n"/>
      <c r="AC304" s="15" t="n"/>
    </row>
    <row r="305">
      <c r="A305" s="38" t="inlineStr">
        <is>
          <t>Target Gross Leverage Ratio (printed &lt; 2.5X)</t>
        </is>
      </c>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42" t="inlineStr">
        <is>
          <t>&lt;2.5x</t>
        </is>
      </c>
      <c r="AA305" s="3" t="n"/>
      <c r="AB305" s="3" t="n"/>
      <c r="AC305" s="4" t="inlineStr">
        <is>
          <t>InvDay_2026-05-12 p98</t>
        </is>
      </c>
    </row>
    <row r="306">
      <c r="A306" s="14" t="inlineStr">
        <is>
          <t>InvDay_2026-05-12 · Shareholder - friendly capital allocation framework</t>
        </is>
      </c>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c r="AA306" s="15" t="n"/>
      <c r="AB306" s="15" t="n"/>
      <c r="AC306" s="15" t="n"/>
    </row>
    <row r="307">
      <c r="A307" s="38" t="inlineStr">
        <is>
          <t>Dividends - Payout ratio of 20-25 % of Net Income</t>
        </is>
      </c>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42" t="inlineStr">
        <is>
          <t>20-25</t>
        </is>
      </c>
      <c r="AA307" s="3" t="n"/>
      <c r="AB307" s="3" t="n"/>
      <c r="AC307" s="4" t="inlineStr">
        <is>
          <t>InvDay_2026-05-12 p99</t>
        </is>
      </c>
    </row>
    <row r="308">
      <c r="A308" s="38" t="inlineStr">
        <is>
          <t>Share Repurchases - Disciplined approach ; beginning in 2027</t>
        </is>
      </c>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42" t="inlineStr">
        <is>
          <t>beginning in 2027</t>
        </is>
      </c>
      <c r="AA308" s="3" t="n"/>
      <c r="AB308" s="3" t="n"/>
      <c r="AC308" s="4" t="inlineStr">
        <is>
          <t>InvDay_2026-05-12 p99</t>
        </is>
      </c>
    </row>
    <row r="309">
      <c r="A309" s="38" t="inlineStr">
        <is>
          <t>M &amp; A - Tuck - ins to accelerate organic growth</t>
        </is>
      </c>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42" t="inlineStr">
        <is>
          <t>tuck-ins</t>
        </is>
      </c>
      <c r="AA309" s="3" t="n"/>
      <c r="AB309" s="3" t="n"/>
      <c r="AC309" s="4" t="inlineStr">
        <is>
          <t>InvDay_2026-05-12 p99</t>
        </is>
      </c>
    </row>
    <row r="310">
      <c r="A310" s="14" t="inlineStr">
        <is>
          <t>InvDay_2026-05-12 · Shareholder - friendly capital allocation framework (fn1: FCF for capital return = FCF minus acquisitions)</t>
        </is>
      </c>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c r="AA310" s="15" t="n"/>
      <c r="AB310" s="15" t="n"/>
      <c r="AC310" s="15" t="n"/>
    </row>
    <row r="311">
      <c r="A311" s="38" t="inlineStr">
        <is>
          <t>Target of 75 % + of FCF returned annually</t>
        </is>
      </c>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42" t="inlineStr">
        <is>
          <t>75+</t>
        </is>
      </c>
      <c r="AA311" s="3" t="n"/>
      <c r="AB311" s="3" t="n"/>
      <c r="AC311" s="4" t="inlineStr">
        <is>
          <t>InvDay_2026-05-12 p99</t>
        </is>
      </c>
    </row>
    <row r="312">
      <c r="A312" s="14" t="inlineStr">
        <is>
          <t>InvDay_2026-05-12 · Targeting 7.5-10 % medium - term annual organic revenue growth (components approximate; do NOT sum to total - accounts for synergies and overlaps)</t>
        </is>
      </c>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c r="AA312" s="15" t="n"/>
      <c r="AB312" s="15" t="n"/>
      <c r="AC312" s="15" t="n"/>
    </row>
    <row r="313">
      <c r="A313" s="38" t="inlineStr">
        <is>
          <t>Core : ( Value + Volume ) (printed ~ 5-7 % +)</t>
        </is>
      </c>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42" t="inlineStr">
        <is>
          <t>5-7+</t>
        </is>
      </c>
      <c r="AA313" s="3" t="n"/>
      <c r="AB313" s="3" t="n"/>
      <c r="AC313" s="4" t="inlineStr">
        <is>
          <t>InvDay_2026-05-12 p100</t>
        </is>
      </c>
    </row>
    <row r="314">
      <c r="A314" s="38" t="inlineStr">
        <is>
          <t>New Solutions (printed ~ 1-2 % +)</t>
        </is>
      </c>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42" t="inlineStr">
        <is>
          <t>1-2+</t>
        </is>
      </c>
      <c r="AA314" s="3" t="n"/>
      <c r="AB314" s="3" t="n"/>
      <c r="AC314" s="4" t="inlineStr">
        <is>
          <t>InvDay_2026-05-12 p100</t>
        </is>
      </c>
    </row>
    <row r="315">
      <c r="A315" s="38" t="inlineStr">
        <is>
          <t>International Expansion (printed ~ 1-2 % +)</t>
        </is>
      </c>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42" t="inlineStr">
        <is>
          <t>1-2+</t>
        </is>
      </c>
      <c r="AA315" s="3" t="n"/>
      <c r="AB315" s="3" t="n"/>
      <c r="AC315" s="4" t="inlineStr">
        <is>
          <t>InvDay_2026-05-12 p100</t>
        </is>
      </c>
    </row>
    <row r="316">
      <c r="A316" s="14" t="inlineStr">
        <is>
          <t>InvDay_2026-05-12 · Targeting 7.5-10 % medium - term annual organic revenue growth</t>
        </is>
      </c>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c r="AA316" s="15" t="n"/>
      <c r="AB316" s="15" t="n"/>
      <c r="AC316" s="15" t="n"/>
    </row>
    <row r="317">
      <c r="A317" s="39" t="inlineStr">
        <is>
          <t>Annual Organic Revenue Growth (printed 7.5-10 %)</t>
        </is>
      </c>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49" t="inlineStr">
        <is>
          <t>7.5-10</t>
        </is>
      </c>
      <c r="AA317" s="3" t="n"/>
      <c r="AB317" s="3" t="n"/>
      <c r="AC317" s="4" t="inlineStr">
        <is>
          <t>InvDay_2026-05-12 p100</t>
        </is>
      </c>
    </row>
    <row r="318">
      <c r="A318" s="14" t="inlineStr">
        <is>
          <t>InvDay_2026-05-12 · Framework for investor value creation (repeat of slide 30 - identical wording)</t>
        </is>
      </c>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c r="AA318" s="15" t="n"/>
      <c r="AB318" s="15" t="n"/>
      <c r="AC318" s="15" t="n"/>
    </row>
    <row r="319">
      <c r="A319" s="38" t="inlineStr">
        <is>
          <t>Predictable Organic Revenue Growth / Margin Expansion / Compounding EBITDA Growth / Dividend Distributor / Consistent Capital Returns (printed 7.5-10 % annually; + 50bps annually after standalone reset; 8-11 % Adj . EBITDA growth; 20-25 % of GAAP net income; 75 % + of FCF returned annually)</t>
        </is>
      </c>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42" t="inlineStr">
        <is>
          <t>see slide 30 rows</t>
        </is>
      </c>
      <c r="AA319" s="3" t="n"/>
      <c r="AB319" s="3" t="n"/>
      <c r="AC319" s="4" t="inlineStr">
        <is>
          <t>InvDay_2026-05-12 p101</t>
        </is>
      </c>
    </row>
    <row r="320">
      <c r="A320" s="14" t="inlineStr">
        <is>
          <t>InvDay_2026-05-12 · Appendix: Free Cash Flow generation &amp; conversion (bridge Adj. EBITDA -&gt; CFO -&gt; FCF)</t>
        </is>
      </c>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c r="AA320" s="15" t="n"/>
      <c r="AB320" s="15" t="n"/>
      <c r="AC320" s="15" t="n"/>
    </row>
    <row r="321">
      <c r="A321" s="39" t="inlineStr">
        <is>
          <t>Adj . EBITDA</t>
        </is>
      </c>
      <c r="B321" s="3" t="n"/>
      <c r="C321" s="3" t="n"/>
      <c r="D321" s="18" t="n">
        <v>598</v>
      </c>
      <c r="E321" s="3" t="n"/>
      <c r="F321" s="18" t="n">
        <v>658</v>
      </c>
      <c r="G321" s="3" t="n"/>
      <c r="H321" s="18" t="n">
        <v>711</v>
      </c>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c r="AC321" s="4" t="inlineStr">
        <is>
          <t>InvDay_2026-05-12 p108</t>
        </is>
      </c>
    </row>
    <row r="322">
      <c r="A322" s="38" t="inlineStr">
        <is>
          <t>( - ) One - Time Adjustments</t>
        </is>
      </c>
      <c r="B322" s="3" t="n"/>
      <c r="C322" s="3" t="n"/>
      <c r="D322" s="30" t="n">
        <v>-30</v>
      </c>
      <c r="E322" s="3" t="n"/>
      <c r="F322" s="30" t="n">
        <v>-23</v>
      </c>
      <c r="G322" s="3" t="n"/>
      <c r="H322" s="30" t="n">
        <v>-40</v>
      </c>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c r="AC322" s="4" t="inlineStr">
        <is>
          <t>InvDay_2026-05-12 p108</t>
        </is>
      </c>
    </row>
    <row r="323">
      <c r="A323" s="38" t="inlineStr">
        <is>
          <t>( - ) Interest , Net</t>
        </is>
      </c>
      <c r="B323" s="3" t="n"/>
      <c r="C323" s="3" t="n"/>
      <c r="D323" s="30" t="n">
        <v>-17</v>
      </c>
      <c r="E323" s="3" t="n"/>
      <c r="F323" s="30" t="n">
        <v>-14</v>
      </c>
      <c r="G323" s="3" t="n"/>
      <c r="H323" s="30" t="n">
        <v>-13</v>
      </c>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c r="AC323" s="4" t="inlineStr">
        <is>
          <t>InvDay_2026-05-12 p108</t>
        </is>
      </c>
    </row>
    <row r="324">
      <c r="A324" s="38" t="inlineStr">
        <is>
          <t>( - ) Provision for Income Taxes</t>
        </is>
      </c>
      <c r="B324" s="3" t="n"/>
      <c r="C324" s="3" t="n"/>
      <c r="D324" s="30" t="n">
        <v>-61</v>
      </c>
      <c r="E324" s="3" t="n"/>
      <c r="F324" s="30" t="n">
        <v>-76</v>
      </c>
      <c r="G324" s="3" t="n"/>
      <c r="H324" s="30" t="n">
        <v>-106</v>
      </c>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c r="AC324" s="4" t="inlineStr">
        <is>
          <t>InvDay_2026-05-12 p108</t>
        </is>
      </c>
    </row>
    <row r="325">
      <c r="A325" s="38" t="inlineStr">
        <is>
          <t>( + ) Prov . for Losses on Acc . Rec .</t>
        </is>
      </c>
      <c r="B325" s="3" t="n"/>
      <c r="C325" s="3" t="n"/>
      <c r="D325" s="30" t="n">
        <v>4</v>
      </c>
      <c r="E325" s="3" t="n"/>
      <c r="F325" s="30" t="n">
        <v>4</v>
      </c>
      <c r="G325" s="3" t="n"/>
      <c r="H325" s="30" t="n">
        <v>4</v>
      </c>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c r="AC325" s="4" t="inlineStr">
        <is>
          <t>InvDay_2026-05-12 p108</t>
        </is>
      </c>
    </row>
    <row r="326">
      <c r="A326" s="38" t="inlineStr">
        <is>
          <t>( - ) Deferred Income Taxes</t>
        </is>
      </c>
      <c r="B326" s="3" t="n"/>
      <c r="C326" s="3" t="n"/>
      <c r="D326" s="30" t="n">
        <v>-95</v>
      </c>
      <c r="E326" s="3" t="n"/>
      <c r="F326" s="30" t="n">
        <v>-102</v>
      </c>
      <c r="G326" s="3" t="n"/>
      <c r="H326" s="30" t="n">
        <v>-90</v>
      </c>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c r="AC326" s="4" t="inlineStr">
        <is>
          <t>InvDay_2026-05-12 p108</t>
        </is>
      </c>
    </row>
    <row r="327">
      <c r="A327" s="38" t="inlineStr">
        <is>
          <t>( + ) Restructuring &amp; Other</t>
        </is>
      </c>
      <c r="B327" s="3" t="n"/>
      <c r="C327" s="3" t="n"/>
      <c r="D327" s="30" t="n">
        <v>7</v>
      </c>
      <c r="E327" s="3" t="n"/>
      <c r="F327" s="30" t="n">
        <v>5</v>
      </c>
      <c r="G327" s="3" t="n"/>
      <c r="H327" s="30" t="n">
        <v>12</v>
      </c>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c r="AC327" s="4" t="inlineStr">
        <is>
          <t>InvDay_2026-05-12 p108</t>
        </is>
      </c>
    </row>
    <row r="328">
      <c r="A328" s="38" t="inlineStr">
        <is>
          <t>( +/- ) Change in NWC</t>
        </is>
      </c>
      <c r="B328" s="3" t="n"/>
      <c r="C328" s="3" t="n"/>
      <c r="D328" s="30" t="n">
        <v>-13</v>
      </c>
      <c r="E328" s="3" t="n"/>
      <c r="F328" s="30" t="n">
        <v>-26</v>
      </c>
      <c r="G328" s="3" t="n"/>
      <c r="H328" s="30" t="n">
        <v>7</v>
      </c>
      <c r="I328" s="3" t="n"/>
      <c r="J328" s="3" t="n"/>
      <c r="K328" s="3" t="n"/>
      <c r="L328" s="3" t="n"/>
      <c r="M328" s="3" t="n"/>
      <c r="N328" s="3" t="n"/>
      <c r="O328" s="3" t="n"/>
      <c r="P328" s="3" t="n"/>
      <c r="Q328" s="3" t="n"/>
      <c r="R328" s="3" t="n"/>
      <c r="S328" s="3" t="n"/>
      <c r="T328" s="3" t="n"/>
      <c r="U328" s="3" t="n"/>
      <c r="V328" s="3" t="n"/>
      <c r="W328" s="3" t="n"/>
      <c r="X328" s="3" t="n"/>
      <c r="Y328" s="3" t="n"/>
      <c r="Z328" s="3" t="n"/>
      <c r="AA328" s="3" t="n"/>
      <c r="AB328" s="3" t="n"/>
      <c r="AC328" s="4" t="inlineStr">
        <is>
          <t>InvDay_2026-05-12 p108</t>
        </is>
      </c>
    </row>
    <row r="329">
      <c r="A329" s="39" t="inlineStr">
        <is>
          <t>Cash provided by operating activities</t>
        </is>
      </c>
      <c r="B329" s="3" t="n"/>
      <c r="C329" s="3" t="n"/>
      <c r="D329" s="18" t="n">
        <v>393</v>
      </c>
      <c r="E329" s="3" t="n"/>
      <c r="F329" s="18" t="n">
        <v>427</v>
      </c>
      <c r="G329" s="3" t="n"/>
      <c r="H329" s="18" t="n">
        <v>485</v>
      </c>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c r="AC329" s="4" t="inlineStr">
        <is>
          <t>InvDay_2026-05-12 p108</t>
        </is>
      </c>
    </row>
    <row r="330">
      <c r="A330" s="38" t="inlineStr">
        <is>
          <t>( - ) Capital Expenditure</t>
        </is>
      </c>
      <c r="B330" s="3" t="n"/>
      <c r="C330" s="3" t="n"/>
      <c r="D330" s="30" t="n">
        <v>-18</v>
      </c>
      <c r="E330" s="3" t="n"/>
      <c r="F330" s="30" t="n">
        <v>-15</v>
      </c>
      <c r="G330" s="3" t="n"/>
      <c r="H330" s="30" t="n">
        <v>-24</v>
      </c>
      <c r="I330" s="3" t="n"/>
      <c r="J330" s="3" t="n"/>
      <c r="K330" s="3" t="n"/>
      <c r="L330" s="3" t="n"/>
      <c r="M330" s="3" t="n"/>
      <c r="N330" s="3" t="n"/>
      <c r="O330" s="3" t="n"/>
      <c r="P330" s="3" t="n"/>
      <c r="Q330" s="3" t="n"/>
      <c r="R330" s="3" t="n"/>
      <c r="S330" s="3" t="n"/>
      <c r="T330" s="3" t="n"/>
      <c r="U330" s="3" t="n"/>
      <c r="V330" s="3" t="n"/>
      <c r="W330" s="3" t="n"/>
      <c r="X330" s="3" t="n"/>
      <c r="Y330" s="3" t="n"/>
      <c r="Z330" s="3" t="n"/>
      <c r="AA330" s="3" t="n"/>
      <c r="AB330" s="3" t="n"/>
      <c r="AC330" s="4" t="inlineStr">
        <is>
          <t>InvDay_2026-05-12 p108</t>
        </is>
      </c>
    </row>
    <row r="331">
      <c r="A331" s="39" t="inlineStr">
        <is>
          <t>Free Cash Flow</t>
        </is>
      </c>
      <c r="B331" s="3" t="n"/>
      <c r="C331" s="3" t="n"/>
      <c r="D331" s="18" t="n">
        <v>375</v>
      </c>
      <c r="E331" s="3" t="n"/>
      <c r="F331" s="18" t="n">
        <v>412</v>
      </c>
      <c r="G331" s="3" t="n"/>
      <c r="H331" s="18" t="n">
        <v>461</v>
      </c>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c r="AC331" s="4" t="inlineStr">
        <is>
          <t>InvDay_2026-05-12 p108</t>
        </is>
      </c>
    </row>
    <row r="332">
      <c r="A332" s="38" t="inlineStr">
        <is>
          <t>Free Cash Flow Margin ( % ) (rounded, lower table)</t>
        </is>
      </c>
      <c r="B332" s="3" t="n"/>
      <c r="C332" s="3" t="n"/>
      <c r="D332" s="41" t="n">
        <v>25</v>
      </c>
      <c r="E332" s="3" t="n"/>
      <c r="F332" s="41" t="n">
        <v>26</v>
      </c>
      <c r="G332" s="3" t="n"/>
      <c r="H332" s="41" t="n">
        <v>26</v>
      </c>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c r="AC332" s="4" t="inlineStr">
        <is>
          <t>InvDay_2026-05-12 p108</t>
        </is>
      </c>
    </row>
    <row r="333">
      <c r="A333" s="38" t="inlineStr">
        <is>
          <t>Free Cash Flow Conversion ( % ) (FCF / Adj. EBITDA)</t>
        </is>
      </c>
      <c r="B333" s="3" t="n"/>
      <c r="C333" s="3" t="n"/>
      <c r="D333" s="41" t="n">
        <v>63</v>
      </c>
      <c r="E333" s="3" t="n"/>
      <c r="F333" s="41" t="n">
        <v>63</v>
      </c>
      <c r="G333" s="3" t="n"/>
      <c r="H333" s="41" t="n">
        <v>65</v>
      </c>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c r="AC333" s="4" t="inlineStr">
        <is>
          <t>InvDay_2026-05-12 p108</t>
        </is>
      </c>
    </row>
    <row r="334">
      <c r="A334" s="38" t="inlineStr">
        <is>
          <t>( +/- ) Gain ( Loss ) on Disposition - single value printed, column not determinable</t>
        </is>
      </c>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42" t="inlineStr">
        <is>
          <t>0</t>
        </is>
      </c>
      <c r="X334" s="3" t="n"/>
      <c r="Y334" s="3" t="n"/>
      <c r="Z334" s="3" t="n"/>
      <c r="AA334" s="3" t="n"/>
      <c r="AB334" s="3" t="n"/>
      <c r="AC334" s="4" t="inlineStr">
        <is>
          <t>InvDay_2026-05-12 p108</t>
        </is>
      </c>
    </row>
    <row r="335">
      <c r="A335" s="14" t="inlineStr">
        <is>
          <t>InvDay_2026-05-12 · Appendix: Bridge from 2025A net income to Adjusted EBITDA (bar-chart labels; mapping cross-checked to slides 111/114)</t>
        </is>
      </c>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c r="AB335" s="15" t="n"/>
      <c r="AC335" s="15" t="n"/>
    </row>
    <row r="336">
      <c r="A336" s="38" t="inlineStr">
        <is>
          <t>Net Income</t>
        </is>
      </c>
      <c r="B336" s="3" t="n"/>
      <c r="C336" s="3" t="n"/>
      <c r="D336" s="3" t="n"/>
      <c r="E336" s="3" t="n"/>
      <c r="F336" s="3" t="n"/>
      <c r="G336" s="3" t="n"/>
      <c r="H336" s="30" t="n">
        <v>220</v>
      </c>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c r="AC336" s="4" t="inlineStr">
        <is>
          <t>InvDay_2026-05-12 p109</t>
        </is>
      </c>
    </row>
    <row r="337">
      <c r="A337" s="38" t="inlineStr">
        <is>
          <t>Interest , Net</t>
        </is>
      </c>
      <c r="B337" s="3" t="n"/>
      <c r="C337" s="3" t="n"/>
      <c r="D337" s="3" t="n"/>
      <c r="E337" s="3" t="n"/>
      <c r="F337" s="3" t="n"/>
      <c r="G337" s="3" t="n"/>
      <c r="H337" s="30" t="n">
        <v>13</v>
      </c>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c r="AC337" s="4" t="inlineStr">
        <is>
          <t>InvDay_2026-05-12 p109</t>
        </is>
      </c>
    </row>
    <row r="338">
      <c r="A338" s="38" t="inlineStr">
        <is>
          <t>Provision for Income Taxes</t>
        </is>
      </c>
      <c r="B338" s="3" t="n"/>
      <c r="C338" s="3" t="n"/>
      <c r="D338" s="3" t="n"/>
      <c r="E338" s="3" t="n"/>
      <c r="F338" s="3" t="n"/>
      <c r="G338" s="3" t="n"/>
      <c r="H338" s="30" t="n">
        <v>106</v>
      </c>
      <c r="I338" s="3" t="n"/>
      <c r="J338" s="3" t="n"/>
      <c r="K338" s="3" t="n"/>
      <c r="L338" s="3" t="n"/>
      <c r="M338" s="3" t="n"/>
      <c r="N338" s="3" t="n"/>
      <c r="O338" s="3" t="n"/>
      <c r="P338" s="3" t="n"/>
      <c r="Q338" s="3" t="n"/>
      <c r="R338" s="3" t="n"/>
      <c r="S338" s="3" t="n"/>
      <c r="T338" s="3" t="n"/>
      <c r="U338" s="3" t="n"/>
      <c r="V338" s="3" t="n"/>
      <c r="W338" s="3" t="n"/>
      <c r="X338" s="3" t="n"/>
      <c r="Y338" s="3" t="n"/>
      <c r="Z338" s="3" t="n"/>
      <c r="AA338" s="3" t="n"/>
      <c r="AB338" s="3" t="n"/>
      <c r="AC338" s="4" t="inlineStr">
        <is>
          <t>InvDay_2026-05-12 p109</t>
        </is>
      </c>
    </row>
    <row r="339">
      <c r="A339" s="38" t="inlineStr">
        <is>
          <t>D &amp; A</t>
        </is>
      </c>
      <c r="B339" s="3" t="n"/>
      <c r="C339" s="3" t="n"/>
      <c r="D339" s="3" t="n"/>
      <c r="E339" s="3" t="n"/>
      <c r="F339" s="3" t="n"/>
      <c r="G339" s="3" t="n"/>
      <c r="H339" s="30" t="n">
        <v>310</v>
      </c>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c r="AC339" s="4" t="inlineStr">
        <is>
          <t>InvDay_2026-05-12 p109</t>
        </is>
      </c>
    </row>
    <row r="340">
      <c r="A340" s="38" t="inlineStr">
        <is>
          <t>SBC</t>
        </is>
      </c>
      <c r="B340" s="3" t="n"/>
      <c r="C340" s="3" t="n"/>
      <c r="D340" s="3" t="n"/>
      <c r="E340" s="3" t="n"/>
      <c r="F340" s="3" t="n"/>
      <c r="G340" s="3" t="n"/>
      <c r="H340" s="30" t="n">
        <v>22</v>
      </c>
      <c r="I340" s="3" t="n"/>
      <c r="J340" s="3" t="n"/>
      <c r="K340" s="3" t="n"/>
      <c r="L340" s="3" t="n"/>
      <c r="M340" s="3" t="n"/>
      <c r="N340" s="3" t="n"/>
      <c r="O340" s="3" t="n"/>
      <c r="P340" s="3" t="n"/>
      <c r="Q340" s="3" t="n"/>
      <c r="R340" s="3" t="n"/>
      <c r="S340" s="3" t="n"/>
      <c r="T340" s="3" t="n"/>
      <c r="U340" s="3" t="n"/>
      <c r="V340" s="3" t="n"/>
      <c r="W340" s="3" t="n"/>
      <c r="X340" s="3" t="n"/>
      <c r="Y340" s="3" t="n"/>
      <c r="Z340" s="3" t="n"/>
      <c r="AA340" s="3" t="n"/>
      <c r="AB340" s="3" t="n"/>
      <c r="AC340" s="4" t="inlineStr">
        <is>
          <t>InvDay_2026-05-12 p109</t>
        </is>
      </c>
    </row>
    <row r="341">
      <c r="A341" s="38" t="inlineStr">
        <is>
          <t>Legal Settlement Recovery</t>
        </is>
      </c>
      <c r="B341" s="3" t="n"/>
      <c r="C341" s="3" t="n"/>
      <c r="D341" s="3" t="n"/>
      <c r="E341" s="3" t="n"/>
      <c r="F341" s="3" t="n"/>
      <c r="G341" s="3" t="n"/>
      <c r="H341" s="30" t="n">
        <v>-3</v>
      </c>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c r="AC341" s="4" t="inlineStr">
        <is>
          <t>InvDay_2026-05-12 p109</t>
        </is>
      </c>
    </row>
    <row r="342">
      <c r="A342" s="38" t="inlineStr">
        <is>
          <t>Other (statutory labor law accrual adjustment and lease impairment costs)</t>
        </is>
      </c>
      <c r="B342" s="3" t="n"/>
      <c r="C342" s="3" t="n"/>
      <c r="D342" s="3" t="n"/>
      <c r="E342" s="3" t="n"/>
      <c r="F342" s="3" t="n"/>
      <c r="G342" s="3" t="n"/>
      <c r="H342" s="30" t="n">
        <v>2</v>
      </c>
      <c r="I342" s="3" t="n"/>
      <c r="J342" s="3" t="n"/>
      <c r="K342" s="3" t="n"/>
      <c r="L342" s="3" t="n"/>
      <c r="M342" s="3" t="n"/>
      <c r="N342" s="3" t="n"/>
      <c r="O342" s="3" t="n"/>
      <c r="P342" s="3" t="n"/>
      <c r="Q342" s="3" t="n"/>
      <c r="R342" s="3" t="n"/>
      <c r="S342" s="3" t="n"/>
      <c r="T342" s="3" t="n"/>
      <c r="U342" s="3" t="n"/>
      <c r="V342" s="3" t="n"/>
      <c r="W342" s="3" t="n"/>
      <c r="X342" s="3" t="n"/>
      <c r="Y342" s="3" t="n"/>
      <c r="Z342" s="3" t="n"/>
      <c r="AA342" s="3" t="n"/>
      <c r="AB342" s="3" t="n"/>
      <c r="AC342" s="4" t="inlineStr">
        <is>
          <t>InvDay_2026-05-12 p109</t>
        </is>
      </c>
    </row>
    <row r="343">
      <c r="A343" s="39" t="inlineStr">
        <is>
          <t>Adj . EBITDA</t>
        </is>
      </c>
      <c r="B343" s="3" t="n"/>
      <c r="C343" s="3" t="n"/>
      <c r="D343" s="3" t="n"/>
      <c r="E343" s="3" t="n"/>
      <c r="F343" s="3" t="n"/>
      <c r="G343" s="3" t="n"/>
      <c r="H343" s="18" t="n">
        <v>711</v>
      </c>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c r="AC343" s="4" t="inlineStr">
        <is>
          <t>InvDay_2026-05-12 p109</t>
        </is>
      </c>
    </row>
    <row r="344">
      <c r="A344" s="38" t="inlineStr">
        <is>
          <t>Transaction Costs / Severance Charges - labels $ 21 and $ 20 printed; which is which NOT machine-readable (Q1-Q4'25 transaction costs per slide 114 = 0+2+4+15 = 21)</t>
        </is>
      </c>
      <c r="B344" s="3" t="n"/>
      <c r="C344" s="3" t="n"/>
      <c r="D344" s="3" t="n"/>
      <c r="E344" s="3" t="n"/>
      <c r="F344" s="3" t="n"/>
      <c r="G344" s="3" t="n"/>
      <c r="H344" s="42" t="inlineStr">
        <is>
          <t>21 / 20</t>
        </is>
      </c>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c r="AC344" s="4" t="inlineStr">
        <is>
          <t>InvDay_2026-05-12 p109</t>
        </is>
      </c>
    </row>
    <row r="345">
      <c r="A345" s="14" t="inlineStr">
        <is>
          <t>InvDay_2026-05-12 · Appendix: Historical financials summary 2023 - 2025</t>
        </is>
      </c>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c r="AB345" s="15" t="n"/>
      <c r="AC345" s="15" t="n"/>
    </row>
    <row r="346">
      <c r="A346" s="39" t="inlineStr">
        <is>
          <t>Total Revenue</t>
        </is>
      </c>
      <c r="B346" s="3" t="n"/>
      <c r="C346" s="3" t="n"/>
      <c r="D346" s="18" t="n">
        <v>1485</v>
      </c>
      <c r="E346" s="3" t="n"/>
      <c r="F346" s="18" t="n">
        <v>1613</v>
      </c>
      <c r="G346" s="3" t="n"/>
      <c r="H346" s="18" t="n">
        <v>1750</v>
      </c>
      <c r="I346" s="3" t="n"/>
      <c r="J346" s="3" t="n"/>
      <c r="K346" s="3" t="n"/>
      <c r="L346" s="3" t="n"/>
      <c r="M346" s="3" t="n"/>
      <c r="N346" s="3" t="n"/>
      <c r="O346" s="3" t="n"/>
      <c r="P346" s="3" t="n"/>
      <c r="Q346" s="3" t="n"/>
      <c r="R346" s="3" t="n"/>
      <c r="S346" s="3" t="n"/>
      <c r="T346" s="3" t="n"/>
      <c r="U346" s="3" t="n"/>
      <c r="V346" s="3" t="n"/>
      <c r="W346" s="3" t="n"/>
      <c r="X346" s="3" t="n"/>
      <c r="Y346" s="3" t="n"/>
      <c r="Z346" s="3" t="n"/>
      <c r="AA346" s="3" t="n"/>
      <c r="AB346" s="3" t="n"/>
      <c r="AC346" s="4" t="inlineStr">
        <is>
          <t>InvDay_2026-05-12 p111</t>
        </is>
      </c>
    </row>
    <row r="347">
      <c r="A347" s="38" t="inlineStr">
        <is>
          <t>% Growth</t>
        </is>
      </c>
      <c r="B347" s="3" t="n"/>
      <c r="C347" s="3" t="n"/>
      <c r="D347" s="3" t="n"/>
      <c r="E347" s="3" t="n"/>
      <c r="F347" s="41" t="n">
        <v>8.6</v>
      </c>
      <c r="G347" s="3" t="n"/>
      <c r="H347" s="41" t="n">
        <v>8.5</v>
      </c>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c r="AC347" s="4" t="inlineStr">
        <is>
          <t>InvDay_2026-05-12 p111</t>
        </is>
      </c>
    </row>
    <row r="348">
      <c r="A348" s="38" t="inlineStr">
        <is>
          <t>( - ) Expenses and allocations</t>
        </is>
      </c>
      <c r="B348" s="3" t="n"/>
      <c r="C348" s="3" t="n"/>
      <c r="D348" s="30" t="n">
        <v>-939</v>
      </c>
      <c r="E348" s="3" t="n"/>
      <c r="F348" s="30" t="n">
        <v>-1005</v>
      </c>
      <c r="G348" s="3" t="n"/>
      <c r="H348" s="30" t="n">
        <v>-1101</v>
      </c>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c r="AC348" s="4" t="inlineStr">
        <is>
          <t>InvDay_2026-05-12 p111</t>
        </is>
      </c>
    </row>
    <row r="349">
      <c r="A349" s="38" t="inlineStr">
        <is>
          <t>Expenses and allocations % of Revenue</t>
        </is>
      </c>
      <c r="B349" s="3" t="n"/>
      <c r="C349" s="3" t="n"/>
      <c r="D349" s="41" t="n">
        <v>63.2</v>
      </c>
      <c r="E349" s="3" t="n"/>
      <c r="F349" s="41" t="n">
        <v>62.3</v>
      </c>
      <c r="G349" s="3" t="n"/>
      <c r="H349" s="41" t="n">
        <v>62.9</v>
      </c>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c r="AC349" s="4" t="inlineStr">
        <is>
          <t>InvDay_2026-05-12 p111</t>
        </is>
      </c>
    </row>
    <row r="350">
      <c r="A350" s="39" t="inlineStr">
        <is>
          <t>EBITDA</t>
        </is>
      </c>
      <c r="B350" s="3" t="n"/>
      <c r="C350" s="3" t="n"/>
      <c r="D350" s="18" t="n">
        <v>546</v>
      </c>
      <c r="E350" s="3" t="n"/>
      <c r="F350" s="18" t="n">
        <v>608</v>
      </c>
      <c r="G350" s="3" t="n"/>
      <c r="H350" s="18" t="n">
        <v>649</v>
      </c>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c r="AC350" s="4" t="inlineStr">
        <is>
          <t>InvDay_2026-05-12 p111</t>
        </is>
      </c>
    </row>
    <row r="351">
      <c r="A351" s="38" t="inlineStr">
        <is>
          <t>EBITDA % Margin</t>
        </is>
      </c>
      <c r="B351" s="3" t="n"/>
      <c r="C351" s="3" t="n"/>
      <c r="D351" s="41" t="n">
        <v>36.8</v>
      </c>
      <c r="E351" s="3" t="n"/>
      <c r="F351" s="41" t="n">
        <v>37.7</v>
      </c>
      <c r="G351" s="3" t="n"/>
      <c r="H351" s="41" t="n">
        <v>37.1</v>
      </c>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c r="AC351" s="4" t="inlineStr">
        <is>
          <t>InvDay_2026-05-12 p111</t>
        </is>
      </c>
    </row>
    <row r="352">
      <c r="A352" s="38" t="inlineStr">
        <is>
          <t>( + ) Stock Based Compensation ( SBC )</t>
        </is>
      </c>
      <c r="B352" s="3" t="n"/>
      <c r="C352" s="3" t="n"/>
      <c r="D352" s="30" t="n">
        <v>20</v>
      </c>
      <c r="E352" s="3" t="n"/>
      <c r="F352" s="30" t="n">
        <v>28</v>
      </c>
      <c r="G352" s="3" t="n"/>
      <c r="H352" s="30" t="n">
        <v>22</v>
      </c>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c r="AC352" s="4" t="inlineStr">
        <is>
          <t>InvDay_2026-05-12 p111</t>
        </is>
      </c>
    </row>
    <row r="353">
      <c r="A353" s="38" t="inlineStr">
        <is>
          <t>( + ) Non - Recurring Adjustments</t>
        </is>
      </c>
      <c r="B353" s="3" t="n"/>
      <c r="C353" s="3" t="n"/>
      <c r="D353" s="30" t="n">
        <v>30</v>
      </c>
      <c r="E353" s="3" t="n"/>
      <c r="F353" s="30" t="n">
        <v>23</v>
      </c>
      <c r="G353" s="3" t="n"/>
      <c r="H353" s="30" t="n">
        <v>40</v>
      </c>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c r="AC353" s="4" t="inlineStr">
        <is>
          <t>InvDay_2026-05-12 p111</t>
        </is>
      </c>
    </row>
    <row r="354">
      <c r="A354" s="39" t="inlineStr">
        <is>
          <t>Adjusted EBITDA</t>
        </is>
      </c>
      <c r="B354" s="3" t="n"/>
      <c r="C354" s="3" t="n"/>
      <c r="D354" s="18" t="n">
        <v>598</v>
      </c>
      <c r="E354" s="3" t="n"/>
      <c r="F354" s="18" t="n">
        <v>658</v>
      </c>
      <c r="G354" s="3" t="n"/>
      <c r="H354" s="18" t="n">
        <v>711</v>
      </c>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c r="AC354" s="4" t="inlineStr">
        <is>
          <t>InvDay_2026-05-12 p111</t>
        </is>
      </c>
    </row>
    <row r="355">
      <c r="A355" s="38" t="inlineStr">
        <is>
          <t>Adjusted EBITDA % Margin</t>
        </is>
      </c>
      <c r="B355" s="3" t="n"/>
      <c r="C355" s="3" t="n"/>
      <c r="D355" s="41" t="n">
        <v>40.3</v>
      </c>
      <c r="E355" s="3" t="n"/>
      <c r="F355" s="41" t="n">
        <v>40.8</v>
      </c>
      <c r="G355" s="3" t="n"/>
      <c r="H355" s="41" t="n">
        <v>40.6</v>
      </c>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c r="AC355" s="4" t="inlineStr">
        <is>
          <t>InvDay_2026-05-12 p111</t>
        </is>
      </c>
    </row>
    <row r="356">
      <c r="A356" s="38" t="inlineStr">
        <is>
          <t>Cash provided by operating activities</t>
        </is>
      </c>
      <c r="B356" s="3" t="n"/>
      <c r="C356" s="3" t="n"/>
      <c r="D356" s="30" t="n">
        <v>393</v>
      </c>
      <c r="E356" s="3" t="n"/>
      <c r="F356" s="30" t="n">
        <v>427</v>
      </c>
      <c r="G356" s="3" t="n"/>
      <c r="H356" s="30" t="n">
        <v>485</v>
      </c>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c r="AC356" s="4" t="inlineStr">
        <is>
          <t>InvDay_2026-05-12 p111</t>
        </is>
      </c>
    </row>
    <row r="357">
      <c r="A357" s="38" t="inlineStr">
        <is>
          <t>( - ) Capital expenditure</t>
        </is>
      </c>
      <c r="B357" s="3" t="n"/>
      <c r="C357" s="3" t="n"/>
      <c r="D357" s="30" t="n">
        <v>-18</v>
      </c>
      <c r="E357" s="3" t="n"/>
      <c r="F357" s="30" t="n">
        <v>-15</v>
      </c>
      <c r="G357" s="3" t="n"/>
      <c r="H357" s="30" t="n">
        <v>-24</v>
      </c>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c r="AC357" s="4" t="inlineStr">
        <is>
          <t>InvDay_2026-05-12 p111</t>
        </is>
      </c>
    </row>
    <row r="358">
      <c r="A358" s="39" t="inlineStr">
        <is>
          <t>Free cash flow</t>
        </is>
      </c>
      <c r="B358" s="3" t="n"/>
      <c r="C358" s="3" t="n"/>
      <c r="D358" s="18" t="n">
        <v>375</v>
      </c>
      <c r="E358" s="3" t="n"/>
      <c r="F358" s="18" t="n">
        <v>412</v>
      </c>
      <c r="G358" s="3" t="n"/>
      <c r="H358" s="18" t="n">
        <v>461</v>
      </c>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c r="AC358" s="4" t="inlineStr">
        <is>
          <t>InvDay_2026-05-12 p111</t>
        </is>
      </c>
    </row>
    <row r="359">
      <c r="A359" s="38" t="inlineStr">
        <is>
          <t>Free cash flow % Margin</t>
        </is>
      </c>
      <c r="B359" s="3" t="n"/>
      <c r="C359" s="3" t="n"/>
      <c r="D359" s="41" t="n">
        <v>25.3</v>
      </c>
      <c r="E359" s="3" t="n"/>
      <c r="F359" s="41" t="n">
        <v>25.5</v>
      </c>
      <c r="G359" s="3" t="n"/>
      <c r="H359" s="41" t="n">
        <v>26.3</v>
      </c>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c r="AC359" s="4" t="inlineStr">
        <is>
          <t>InvDay_2026-05-12 p111</t>
        </is>
      </c>
    </row>
    <row r="360">
      <c r="A360" s="38" t="inlineStr">
        <is>
          <t>Free cash flow % Conversion</t>
        </is>
      </c>
      <c r="B360" s="3" t="n"/>
      <c r="C360" s="3" t="n"/>
      <c r="D360" s="41" t="n">
        <v>63</v>
      </c>
      <c r="E360" s="3" t="n"/>
      <c r="F360" s="41" t="n">
        <v>63</v>
      </c>
      <c r="G360" s="3" t="n"/>
      <c r="H360" s="41" t="n">
        <v>65</v>
      </c>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c r="AC360" s="4" t="inlineStr">
        <is>
          <t>InvDay_2026-05-12 p111</t>
        </is>
      </c>
    </row>
    <row r="361">
      <c r="A361" s="14" t="inlineStr">
        <is>
          <t>InvDay_2026-05-12 · Appendix: Historical financials summary Q1 2025 - Q1 2026</t>
        </is>
      </c>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15" t="n"/>
      <c r="AC361" s="15" t="n"/>
    </row>
    <row r="362">
      <c r="A362" s="39" t="inlineStr">
        <is>
          <t>Total Revenue</t>
        </is>
      </c>
      <c r="B362" s="3" t="n"/>
      <c r="C362" s="3" t="n"/>
      <c r="D362" s="3" t="n"/>
      <c r="E362" s="3" t="n"/>
      <c r="F362" s="3" t="n"/>
      <c r="G362" s="3" t="n"/>
      <c r="H362" s="3" t="n"/>
      <c r="I362" s="3" t="n"/>
      <c r="J362" s="18" t="n">
        <v>420</v>
      </c>
      <c r="K362" s="18" t="n">
        <v>439</v>
      </c>
      <c r="L362" s="3" t="n"/>
      <c r="M362" s="18" t="n">
        <v>445</v>
      </c>
      <c r="N362" s="18" t="n">
        <v>445</v>
      </c>
      <c r="O362" s="18" t="n">
        <v>455</v>
      </c>
      <c r="P362" s="3" t="n"/>
      <c r="Q362" s="3" t="n"/>
      <c r="R362" s="3" t="n"/>
      <c r="S362" s="3" t="n"/>
      <c r="T362" s="3" t="n"/>
      <c r="U362" s="3" t="n"/>
      <c r="V362" s="3" t="n"/>
      <c r="W362" s="3" t="n"/>
      <c r="X362" s="3" t="n"/>
      <c r="Y362" s="3" t="n"/>
      <c r="Z362" s="3" t="n"/>
      <c r="AA362" s="3" t="n"/>
      <c r="AB362" s="3" t="n"/>
      <c r="AC362" s="4" t="inlineStr">
        <is>
          <t>InvDay_2026-05-12 p112</t>
        </is>
      </c>
    </row>
    <row r="363">
      <c r="A363" s="38" t="inlineStr">
        <is>
          <t>( - ) Expenses and allocations</t>
        </is>
      </c>
      <c r="B363" s="3" t="n"/>
      <c r="C363" s="3" t="n"/>
      <c r="D363" s="3" t="n"/>
      <c r="E363" s="3" t="n"/>
      <c r="F363" s="3" t="n"/>
      <c r="G363" s="3" t="n"/>
      <c r="H363" s="3" t="n"/>
      <c r="I363" s="3" t="n"/>
      <c r="J363" s="30" t="n">
        <v>-259</v>
      </c>
      <c r="K363" s="30" t="n">
        <v>-266</v>
      </c>
      <c r="L363" s="3" t="n"/>
      <c r="M363" s="30" t="n">
        <v>-263</v>
      </c>
      <c r="N363" s="30" t="n">
        <v>-313</v>
      </c>
      <c r="O363" s="30" t="n">
        <v>-296</v>
      </c>
      <c r="P363" s="3" t="n"/>
      <c r="Q363" s="3" t="n"/>
      <c r="R363" s="3" t="n"/>
      <c r="S363" s="3" t="n"/>
      <c r="T363" s="3" t="n"/>
      <c r="U363" s="3" t="n"/>
      <c r="V363" s="3" t="n"/>
      <c r="W363" s="3" t="n"/>
      <c r="X363" s="3" t="n"/>
      <c r="Y363" s="3" t="n"/>
      <c r="Z363" s="3" t="n"/>
      <c r="AA363" s="3" t="n"/>
      <c r="AB363" s="3" t="n"/>
      <c r="AC363" s="4" t="inlineStr">
        <is>
          <t>InvDay_2026-05-12 p112</t>
        </is>
      </c>
    </row>
    <row r="364">
      <c r="A364" s="38" t="inlineStr">
        <is>
          <t>Expenses and allocations % of Revenue</t>
        </is>
      </c>
      <c r="B364" s="3" t="n"/>
      <c r="C364" s="3" t="n"/>
      <c r="D364" s="3" t="n"/>
      <c r="E364" s="3" t="n"/>
      <c r="F364" s="3" t="n"/>
      <c r="G364" s="3" t="n"/>
      <c r="H364" s="3" t="n"/>
      <c r="I364" s="3" t="n"/>
      <c r="J364" s="41" t="n">
        <v>61.5</v>
      </c>
      <c r="K364" s="41" t="n">
        <v>60.5</v>
      </c>
      <c r="L364" s="3" t="n"/>
      <c r="M364" s="41" t="n">
        <v>59.1</v>
      </c>
      <c r="N364" s="41" t="n">
        <v>70.3</v>
      </c>
      <c r="O364" s="41" t="n">
        <v>65.09999999999999</v>
      </c>
      <c r="P364" s="3" t="n"/>
      <c r="Q364" s="3" t="n"/>
      <c r="R364" s="3" t="n"/>
      <c r="S364" s="3" t="n"/>
      <c r="T364" s="3" t="n"/>
      <c r="U364" s="3" t="n"/>
      <c r="V364" s="3" t="n"/>
      <c r="W364" s="3" t="n"/>
      <c r="X364" s="3" t="n"/>
      <c r="Y364" s="3" t="n"/>
      <c r="Z364" s="3" t="n"/>
      <c r="AA364" s="3" t="n"/>
      <c r="AB364" s="3" t="n"/>
      <c r="AC364" s="4" t="inlineStr">
        <is>
          <t>InvDay_2026-05-12 p112</t>
        </is>
      </c>
    </row>
    <row r="365">
      <c r="A365" s="39" t="inlineStr">
        <is>
          <t>EBITDA</t>
        </is>
      </c>
      <c r="B365" s="3" t="n"/>
      <c r="C365" s="3" t="n"/>
      <c r="D365" s="3" t="n"/>
      <c r="E365" s="3" t="n"/>
      <c r="F365" s="3" t="n"/>
      <c r="G365" s="3" t="n"/>
      <c r="H365" s="3" t="n"/>
      <c r="I365" s="3" t="n"/>
      <c r="J365" s="18" t="n">
        <v>162</v>
      </c>
      <c r="K365" s="18" t="n">
        <v>173</v>
      </c>
      <c r="L365" s="3" t="n"/>
      <c r="M365" s="18" t="n">
        <v>182</v>
      </c>
      <c r="N365" s="18" t="n">
        <v>132</v>
      </c>
      <c r="O365" s="18" t="n">
        <v>159</v>
      </c>
      <c r="P365" s="3" t="n"/>
      <c r="Q365" s="3" t="n"/>
      <c r="R365" s="3" t="n"/>
      <c r="S365" s="3" t="n"/>
      <c r="T365" s="3" t="n"/>
      <c r="U365" s="3" t="n"/>
      <c r="V365" s="3" t="n"/>
      <c r="W365" s="3" t="n"/>
      <c r="X365" s="3" t="n"/>
      <c r="Y365" s="3" t="n"/>
      <c r="Z365" s="3" t="n"/>
      <c r="AA365" s="3" t="n"/>
      <c r="AB365" s="3" t="n"/>
      <c r="AC365" s="4" t="inlineStr">
        <is>
          <t>InvDay_2026-05-12 p112</t>
        </is>
      </c>
    </row>
    <row r="366">
      <c r="A366" s="38" t="inlineStr">
        <is>
          <t>EBITDA % Margin</t>
        </is>
      </c>
      <c r="B366" s="3" t="n"/>
      <c r="C366" s="3" t="n"/>
      <c r="D366" s="3" t="n"/>
      <c r="E366" s="3" t="n"/>
      <c r="F366" s="3" t="n"/>
      <c r="G366" s="3" t="n"/>
      <c r="H366" s="3" t="n"/>
      <c r="I366" s="3" t="n"/>
      <c r="J366" s="41" t="n">
        <v>38.5</v>
      </c>
      <c r="K366" s="41" t="n">
        <v>39.5</v>
      </c>
      <c r="L366" s="3" t="n"/>
      <c r="M366" s="41" t="n">
        <v>40.9</v>
      </c>
      <c r="N366" s="41" t="n">
        <v>29.7</v>
      </c>
      <c r="O366" s="41" t="n">
        <v>34.9</v>
      </c>
      <c r="P366" s="3" t="n"/>
      <c r="Q366" s="3" t="n"/>
      <c r="R366" s="3" t="n"/>
      <c r="S366" s="3" t="n"/>
      <c r="T366" s="3" t="n"/>
      <c r="U366" s="3" t="n"/>
      <c r="V366" s="3" t="n"/>
      <c r="W366" s="3" t="n"/>
      <c r="X366" s="3" t="n"/>
      <c r="Y366" s="3" t="n"/>
      <c r="Z366" s="3" t="n"/>
      <c r="AA366" s="3" t="n"/>
      <c r="AB366" s="3" t="n"/>
      <c r="AC366" s="4" t="inlineStr">
        <is>
          <t>InvDay_2026-05-12 p112</t>
        </is>
      </c>
    </row>
    <row r="367">
      <c r="A367" s="38" t="inlineStr">
        <is>
          <t>( + ) Stock Based Compensation ( SBC )</t>
        </is>
      </c>
      <c r="B367" s="3" t="n"/>
      <c r="C367" s="3" t="n"/>
      <c r="D367" s="3" t="n"/>
      <c r="E367" s="3" t="n"/>
      <c r="F367" s="3" t="n"/>
      <c r="G367" s="3" t="n"/>
      <c r="H367" s="3" t="n"/>
      <c r="I367" s="3" t="n"/>
      <c r="J367" s="30" t="n">
        <v>5</v>
      </c>
      <c r="K367" s="30" t="n">
        <v>4</v>
      </c>
      <c r="L367" s="3" t="n"/>
      <c r="M367" s="30" t="n">
        <v>6</v>
      </c>
      <c r="N367" s="30" t="n">
        <v>6</v>
      </c>
      <c r="O367" s="30" t="n">
        <v>4</v>
      </c>
      <c r="P367" s="3" t="n"/>
      <c r="Q367" s="3" t="n"/>
      <c r="R367" s="3" t="n"/>
      <c r="S367" s="3" t="n"/>
      <c r="T367" s="3" t="n"/>
      <c r="U367" s="3" t="n"/>
      <c r="V367" s="3" t="n"/>
      <c r="W367" s="3" t="n"/>
      <c r="X367" s="3" t="n"/>
      <c r="Y367" s="3" t="n"/>
      <c r="Z367" s="3" t="n"/>
      <c r="AA367" s="3" t="n"/>
      <c r="AB367" s="3" t="n"/>
      <c r="AC367" s="4" t="inlineStr">
        <is>
          <t>InvDay_2026-05-12 p112</t>
        </is>
      </c>
    </row>
    <row r="368">
      <c r="A368" s="38" t="inlineStr">
        <is>
          <t>( + ) Non - Recurring Adjustments</t>
        </is>
      </c>
      <c r="B368" s="3" t="n"/>
      <c r="C368" s="3" t="n"/>
      <c r="D368" s="3" t="n"/>
      <c r="E368" s="3" t="n"/>
      <c r="F368" s="3" t="n"/>
      <c r="G368" s="3" t="n"/>
      <c r="H368" s="3" t="n"/>
      <c r="I368" s="3" t="n"/>
      <c r="J368" s="30" t="n">
        <v>3</v>
      </c>
      <c r="K368" s="30" t="n">
        <v>10</v>
      </c>
      <c r="L368" s="3" t="n"/>
      <c r="M368" s="30" t="n">
        <v>4</v>
      </c>
      <c r="N368" s="30" t="n">
        <v>23</v>
      </c>
      <c r="O368" s="30" t="n">
        <v>21</v>
      </c>
      <c r="P368" s="3" t="n"/>
      <c r="Q368" s="3" t="n"/>
      <c r="R368" s="3" t="n"/>
      <c r="S368" s="3" t="n"/>
      <c r="T368" s="3" t="n"/>
      <c r="U368" s="3" t="n"/>
      <c r="V368" s="3" t="n"/>
      <c r="W368" s="3" t="n"/>
      <c r="X368" s="3" t="n"/>
      <c r="Y368" s="3" t="n"/>
      <c r="Z368" s="3" t="n"/>
      <c r="AA368" s="3" t="n"/>
      <c r="AB368" s="3" t="n"/>
      <c r="AC368" s="4" t="inlineStr">
        <is>
          <t>InvDay_2026-05-12 p112</t>
        </is>
      </c>
    </row>
    <row r="369">
      <c r="A369" s="39" t="inlineStr">
        <is>
          <t>Adjusted EBITDA</t>
        </is>
      </c>
      <c r="B369" s="3" t="n"/>
      <c r="C369" s="3" t="n"/>
      <c r="D369" s="3" t="n"/>
      <c r="E369" s="3" t="n"/>
      <c r="F369" s="3" t="n"/>
      <c r="G369" s="3" t="n"/>
      <c r="H369" s="3" t="n"/>
      <c r="I369" s="3" t="n"/>
      <c r="J369" s="18" t="n">
        <v>170</v>
      </c>
      <c r="K369" s="18" t="n">
        <v>186</v>
      </c>
      <c r="L369" s="3" t="n"/>
      <c r="M369" s="18" t="n">
        <v>192</v>
      </c>
      <c r="N369" s="18" t="n">
        <v>162</v>
      </c>
      <c r="O369" s="18" t="n">
        <v>184</v>
      </c>
      <c r="P369" s="3" t="n"/>
      <c r="Q369" s="3" t="n"/>
      <c r="R369" s="3" t="n"/>
      <c r="S369" s="3" t="n"/>
      <c r="T369" s="3" t="n"/>
      <c r="U369" s="3" t="n"/>
      <c r="V369" s="3" t="n"/>
      <c r="W369" s="3" t="n"/>
      <c r="X369" s="3" t="n"/>
      <c r="Y369" s="3" t="n"/>
      <c r="Z369" s="3" t="n"/>
      <c r="AA369" s="3" t="n"/>
      <c r="AB369" s="3" t="n"/>
      <c r="AC369" s="4" t="inlineStr">
        <is>
          <t>InvDay_2026-05-12 p112</t>
        </is>
      </c>
    </row>
    <row r="370">
      <c r="A370" s="38" t="inlineStr">
        <is>
          <t>Adjusted EBITDA % Margin</t>
        </is>
      </c>
      <c r="B370" s="3" t="n"/>
      <c r="C370" s="3" t="n"/>
      <c r="D370" s="3" t="n"/>
      <c r="E370" s="3" t="n"/>
      <c r="F370" s="3" t="n"/>
      <c r="G370" s="3" t="n"/>
      <c r="H370" s="3" t="n"/>
      <c r="I370" s="3" t="n"/>
      <c r="J370" s="41" t="n">
        <v>40.5</v>
      </c>
      <c r="K370" s="41" t="n">
        <v>42.4</v>
      </c>
      <c r="L370" s="3" t="n"/>
      <c r="M370" s="41" t="n">
        <v>43.2</v>
      </c>
      <c r="N370" s="41" t="n">
        <v>36.3</v>
      </c>
      <c r="O370" s="41" t="n">
        <v>40.4</v>
      </c>
      <c r="P370" s="3" t="n"/>
      <c r="Q370" s="3" t="n"/>
      <c r="R370" s="3" t="n"/>
      <c r="S370" s="3" t="n"/>
      <c r="T370" s="3" t="n"/>
      <c r="U370" s="3" t="n"/>
      <c r="V370" s="3" t="n"/>
      <c r="W370" s="3" t="n"/>
      <c r="X370" s="3" t="n"/>
      <c r="Y370" s="3" t="n"/>
      <c r="Z370" s="3" t="n"/>
      <c r="AA370" s="3" t="n"/>
      <c r="AB370" s="3" t="n"/>
      <c r="AC370" s="4" t="inlineStr">
        <is>
          <t>InvDay_2026-05-12 p112</t>
        </is>
      </c>
    </row>
    <row r="371">
      <c r="A371" s="14" t="inlineStr">
        <is>
          <t>InvDay_2026-05-12 · Appendix: Reconciliation of non - GAAP financial measures 2023 - 2025</t>
        </is>
      </c>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c r="AB371" s="15" t="n"/>
      <c r="AC371" s="15" t="n"/>
    </row>
    <row r="372">
      <c r="A372" s="38" t="inlineStr">
        <is>
          <t>Net income</t>
        </is>
      </c>
      <c r="B372" s="3" t="n"/>
      <c r="C372" s="3" t="n"/>
      <c r="D372" s="30" t="n">
        <v>163</v>
      </c>
      <c r="E372" s="3" t="n"/>
      <c r="F372" s="30" t="n">
        <v>208</v>
      </c>
      <c r="G372" s="3" t="n"/>
      <c r="H372" s="30" t="n">
        <v>220</v>
      </c>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c r="AC372" s="4" t="inlineStr">
        <is>
          <t>InvDay_2026-05-12 p113</t>
        </is>
      </c>
    </row>
    <row r="373">
      <c r="A373" s="38" t="inlineStr">
        <is>
          <t>Interest , net</t>
        </is>
      </c>
      <c r="B373" s="3" t="n"/>
      <c r="C373" s="3" t="n"/>
      <c r="D373" s="30" t="n">
        <v>17</v>
      </c>
      <c r="E373" s="3" t="n"/>
      <c r="F373" s="30" t="n">
        <v>15</v>
      </c>
      <c r="G373" s="3" t="n"/>
      <c r="H373" s="30" t="n">
        <v>13</v>
      </c>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c r="AC373" s="4" t="inlineStr">
        <is>
          <t>InvDay_2026-05-12 p113</t>
        </is>
      </c>
    </row>
    <row r="374">
      <c r="A374" s="38" t="inlineStr">
        <is>
          <t>Provision for taxes on income</t>
        </is>
      </c>
      <c r="B374" s="3" t="n"/>
      <c r="C374" s="3" t="n"/>
      <c r="D374" s="30" t="n">
        <v>61</v>
      </c>
      <c r="E374" s="3" t="n"/>
      <c r="F374" s="30" t="n">
        <v>76</v>
      </c>
      <c r="G374" s="3" t="n"/>
      <c r="H374" s="30" t="n">
        <v>106</v>
      </c>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c r="AC374" s="4" t="inlineStr">
        <is>
          <t>InvDay_2026-05-12 p113</t>
        </is>
      </c>
    </row>
    <row r="375">
      <c r="A375" s="38" t="inlineStr">
        <is>
          <t>Depreciation and amortization</t>
        </is>
      </c>
      <c r="B375" s="3" t="n"/>
      <c r="C375" s="3" t="n"/>
      <c r="D375" s="30" t="n">
        <v>307</v>
      </c>
      <c r="E375" s="3" t="n"/>
      <c r="F375" s="30" t="n">
        <v>309</v>
      </c>
      <c r="G375" s="3" t="n"/>
      <c r="H375" s="30" t="n">
        <v>310</v>
      </c>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c r="AC375" s="4" t="inlineStr">
        <is>
          <t>InvDay_2026-05-12 p113</t>
        </is>
      </c>
    </row>
    <row r="376">
      <c r="A376" s="38" t="inlineStr">
        <is>
          <t>Stock - based compensation</t>
        </is>
      </c>
      <c r="B376" s="3" t="n"/>
      <c r="C376" s="3" t="n"/>
      <c r="D376" s="30" t="n">
        <v>20</v>
      </c>
      <c r="E376" s="3" t="n"/>
      <c r="F376" s="30" t="n">
        <v>28</v>
      </c>
      <c r="G376" s="3" t="n"/>
      <c r="H376" s="30" t="n">
        <v>22</v>
      </c>
      <c r="I376" s="3" t="n"/>
      <c r="J376" s="3" t="n"/>
      <c r="K376" s="3" t="n"/>
      <c r="L376" s="3" t="n"/>
      <c r="M376" s="3" t="n"/>
      <c r="N376" s="3" t="n"/>
      <c r="O376" s="3" t="n"/>
      <c r="P376" s="3" t="n"/>
      <c r="Q376" s="3" t="n"/>
      <c r="R376" s="3" t="n"/>
      <c r="S376" s="3" t="n"/>
      <c r="T376" s="3" t="n"/>
      <c r="U376" s="3" t="n"/>
      <c r="V376" s="3" t="n"/>
      <c r="W376" s="3" t="n"/>
      <c r="X376" s="3" t="n"/>
      <c r="Y376" s="3" t="n"/>
      <c r="Z376" s="3" t="n"/>
      <c r="AA376" s="3" t="n"/>
      <c r="AB376" s="3" t="n"/>
      <c r="AC376" s="4" t="inlineStr">
        <is>
          <t>InvDay_2026-05-12 p113</t>
        </is>
      </c>
    </row>
    <row r="377">
      <c r="A377" s="39" t="inlineStr">
        <is>
          <t>Adjusted EBITDA</t>
        </is>
      </c>
      <c r="B377" s="3" t="n"/>
      <c r="C377" s="3" t="n"/>
      <c r="D377" s="18" t="n">
        <v>598</v>
      </c>
      <c r="E377" s="3" t="n"/>
      <c r="F377" s="18" t="n">
        <v>658</v>
      </c>
      <c r="G377" s="3" t="n"/>
      <c r="H377" s="18" t="n">
        <v>711</v>
      </c>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c r="AC377" s="4" t="inlineStr">
        <is>
          <t>InvDay_2026-05-12 p113</t>
        </is>
      </c>
    </row>
    <row r="378">
      <c r="A378" s="38" t="inlineStr">
        <is>
          <t>Transaction costs / Employee severance / Acquisition integration / Acquisition &amp; disposition-related / Legal settlement recovery / Other - flattened tokens (21; 20 9 17; 1; 964; 274; 20; (3); 2) NOT machine-readable; '964' and '274' look corrupted</t>
        </is>
      </c>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42" t="inlineStr">
        <is>
          <t>not machine-readable</t>
        </is>
      </c>
      <c r="X378" s="3" t="n"/>
      <c r="Y378" s="3" t="n"/>
      <c r="Z378" s="3" t="n"/>
      <c r="AA378" s="3" t="n"/>
      <c r="AB378" s="3" t="n"/>
      <c r="AC378" s="4" t="inlineStr">
        <is>
          <t>InvDay_2026-05-12 p113</t>
        </is>
      </c>
    </row>
    <row r="379">
      <c r="A379" s="14" t="inlineStr">
        <is>
          <t>InvDay_2026-05-12 · Appendix: Reconciliation of non - GAAP financial measures Q1 2025 - Q1 2026</t>
        </is>
      </c>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c r="AB379" s="15" t="n"/>
      <c r="AC379" s="15" t="n"/>
    </row>
    <row r="380">
      <c r="A380" s="38" t="inlineStr">
        <is>
          <t>Net income</t>
        </is>
      </c>
      <c r="B380" s="3" t="n"/>
      <c r="C380" s="3" t="n"/>
      <c r="D380" s="3" t="n"/>
      <c r="E380" s="3" t="n"/>
      <c r="F380" s="3" t="n"/>
      <c r="G380" s="3" t="n"/>
      <c r="H380" s="3" t="n"/>
      <c r="I380" s="3" t="n"/>
      <c r="J380" s="30" t="n">
        <v>58</v>
      </c>
      <c r="K380" s="30" t="n">
        <v>65</v>
      </c>
      <c r="L380" s="3" t="n"/>
      <c r="M380" s="30" t="n">
        <v>72</v>
      </c>
      <c r="N380" s="30" t="n">
        <v>25</v>
      </c>
      <c r="O380" s="30" t="n">
        <v>55</v>
      </c>
      <c r="P380" s="3" t="n"/>
      <c r="Q380" s="3" t="n"/>
      <c r="R380" s="3" t="n"/>
      <c r="S380" s="3" t="n"/>
      <c r="T380" s="3" t="n"/>
      <c r="U380" s="3" t="n"/>
      <c r="V380" s="3" t="n"/>
      <c r="W380" s="3" t="n"/>
      <c r="X380" s="3" t="n"/>
      <c r="Y380" s="3" t="n"/>
      <c r="Z380" s="3" t="n"/>
      <c r="AA380" s="3" t="n"/>
      <c r="AB380" s="3" t="n"/>
      <c r="AC380" s="4" t="inlineStr">
        <is>
          <t>InvDay_2026-05-12 p114</t>
        </is>
      </c>
    </row>
    <row r="381">
      <c r="A381" s="38" t="inlineStr">
        <is>
          <t>Interest , net</t>
        </is>
      </c>
      <c r="B381" s="3" t="n"/>
      <c r="C381" s="3" t="n"/>
      <c r="D381" s="3" t="n"/>
      <c r="E381" s="3" t="n"/>
      <c r="F381" s="3" t="n"/>
      <c r="G381" s="3" t="n"/>
      <c r="H381" s="3" t="n"/>
      <c r="I381" s="3" t="n"/>
      <c r="J381" s="30" t="n">
        <v>3</v>
      </c>
      <c r="K381" s="30" t="n">
        <v>3</v>
      </c>
      <c r="L381" s="3" t="n"/>
      <c r="M381" s="30" t="n">
        <v>3</v>
      </c>
      <c r="N381" s="30" t="n">
        <v>3</v>
      </c>
      <c r="O381" s="30" t="n">
        <v>3</v>
      </c>
      <c r="P381" s="3" t="n"/>
      <c r="Q381" s="3" t="n"/>
      <c r="R381" s="3" t="n"/>
      <c r="S381" s="3" t="n"/>
      <c r="T381" s="3" t="n"/>
      <c r="U381" s="3" t="n"/>
      <c r="V381" s="3" t="n"/>
      <c r="W381" s="3" t="n"/>
      <c r="X381" s="3" t="n"/>
      <c r="Y381" s="3" t="n"/>
      <c r="Z381" s="3" t="n"/>
      <c r="AA381" s="3" t="n"/>
      <c r="AB381" s="3" t="n"/>
      <c r="AC381" s="4" t="inlineStr">
        <is>
          <t>InvDay_2026-05-12 p114</t>
        </is>
      </c>
    </row>
    <row r="382">
      <c r="A382" s="38" t="inlineStr">
        <is>
          <t>Provision for taxes on income</t>
        </is>
      </c>
      <c r="B382" s="3" t="n"/>
      <c r="C382" s="3" t="n"/>
      <c r="D382" s="3" t="n"/>
      <c r="E382" s="3" t="n"/>
      <c r="F382" s="3" t="n"/>
      <c r="G382" s="3" t="n"/>
      <c r="H382" s="3" t="n"/>
      <c r="I382" s="3" t="n"/>
      <c r="J382" s="30" t="n">
        <v>23</v>
      </c>
      <c r="K382" s="30" t="n">
        <v>27</v>
      </c>
      <c r="L382" s="3" t="n"/>
      <c r="M382" s="30" t="n">
        <v>29</v>
      </c>
      <c r="N382" s="30" t="n">
        <v>27</v>
      </c>
      <c r="O382" s="30" t="n">
        <v>23</v>
      </c>
      <c r="P382" s="3" t="n"/>
      <c r="Q382" s="3" t="n"/>
      <c r="R382" s="3" t="n"/>
      <c r="S382" s="3" t="n"/>
      <c r="T382" s="3" t="n"/>
      <c r="U382" s="3" t="n"/>
      <c r="V382" s="3" t="n"/>
      <c r="W382" s="3" t="n"/>
      <c r="X382" s="3" t="n"/>
      <c r="Y382" s="3" t="n"/>
      <c r="Z382" s="3" t="n"/>
      <c r="AA382" s="3" t="n"/>
      <c r="AB382" s="3" t="n"/>
      <c r="AC382" s="4" t="inlineStr">
        <is>
          <t>InvDay_2026-05-12 p114</t>
        </is>
      </c>
    </row>
    <row r="383">
      <c r="A383" s="38" t="inlineStr">
        <is>
          <t>Depreciation and amortization</t>
        </is>
      </c>
      <c r="B383" s="3" t="n"/>
      <c r="C383" s="3" t="n"/>
      <c r="D383" s="3" t="n"/>
      <c r="E383" s="3" t="n"/>
      <c r="F383" s="3" t="n"/>
      <c r="G383" s="3" t="n"/>
      <c r="H383" s="3" t="n"/>
      <c r="I383" s="3" t="n"/>
      <c r="J383" s="30" t="n">
        <v>78</v>
      </c>
      <c r="K383" s="30" t="n">
        <v>78</v>
      </c>
      <c r="L383" s="3" t="n"/>
      <c r="M383" s="30" t="n">
        <v>78</v>
      </c>
      <c r="N383" s="30" t="n">
        <v>78</v>
      </c>
      <c r="O383" s="30" t="n">
        <v>78</v>
      </c>
      <c r="P383" s="3" t="n"/>
      <c r="Q383" s="3" t="n"/>
      <c r="R383" s="3" t="n"/>
      <c r="S383" s="3" t="n"/>
      <c r="T383" s="3" t="n"/>
      <c r="U383" s="3" t="n"/>
      <c r="V383" s="3" t="n"/>
      <c r="W383" s="3" t="n"/>
      <c r="X383" s="3" t="n"/>
      <c r="Y383" s="3" t="n"/>
      <c r="Z383" s="3" t="n"/>
      <c r="AA383" s="3" t="n"/>
      <c r="AB383" s="3" t="n"/>
      <c r="AC383" s="4" t="inlineStr">
        <is>
          <t>InvDay_2026-05-12 p114</t>
        </is>
      </c>
    </row>
    <row r="384">
      <c r="A384" s="38" t="inlineStr">
        <is>
          <t>Stock - based compensation</t>
        </is>
      </c>
      <c r="B384" s="3" t="n"/>
      <c r="C384" s="3" t="n"/>
      <c r="D384" s="3" t="n"/>
      <c r="E384" s="3" t="n"/>
      <c r="F384" s="3" t="n"/>
      <c r="G384" s="3" t="n"/>
      <c r="H384" s="3" t="n"/>
      <c r="I384" s="3" t="n"/>
      <c r="J384" s="30" t="n">
        <v>5</v>
      </c>
      <c r="K384" s="30" t="n">
        <v>4</v>
      </c>
      <c r="L384" s="3" t="n"/>
      <c r="M384" s="30" t="n">
        <v>6</v>
      </c>
      <c r="N384" s="30" t="n">
        <v>6</v>
      </c>
      <c r="O384" s="30" t="n">
        <v>4</v>
      </c>
      <c r="P384" s="3" t="n"/>
      <c r="Q384" s="3" t="n"/>
      <c r="R384" s="3" t="n"/>
      <c r="S384" s="3" t="n"/>
      <c r="T384" s="3" t="n"/>
      <c r="U384" s="3" t="n"/>
      <c r="V384" s="3" t="n"/>
      <c r="W384" s="3" t="n"/>
      <c r="X384" s="3" t="n"/>
      <c r="Y384" s="3" t="n"/>
      <c r="Z384" s="3" t="n"/>
      <c r="AA384" s="3" t="n"/>
      <c r="AB384" s="3" t="n"/>
      <c r="AC384" s="4" t="inlineStr">
        <is>
          <t>InvDay_2026-05-12 p114</t>
        </is>
      </c>
    </row>
    <row r="385">
      <c r="A385" s="39" t="inlineStr">
        <is>
          <t>Adjusted EBITDA</t>
        </is>
      </c>
      <c r="B385" s="3" t="n"/>
      <c r="C385" s="3" t="n"/>
      <c r="D385" s="3" t="n"/>
      <c r="E385" s="3" t="n"/>
      <c r="F385" s="3" t="n"/>
      <c r="G385" s="3" t="n"/>
      <c r="H385" s="3" t="n"/>
      <c r="I385" s="3" t="n"/>
      <c r="J385" s="18" t="n">
        <v>170</v>
      </c>
      <c r="K385" s="18" t="n">
        <v>186</v>
      </c>
      <c r="L385" s="3" t="n"/>
      <c r="M385" s="18" t="n">
        <v>192</v>
      </c>
      <c r="N385" s="18" t="n">
        <v>162</v>
      </c>
      <c r="O385" s="18" t="n">
        <v>184</v>
      </c>
      <c r="P385" s="3" t="n"/>
      <c r="Q385" s="3" t="n"/>
      <c r="R385" s="3" t="n"/>
      <c r="S385" s="3" t="n"/>
      <c r="T385" s="3" t="n"/>
      <c r="U385" s="3" t="n"/>
      <c r="V385" s="3" t="n"/>
      <c r="W385" s="3" t="n"/>
      <c r="X385" s="3" t="n"/>
      <c r="Y385" s="3" t="n"/>
      <c r="Z385" s="3" t="n"/>
      <c r="AA385" s="3" t="n"/>
      <c r="AB385" s="3" t="n"/>
      <c r="AC385" s="4" t="inlineStr">
        <is>
          <t>InvDay_2026-05-12 p114</t>
        </is>
      </c>
    </row>
    <row r="386">
      <c r="A386" s="38" t="inlineStr">
        <is>
          <t>Transaction costs / severance / integration / acq-disp / legal recovery / Other - flattened tokens (0 2 4 15 1 6 6 56 21 (3) 2 1 (3) 2) NOT machine-readable by row</t>
        </is>
      </c>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42" t="inlineStr">
        <is>
          <t>not machine-readable</t>
        </is>
      </c>
      <c r="AB386" s="3" t="n"/>
      <c r="AC386" s="4" t="inlineStr">
        <is>
          <t>InvDay_2026-05-12 p114</t>
        </is>
      </c>
    </row>
    <row r="387">
      <c r="A387" s="14" t="inlineStr">
        <is>
          <t>InvDay_2026-05-12 · Appendix: Reconciliation of non - GAAP financial measures (leverage, 03/31/2026; pro forma for anticipated debt)</t>
        </is>
      </c>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c r="AB387" s="15" t="n"/>
      <c r="AC387" s="15" t="n"/>
    </row>
    <row r="388">
      <c r="A388" s="38" t="inlineStr">
        <is>
          <t>Debt</t>
        </is>
      </c>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0" t="n">
        <v>2000</v>
      </c>
      <c r="Z388" s="3" t="n"/>
      <c r="AA388" s="3" t="n"/>
      <c r="AB388" s="3" t="n"/>
      <c r="AC388" s="4" t="inlineStr">
        <is>
          <t>InvDay_2026-05-12 p115</t>
        </is>
      </c>
    </row>
    <row r="389">
      <c r="A389" s="38" t="inlineStr">
        <is>
          <t>Less cash and cash equivalents</t>
        </is>
      </c>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0" t="n">
        <v>-150</v>
      </c>
      <c r="Z389" s="3" t="n"/>
      <c r="AA389" s="3" t="n"/>
      <c r="AB389" s="3" t="n"/>
      <c r="AC389" s="4" t="inlineStr">
        <is>
          <t>InvDay_2026-05-12 p115</t>
        </is>
      </c>
    </row>
    <row r="390">
      <c r="A390" s="39" t="inlineStr">
        <is>
          <t>Net debt</t>
        </is>
      </c>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18" t="n">
        <v>1850</v>
      </c>
      <c r="Z390" s="3" t="n"/>
      <c r="AA390" s="3" t="n"/>
      <c r="AB390" s="3" t="n"/>
      <c r="AC390" s="4" t="inlineStr">
        <is>
          <t>InvDay_2026-05-12 p115</t>
        </is>
      </c>
    </row>
    <row r="391">
      <c r="A391" s="38" t="inlineStr">
        <is>
          <t>LTM 03/31/26 Adj . EBITDA</t>
        </is>
      </c>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0" t="n">
        <v>724</v>
      </c>
      <c r="Z391" s="3" t="n"/>
      <c r="AA391" s="3" t="n"/>
      <c r="AB391" s="3" t="n"/>
      <c r="AC391" s="4" t="inlineStr">
        <is>
          <t>InvDay_2026-05-12 p115</t>
        </is>
      </c>
    </row>
    <row r="392">
      <c r="A392" s="38" t="inlineStr">
        <is>
          <t>Gross Leverage Ratio (x)</t>
        </is>
      </c>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42" t="inlineStr">
        <is>
          <t>2.8</t>
        </is>
      </c>
      <c r="Z392" s="3" t="n"/>
      <c r="AA392" s="3" t="n"/>
      <c r="AB392" s="3" t="n"/>
      <c r="AC392" s="4" t="inlineStr">
        <is>
          <t>InvDay_2026-05-12 p115</t>
        </is>
      </c>
    </row>
    <row r="393">
      <c r="A393" s="38" t="inlineStr">
        <is>
          <t>Net Leverage Ratio (x)</t>
        </is>
      </c>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42" t="inlineStr">
        <is>
          <t>2.6</t>
        </is>
      </c>
      <c r="Z393" s="3" t="n"/>
      <c r="AA393" s="3" t="n"/>
      <c r="AB393" s="3" t="n"/>
      <c r="AC393" s="4" t="inlineStr">
        <is>
          <t>InvDay_2026-05-12 p115</t>
        </is>
      </c>
    </row>
    <row r="394">
      <c r="A394" s="14" t="inlineStr">
        <is>
          <t>Slides_Q2-2026 · Key takeaways</t>
        </is>
      </c>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c r="AA394" s="15" t="n"/>
      <c r="AB394" s="15" t="n"/>
      <c r="AC394" s="15" t="n"/>
    </row>
    <row r="395">
      <c r="A395" s="38" t="inlineStr">
        <is>
          <t>Launched Mobility Global as an independent public company on</t>
        </is>
      </c>
      <c r="B395" s="3" t="n"/>
      <c r="C395" s="3" t="n"/>
      <c r="D395" s="3" t="n"/>
      <c r="E395" s="3" t="n"/>
      <c r="F395" s="3" t="n"/>
      <c r="G395" s="3" t="n"/>
      <c r="H395" s="3" t="n"/>
      <c r="I395" s="3" t="n"/>
      <c r="J395" s="3" t="n"/>
      <c r="K395" s="3" t="n"/>
      <c r="L395" s="3" t="n"/>
      <c r="M395" s="3" t="n"/>
      <c r="N395" s="3" t="n"/>
      <c r="O395" s="3" t="n"/>
      <c r="P395" s="42" t="inlineStr">
        <is>
          <t>2026-07-01</t>
        </is>
      </c>
      <c r="Q395" s="3" t="n"/>
      <c r="R395" s="3" t="n"/>
      <c r="S395" s="3" t="n"/>
      <c r="T395" s="3" t="n"/>
      <c r="U395" s="3" t="n"/>
      <c r="V395" s="3" t="n"/>
      <c r="W395" s="3" t="n"/>
      <c r="X395" s="3" t="n"/>
      <c r="Y395" s="3" t="n"/>
      <c r="Z395" s="3" t="n"/>
      <c r="AA395" s="3" t="n"/>
      <c r="AB395" s="3" t="n"/>
      <c r="AC395" s="4" t="inlineStr">
        <is>
          <t>Slides_Q2-2026 p4</t>
        </is>
      </c>
    </row>
    <row r="396">
      <c r="A396" s="38" t="inlineStr">
        <is>
          <t>Initiated a quarterly cash dividend ( $ / share )</t>
        </is>
      </c>
      <c r="B396" s="3" t="n"/>
      <c r="C396" s="3" t="n"/>
      <c r="D396" s="3" t="n"/>
      <c r="E396" s="3" t="n"/>
      <c r="F396" s="3" t="n"/>
      <c r="G396" s="3" t="n"/>
      <c r="H396" s="3" t="n"/>
      <c r="I396" s="3" t="n"/>
      <c r="J396" s="3" t="n"/>
      <c r="K396" s="3" t="n"/>
      <c r="L396" s="3" t="n"/>
      <c r="M396" s="3" t="n"/>
      <c r="N396" s="3" t="n"/>
      <c r="O396" s="3" t="n"/>
      <c r="P396" s="32" t="n">
        <v>0.06</v>
      </c>
      <c r="Q396" s="3" t="n"/>
      <c r="R396" s="3" t="n"/>
      <c r="S396" s="3" t="n"/>
      <c r="T396" s="3" t="n"/>
      <c r="U396" s="3" t="n"/>
      <c r="V396" s="3" t="n"/>
      <c r="W396" s="3" t="n"/>
      <c r="X396" s="3" t="n"/>
      <c r="Y396" s="3" t="n"/>
      <c r="Z396" s="3" t="n"/>
      <c r="AA396" s="3" t="n"/>
      <c r="AB396" s="3" t="n"/>
      <c r="AC396" s="4" t="inlineStr">
        <is>
          <t>Slides_Q2-2026 p4</t>
        </is>
      </c>
    </row>
    <row r="397">
      <c r="A397" s="38" t="inlineStr">
        <is>
          <t>Launched CARFAX Homegrown and CARFAX Showroom ( premium listings ) , and expanded CARFAX to Germany</t>
        </is>
      </c>
      <c r="B397" s="3" t="n"/>
      <c r="C397" s="3" t="n"/>
      <c r="D397" s="3" t="n"/>
      <c r="E397" s="3" t="n"/>
      <c r="F397" s="3" t="n"/>
      <c r="G397" s="3" t="n"/>
      <c r="H397" s="3" t="n"/>
      <c r="I397" s="3" t="n"/>
      <c r="J397" s="3" t="n"/>
      <c r="K397" s="3" t="n"/>
      <c r="L397" s="3" t="n"/>
      <c r="M397" s="3" t="n"/>
      <c r="N397" s="3" t="n"/>
      <c r="O397" s="3" t="n"/>
      <c r="P397" s="42" t="inlineStr">
        <is>
          <t>product/geography milestone</t>
        </is>
      </c>
      <c r="Q397" s="3" t="n"/>
      <c r="R397" s="3" t="n"/>
      <c r="S397" s="3" t="n"/>
      <c r="T397" s="3" t="n"/>
      <c r="U397" s="3" t="n"/>
      <c r="V397" s="3" t="n"/>
      <c r="W397" s="3" t="n"/>
      <c r="X397" s="3" t="n"/>
      <c r="Y397" s="3" t="n"/>
      <c r="Z397" s="3" t="n"/>
      <c r="AA397" s="3" t="n"/>
      <c r="AB397" s="3" t="n"/>
      <c r="AC397" s="4" t="inlineStr">
        <is>
          <t>Slides_Q2-2026 p4</t>
        </is>
      </c>
    </row>
    <row r="398">
      <c r="A398" s="14" t="inlineStr">
        <is>
          <t>Slides_Q2-2026 · Q2 and first half 2026 results</t>
        </is>
      </c>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c r="AA398" s="15" t="n"/>
      <c r="AB398" s="15" t="n"/>
      <c r="AC398" s="15" t="n"/>
    </row>
    <row r="399">
      <c r="A399" s="38" t="inlineStr">
        <is>
          <t>Subscription revenue</t>
        </is>
      </c>
      <c r="B399" s="3" t="n"/>
      <c r="C399" s="3" t="n"/>
      <c r="D399" s="3" t="n"/>
      <c r="E399" s="3" t="n"/>
      <c r="F399" s="3" t="n"/>
      <c r="G399" s="3" t="n"/>
      <c r="H399" s="3" t="n"/>
      <c r="I399" s="3" t="n"/>
      <c r="J399" s="3" t="n"/>
      <c r="K399" s="30" t="n">
        <v>358</v>
      </c>
      <c r="L399" s="30" t="n">
        <v>701</v>
      </c>
      <c r="M399" s="3" t="n"/>
      <c r="N399" s="3" t="n"/>
      <c r="O399" s="3" t="n"/>
      <c r="P399" s="30" t="n">
        <v>383</v>
      </c>
      <c r="Q399" s="30" t="n">
        <v>755</v>
      </c>
      <c r="R399" s="3" t="n"/>
      <c r="S399" s="3" t="n"/>
      <c r="T399" s="3" t="n"/>
      <c r="U399" s="3" t="n"/>
      <c r="V399" s="3" t="n"/>
      <c r="W399" s="3" t="n"/>
      <c r="X399" s="3" t="n"/>
      <c r="Y399" s="3" t="n"/>
      <c r="Z399" s="3" t="n"/>
      <c r="AA399" s="3" t="n"/>
      <c r="AB399" s="3" t="n"/>
      <c r="AC399" s="4" t="inlineStr">
        <is>
          <t>Slides_Q2-2026 p11</t>
        </is>
      </c>
    </row>
    <row r="400">
      <c r="A400" s="38" t="inlineStr">
        <is>
          <t>Non - subscription revenue</t>
        </is>
      </c>
      <c r="B400" s="3" t="n"/>
      <c r="C400" s="3" t="n"/>
      <c r="D400" s="3" t="n"/>
      <c r="E400" s="3" t="n"/>
      <c r="F400" s="3" t="n"/>
      <c r="G400" s="3" t="n"/>
      <c r="H400" s="3" t="n"/>
      <c r="I400" s="3" t="n"/>
      <c r="J400" s="3" t="n"/>
      <c r="K400" s="30" t="n">
        <v>81</v>
      </c>
      <c r="L400" s="30" t="n">
        <v>158</v>
      </c>
      <c r="M400" s="3" t="n"/>
      <c r="N400" s="3" t="n"/>
      <c r="O400" s="3" t="n"/>
      <c r="P400" s="30" t="n">
        <v>85</v>
      </c>
      <c r="Q400" s="30" t="n">
        <v>168</v>
      </c>
      <c r="R400" s="3" t="n"/>
      <c r="S400" s="3" t="n"/>
      <c r="T400" s="3" t="n"/>
      <c r="U400" s="3" t="n"/>
      <c r="V400" s="3" t="n"/>
      <c r="W400" s="3" t="n"/>
      <c r="X400" s="3" t="n"/>
      <c r="Y400" s="3" t="n"/>
      <c r="Z400" s="3" t="n"/>
      <c r="AA400" s="3" t="n"/>
      <c r="AB400" s="3" t="n"/>
      <c r="AC400" s="4" t="inlineStr">
        <is>
          <t>Slides_Q2-2026 p11</t>
        </is>
      </c>
    </row>
    <row r="401">
      <c r="A401" s="38" t="inlineStr">
        <is>
          <t>Subscription revenue % Chg</t>
        </is>
      </c>
      <c r="B401" s="3" t="n"/>
      <c r="C401" s="3" t="n"/>
      <c r="D401" s="3" t="n"/>
      <c r="E401" s="3" t="n"/>
      <c r="F401" s="3" t="n"/>
      <c r="G401" s="3" t="n"/>
      <c r="H401" s="3" t="n"/>
      <c r="I401" s="3" t="n"/>
      <c r="J401" s="3" t="n"/>
      <c r="K401" s="3" t="n"/>
      <c r="L401" s="3" t="n"/>
      <c r="M401" s="3" t="n"/>
      <c r="N401" s="3" t="n"/>
      <c r="O401" s="3" t="n"/>
      <c r="P401" s="41" t="n">
        <v>7</v>
      </c>
      <c r="Q401" s="41" t="n">
        <v>8</v>
      </c>
      <c r="R401" s="3" t="n"/>
      <c r="S401" s="3" t="n"/>
      <c r="T401" s="3" t="n"/>
      <c r="U401" s="3" t="n"/>
      <c r="V401" s="3" t="n"/>
      <c r="W401" s="3" t="n"/>
      <c r="X401" s="3" t="n"/>
      <c r="Y401" s="3" t="n"/>
      <c r="Z401" s="3" t="n"/>
      <c r="AA401" s="3" t="n"/>
      <c r="AB401" s="3" t="n"/>
      <c r="AC401" s="4" t="inlineStr">
        <is>
          <t>Slides_Q2-2026 p11</t>
        </is>
      </c>
    </row>
    <row r="402">
      <c r="A402" s="38" t="inlineStr">
        <is>
          <t>Non - subscription revenue % Chg</t>
        </is>
      </c>
      <c r="B402" s="3" t="n"/>
      <c r="C402" s="3" t="n"/>
      <c r="D402" s="3" t="n"/>
      <c r="E402" s="3" t="n"/>
      <c r="F402" s="3" t="n"/>
      <c r="G402" s="3" t="n"/>
      <c r="H402" s="3" t="n"/>
      <c r="I402" s="3" t="n"/>
      <c r="J402" s="3" t="n"/>
      <c r="K402" s="3" t="n"/>
      <c r="L402" s="3" t="n"/>
      <c r="M402" s="3" t="n"/>
      <c r="N402" s="3" t="n"/>
      <c r="O402" s="3" t="n"/>
      <c r="P402" s="41" t="n">
        <v>5</v>
      </c>
      <c r="Q402" s="41" t="n">
        <v>6</v>
      </c>
      <c r="R402" s="3" t="n"/>
      <c r="S402" s="3" t="n"/>
      <c r="T402" s="3" t="n"/>
      <c r="U402" s="3" t="n"/>
      <c r="V402" s="3" t="n"/>
      <c r="W402" s="3" t="n"/>
      <c r="X402" s="3" t="n"/>
      <c r="Y402" s="3" t="n"/>
      <c r="Z402" s="3" t="n"/>
      <c r="AA402" s="3" t="n"/>
      <c r="AB402" s="3" t="n"/>
      <c r="AC402" s="4" t="inlineStr">
        <is>
          <t>Slides_Q2-2026 p11</t>
        </is>
      </c>
    </row>
    <row r="403">
      <c r="A403" s="14" t="inlineStr">
        <is>
          <t>Slides_Q2-2026 · FY 2026 guidance , key assumptions and drivers</t>
        </is>
      </c>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15" t="n"/>
      <c r="AC403" s="15" t="n"/>
    </row>
    <row r="404">
      <c r="A404" s="38" t="inlineStr">
        <is>
          <t>Margins may be more volatile over the next four quarters given the dynamic stand - up period</t>
        </is>
      </c>
      <c r="B404" s="3" t="n"/>
      <c r="C404" s="3" t="n"/>
      <c r="D404" s="3" t="n"/>
      <c r="E404" s="3" t="n"/>
      <c r="F404" s="3" t="n"/>
      <c r="G404" s="3" t="n"/>
      <c r="H404" s="3" t="n"/>
      <c r="I404" s="3" t="n"/>
      <c r="J404" s="3" t="n"/>
      <c r="K404" s="3" t="n"/>
      <c r="L404" s="3" t="n"/>
      <c r="M404" s="3" t="n"/>
      <c r="N404" s="3" t="n"/>
      <c r="O404" s="3" t="n"/>
      <c r="P404" s="3" t="n"/>
      <c r="Q404" s="3" t="n"/>
      <c r="R404" s="42" t="inlineStr">
        <is>
          <t>qualitative</t>
        </is>
      </c>
      <c r="S404" s="3" t="n"/>
      <c r="T404" s="3" t="n"/>
      <c r="U404" s="3" t="n"/>
      <c r="V404" s="3" t="n"/>
      <c r="W404" s="3" t="n"/>
      <c r="X404" s="3" t="n"/>
      <c r="Y404" s="3" t="n"/>
      <c r="Z404" s="3" t="n"/>
      <c r="AA404" s="3" t="n"/>
      <c r="AB404" s="3" t="n"/>
      <c r="AC404" s="4" t="inlineStr">
        <is>
          <t>Slides_Q2-2026 p9</t>
        </is>
      </c>
    </row>
    <row r="405">
      <c r="A405" s="38" t="inlineStr">
        <is>
          <t>We anticipate guiding to a broader set of financial metrics for full year 2027</t>
        </is>
      </c>
      <c r="B405" s="3" t="n"/>
      <c r="C405" s="3" t="n"/>
      <c r="D405" s="3" t="n"/>
      <c r="E405" s="3" t="n"/>
      <c r="F405" s="3" t="n"/>
      <c r="G405" s="3" t="n"/>
      <c r="H405" s="3" t="n"/>
      <c r="I405" s="3" t="n"/>
      <c r="J405" s="3" t="n"/>
      <c r="K405" s="3" t="n"/>
      <c r="L405" s="3" t="n"/>
      <c r="M405" s="3" t="n"/>
      <c r="N405" s="3" t="n"/>
      <c r="O405" s="3" t="n"/>
      <c r="P405" s="3" t="n"/>
      <c r="Q405" s="3" t="n"/>
      <c r="R405" s="42" t="inlineStr">
        <is>
          <t>qualitative</t>
        </is>
      </c>
      <c r="S405" s="3" t="n"/>
      <c r="T405" s="3" t="n"/>
      <c r="U405" s="3" t="n"/>
      <c r="V405" s="3" t="n"/>
      <c r="W405" s="3" t="n"/>
      <c r="X405" s="3" t="n"/>
      <c r="Y405" s="3" t="n"/>
      <c r="Z405" s="3" t="n"/>
      <c r="AA405" s="3" t="n"/>
      <c r="AB405" s="3" t="n"/>
      <c r="AC405" s="4" t="inlineStr">
        <is>
          <t>Slides_Q2-2026 p9</t>
        </is>
      </c>
    </row>
    <row r="406">
      <c r="A406" s="14" t="inlineStr">
        <is>
          <t>Slides_Q2-2026 · FY 2026 guidance , key assumptions and drivers (fn: carve-out results H1 + consolidated H2)</t>
        </is>
      </c>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c r="AB406" s="15" t="n"/>
      <c r="AC406" s="15" t="n"/>
    </row>
    <row r="407">
      <c r="A407" s="38" t="inlineStr">
        <is>
          <t>Incremental standalone costs ~150bps run-rate impact - roughly half the impact felt in 2026</t>
        </is>
      </c>
      <c r="B407" s="3" t="n"/>
      <c r="C407" s="3" t="n"/>
      <c r="D407" s="3" t="n"/>
      <c r="E407" s="3" t="n"/>
      <c r="F407" s="3" t="n"/>
      <c r="G407" s="3" t="n"/>
      <c r="H407" s="3" t="n"/>
      <c r="I407" s="3" t="n"/>
      <c r="J407" s="3" t="n"/>
      <c r="K407" s="3" t="n"/>
      <c r="L407" s="3" t="n"/>
      <c r="M407" s="3" t="n"/>
      <c r="N407" s="3" t="n"/>
      <c r="O407" s="3" t="n"/>
      <c r="P407" s="3" t="n"/>
      <c r="Q407" s="3" t="n"/>
      <c r="R407" s="42" t="inlineStr">
        <is>
          <t>~50% in 2026</t>
        </is>
      </c>
      <c r="S407" s="3" t="n"/>
      <c r="T407" s="3" t="n"/>
      <c r="U407" s="3" t="n"/>
      <c r="V407" s="3" t="n"/>
      <c r="W407" s="3" t="n"/>
      <c r="X407" s="3" t="n"/>
      <c r="Y407" s="3" t="n"/>
      <c r="Z407" s="3" t="n"/>
      <c r="AA407" s="3" t="n"/>
      <c r="AB407" s="3" t="n"/>
      <c r="AC407" s="4" t="inlineStr">
        <is>
          <t>Slides_Q2-2026 p9</t>
        </is>
      </c>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c r="AB408" s="3" t="n"/>
      <c r="AC408" s="3" t="n"/>
    </row>
    <row r="409">
      <c r="A409" s="14" t="inlineStr">
        <is>
          <t>Targets vs actuals — the only computation on this tab (green = links to model)</t>
        </is>
      </c>
      <c r="B409" s="15" t="n"/>
      <c r="C409" s="15" t="n"/>
      <c r="D409" s="15" t="n"/>
      <c r="E409" s="15"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c r="AC409" s="3" t="n"/>
    </row>
    <row r="410">
      <c r="A410" s="19" t="inlineStr">
        <is>
          <t>FY2026 revenue guidance (Aug 7, 2026) — see Operating KPIs tab for low/high as printed</t>
        </is>
      </c>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c r="AC410" s="3" t="n"/>
    </row>
    <row r="411">
      <c r="A411" s="19" t="inlineStr">
        <is>
          <t>6M-2026 revenue actual [D]</t>
        </is>
      </c>
      <c r="B411" s="22">
        <f>'IS'!J6</f>
        <v/>
      </c>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c r="AC411" s="3" t="n"/>
    </row>
    <row r="412">
      <c r="A412" s="19" t="inlineStr">
        <is>
          <t>FY2025 revenue actual [D]</t>
        </is>
      </c>
      <c r="B412" s="22">
        <f>'IS'!D6</f>
        <v/>
      </c>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c r="AC412" s="3" t="n"/>
    </row>
    <row r="413">
      <c r="A413" s="19" t="inlineStr">
        <is>
          <t>Guide low: FY2026 revenue $1,870m [D, 8-K 2026-08-07]</t>
        </is>
      </c>
      <c r="B413" s="30" t="n">
        <v>1870</v>
      </c>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c r="AC413" s="3" t="n"/>
    </row>
    <row r="414">
      <c r="A414" s="19" t="inlineStr">
        <is>
          <t>Guide high: FY2026 revenue $1,885m [D]</t>
        </is>
      </c>
      <c r="B414" s="30" t="n">
        <v>1885</v>
      </c>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c r="AB414" s="3" t="n"/>
      <c r="AC414" s="3" t="n"/>
    </row>
    <row r="415">
      <c r="A415" s="19" t="inlineStr">
        <is>
          <t>Implied H2-2026 revenue at low / high [C]</t>
        </is>
      </c>
      <c r="B415" s="50">
        <f>B413-B411</f>
        <v/>
      </c>
      <c r="C415" s="50">
        <f>B414-B411</f>
        <v/>
      </c>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c r="AC415" s="3" t="n"/>
    </row>
    <row r="416">
      <c r="A416" s="19" t="inlineStr">
        <is>
          <t>Implied H2-2026 growth vs H2-2025 (FY2025 − 6M-2025) at low / high [C]</t>
        </is>
      </c>
      <c r="B416" s="35">
        <f>B415/('IS'!D6-'IS'!G6)-1</f>
        <v/>
      </c>
      <c r="C416" s="35">
        <f>C415/('IS'!D6-'IS'!G6)-1</f>
        <v/>
      </c>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c r="AC416" s="3" t="n"/>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32"/>
  <sheetViews>
    <sheetView showGridLines="0" workbookViewId="0">
      <selection activeCell="A1" sqref="A1"/>
    </sheetView>
  </sheetViews>
  <sheetFormatPr baseColWidth="8" defaultRowHeight="15"/>
  <cols>
    <col width="120" customWidth="1" min="1" max="1"/>
    <col width="12" customWidth="1" min="2" max="2"/>
    <col width="12" customWidth="1" min="3" max="3"/>
    <col hidden="1" width="13" customWidth="1" min="26" max="26"/>
  </cols>
  <sheetData>
    <row r="1" ht="20" customHeight="1">
      <c r="A1" s="1" t="inlineStr">
        <is>
          <t>Qualitative — see analysis/QUALITATIVE.md (business, concentration, separation, risk-factor inventory, events timeline)</t>
        </is>
      </c>
      <c r="B1" s="2" t="n"/>
      <c r="C1" s="2" t="n"/>
    </row>
    <row r="2">
      <c r="A2" s="4" t="inlineStr"/>
      <c r="B2" s="3" t="n"/>
      <c r="C2" s="3" t="n"/>
    </row>
    <row r="3">
      <c r="A3" s="3" t="n"/>
      <c r="B3" s="3" t="n"/>
      <c r="C3" s="3" t="n"/>
    </row>
    <row r="4">
      <c r="A4" s="51" t="inlineStr">
        <is>
          <t># QUALITATIVE — Mobility Global Inc. (NYSE: MBGL)</t>
        </is>
      </c>
      <c r="B4" s="3" t="n"/>
      <c r="C4" s="3" t="n"/>
    </row>
    <row r="5">
      <c r="A5" s="28" t="inlineStr">
        <is>
          <t>Extraction agent #7. Prepared 2026-10-06.</t>
        </is>
      </c>
      <c r="B5" s="3" t="n"/>
      <c r="C5" s="3" t="n"/>
    </row>
    <row r="6">
      <c r="A6" s="28" t="inlineStr">
        <is>
          <t>**Tiers and source keys**</t>
        </is>
      </c>
      <c r="B6" s="3" t="n"/>
      <c r="C6" s="3" t="n"/>
    </row>
    <row r="7">
      <c r="A7" s="28" t="inlineStr">
        <is>
          <t>- Every fact is tier **[D]**: printed in a filing and cited by source doc and Quartr page (`p.`). Items marked **[D-flag]** are printed but odd or inconsistent; the flag explains why.</t>
        </is>
      </c>
      <c r="B7" s="3" t="n"/>
      <c r="C7" s="3" t="n"/>
    </row>
    <row r="8">
      <c r="A8" s="28" t="inlineStr">
        <is>
          <t>- **10A** = Form 10/A, filed 2026-05-27 (Quartr 3603533). The information statement starts at p.256. Printed page = Quartr page − 261.</t>
        </is>
      </c>
      <c r="B8" s="3" t="n"/>
      <c r="C8" s="3" t="n"/>
    </row>
    <row r="9">
      <c r="A9" s="28" t="inlineStr">
        <is>
          <t>- **F10** = Form 10, filed 2026-05-07 (3603535). Its front sections sit 79 Quartr pages after the 10/A.</t>
        </is>
      </c>
      <c r="B9" s="3" t="n"/>
      <c r="C9" s="3" t="n"/>
    </row>
    <row r="10">
      <c r="A10" s="28" t="inlineStr">
        <is>
          <t>- **10Q** = 10-Q Q2-2026 (3699447).</t>
        </is>
      </c>
      <c r="B10" s="3" t="n"/>
      <c r="C10" s="3" t="n"/>
    </row>
    <row r="11">
      <c r="A11" s="28" t="inlineStr">
        <is>
          <t>- **INFO16/17/18** = IHS Markit 10-Ks: FY2016 (223426), FY2017 (223425), FY2018 (223424).</t>
        </is>
      </c>
      <c r="B11" s="3" t="n"/>
      <c r="C11" s="3" t="n"/>
    </row>
    <row r="12">
      <c r="A12" s="28" t="inlineStr">
        <is>
          <t>- **PRED** = `extraction/predecessor_NOTES.md`.</t>
        </is>
      </c>
      <c r="B12" s="3" t="n"/>
      <c r="C12" s="3" t="n"/>
    </row>
    <row r="13">
      <c r="A13" s="28" t="inlineStr">
        <is>
          <t>- Deal numbers are in `extraction/acquisitions.csv`, with flags in `extraction/acquisitions_NOTES.md`.</t>
        </is>
      </c>
      <c r="B13" s="3" t="n"/>
      <c r="C13" s="3" t="n"/>
    </row>
    <row r="14">
      <c r="A14" s="28" t="inlineStr">
        <is>
          <t>---</t>
        </is>
      </c>
      <c r="B14" s="3" t="n"/>
      <c r="C14" s="3" t="n"/>
    </row>
    <row r="15">
      <c r="A15" s="51" t="inlineStr">
        <is>
          <t>## 1. Business description by brand</t>
        </is>
      </c>
      <c r="B15" s="3" t="n"/>
      <c r="C15" s="3" t="n"/>
    </row>
    <row r="16">
      <c r="A16" s="28" t="inlineStr">
        <is>
          <t>**Group** [D]</t>
        </is>
      </c>
      <c r="B16" s="3" t="n"/>
      <c r="C16" s="3" t="n"/>
    </row>
    <row r="17">
      <c r="A17" s="28" t="inlineStr">
        <is>
          <t>- MBGL describes itself as an automotive data, solutions and insights provider. It reports two segments, CARFAX and B2B. B2B has two business lines: Marketing &amp; Sales and Strategy &amp; Planning (10A p.262, 340).</t>
        </is>
      </c>
      <c r="B17" s="3" t="n"/>
      <c r="C17" s="3" t="n"/>
    </row>
    <row r="18">
      <c r="A18" s="28" t="inlineStr">
        <is>
          <t>- **Scale at 12/31/25:**</t>
        </is>
      </c>
      <c r="B18" s="3" t="n"/>
      <c r="C18" s="3" t="n"/>
    </row>
    <row r="19">
      <c r="A19" s="28" t="inlineStr">
        <is>
          <t xml:space="preserve">  - more than 177,000 data sources;</t>
        </is>
      </c>
      <c r="B19" s="3" t="n"/>
      <c r="C19" s="3" t="n"/>
    </row>
    <row r="20">
      <c r="A20" s="28" t="inlineStr">
        <is>
          <t xml:space="preserve">  - more than 40,000 dealer customers;</t>
        </is>
      </c>
      <c r="B20" s="3" t="n"/>
      <c r="C20" s="3" t="n"/>
    </row>
    <row r="21">
      <c r="A21" s="28" t="inlineStr">
        <is>
          <t xml:space="preserve">  - customers include the top 40 global automakers, which cover 96% of global production;</t>
        </is>
      </c>
      <c r="B21" s="3" t="n"/>
      <c r="C21" s="3" t="n"/>
    </row>
    <row r="22">
      <c r="A22" s="28" t="inlineStr">
        <is>
          <t xml:space="preserve">  - more than 38bn vehicle history records;</t>
        </is>
      </c>
      <c r="B22" s="3" t="n"/>
      <c r="C22" s="3" t="n"/>
    </row>
    <row r="23">
      <c r="A23" s="28" t="inlineStr">
        <is>
          <t xml:space="preserve">  - more than 13bn transaction records;</t>
        </is>
      </c>
      <c r="B23" s="3" t="n"/>
      <c r="C23" s="3" t="n"/>
    </row>
    <row r="24">
      <c r="A24" s="28" t="inlineStr">
        <is>
          <t xml:space="preserve">  - about 832m unique VINs;</t>
        </is>
      </c>
      <c r="B24" s="3" t="n"/>
      <c r="C24" s="3" t="n"/>
    </row>
    <row r="25">
      <c r="A25" s="28" t="inlineStr">
        <is>
          <t xml:space="preserve">  - more than 2,000 attributes per vehicle;</t>
        </is>
      </c>
      <c r="B25" s="3" t="n"/>
      <c r="C25" s="3" t="n"/>
    </row>
    <row r="26">
      <c r="A26" s="28" t="inlineStr">
        <is>
          <t xml:space="preserve">  - more than 80m rows of actively updated data (10A p.262, 268).</t>
        </is>
      </c>
      <c r="B26" s="3" t="n"/>
      <c r="C26" s="3" t="n"/>
    </row>
    <row r="27">
      <c r="A27" s="28" t="inlineStr">
        <is>
          <t>- **Heritage:** Polk dates to 1870, giving "more than 100 years" of data stewardship and more than 30 years of ownership data (10A p.268).</t>
        </is>
      </c>
      <c r="B27" s="3" t="n"/>
      <c r="C27" s="3" t="n"/>
    </row>
    <row r="28">
      <c r="A28" s="28" t="inlineStr">
        <is>
          <t>- **Financials:** FY25 revenue $1.75bn (+8.5%) and net income $220m (+5.8%). Q1-26 revenue $455m (+8.1%) (10A p.262).</t>
        </is>
      </c>
      <c r="B28" s="3" t="n"/>
      <c r="C28" s="3" t="n"/>
    </row>
    <row r="29">
      <c r="A29" s="28" t="inlineStr">
        <is>
          <t>- **Market estimates:**</t>
        </is>
      </c>
      <c r="B29" s="3" t="n"/>
      <c r="C29" s="3" t="n"/>
    </row>
    <row r="30">
      <c r="A30" s="28" t="inlineStr">
        <is>
          <t xml:space="preserve">  - Management estimates the global auto market at about $8.0tn, split $3.2tn new light vehicles, $2.8tn used, $1.3tn maintenance and repair, and $0.7tn medium/heavy commercial vehicles (10A p.266).</t>
        </is>
      </c>
      <c r="B30" s="3" t="n"/>
      <c r="C30" s="3" t="n"/>
    </row>
    <row r="31">
      <c r="A31" s="28" t="inlineStr">
        <is>
          <t xml:space="preserve">  - A third party estimates TAM at $75–81bn, split $13–15bn core, $25–27bn extended core and $37–39bn adjacencies (10A p.266).</t>
        </is>
      </c>
      <c r="B31" s="3" t="n"/>
      <c r="C31" s="3" t="n"/>
    </row>
    <row r="32">
      <c r="A32" s="28" t="inlineStr">
        <is>
          <t>- **Revenue model:** primarily subscription. Subscription revenue was $1,426m (81%) in FY25, against $324m (19%) non-subscription (10A p.349).</t>
        </is>
      </c>
      <c r="B32" s="3" t="n"/>
      <c r="C32" s="3" t="n"/>
    </row>
    <row r="33">
      <c r="A33" s="28" t="inlineStr">
        <is>
          <t>**CARFAX (segment)** [D]</t>
        </is>
      </c>
      <c r="B33" s="3" t="n"/>
      <c r="C33" s="3" t="n"/>
    </row>
    <row r="34">
      <c r="A34" s="28" t="inlineStr">
        <is>
          <t>- **Awareness:** 96% in-market awareness, 85% mascot recognition and 50% unaided awareness, per a survey (10A p.263, 268).</t>
        </is>
      </c>
      <c r="B34" s="3" t="n"/>
      <c r="C34" s="3" t="n"/>
    </row>
    <row r="35">
      <c r="A35" s="28" t="inlineStr">
        <is>
          <t>- **Data sources:** more than 38bn records from more than 177,000 sources, including more than 92,000 dealers and service shops, 6,300 police agencies and 36 OEMs (36 OEM CPO programs) (10A p.263, 270). About 6m records are added per day (10A p.270).</t>
        </is>
      </c>
      <c r="B35" s="3" t="n"/>
      <c r="C35" s="3" t="n"/>
    </row>
    <row r="36">
      <c r="A36" s="28" t="inlineStr">
        <is>
          <t>- **Audience:** more than 53m Car Care consumers; about 23m monthly average unique visitors (U.S.); more than 28m monthly average VHR views (10A p.263).</t>
        </is>
      </c>
      <c r="B36" s="3" t="n"/>
      <c r="C36" s="3" t="n"/>
    </row>
    <row r="37">
      <c r="A37" s="28" t="inlineStr">
        <is>
          <t>- **Products:** Advantage (vehicle history reports), Car Listings (launched 2014), CARFAX For Life (launched 2019), and BIG (Banking &amp; Insurance Group, serving lenders and insurers). New products are Premium Listings and Sell My Car. CARFAX uses a B2B2C model (10A p.263, 271).</t>
        </is>
      </c>
      <c r="B37" s="3" t="n"/>
      <c r="C37" s="3" t="n"/>
    </row>
    <row r="38">
      <c r="A38" s="28" t="inlineStr">
        <is>
          <t>- **Revenue drivers:** enrolled dealer locations × price per location, plus BIG customers × price (10A p.340).</t>
        </is>
      </c>
      <c r="B38" s="3" t="n"/>
      <c r="C38" s="3" t="n"/>
    </row>
    <row r="39">
      <c r="A39" s="28" t="inlineStr">
        <is>
          <t>- **Geography:**</t>
        </is>
      </c>
      <c r="B39" s="3" t="n"/>
      <c r="C39" s="3" t="n"/>
    </row>
    <row r="40">
      <c r="A40" s="28" t="inlineStr">
        <is>
          <t xml:space="preserve">  - The U.S. and Canada are established markets.</t>
        </is>
      </c>
      <c r="B40" s="3" t="n"/>
      <c r="C40" s="3" t="n"/>
    </row>
    <row r="41">
      <c r="A41" s="28" t="inlineStr">
        <is>
          <t xml:space="preserve">  - In Europe, CARFAX has launched in Spain and Italy with a consumer-first strategy; it also names Poland. Germany and France are targeted (10A p.264, 271, 380).</t>
        </is>
      </c>
      <c r="B41" s="3" t="n"/>
      <c r="C41" s="3" t="n"/>
    </row>
    <row r="42">
      <c r="A42" s="28" t="inlineStr">
        <is>
          <t>- **Investment:** CARFAX holds about 35% of New General Company (NGC) (10A p.264).</t>
        </is>
      </c>
      <c r="B42" s="3" t="n"/>
      <c r="C42" s="3" t="n"/>
    </row>
    <row r="43">
      <c r="A43" s="28" t="inlineStr">
        <is>
          <t>- **Advertising expense:** $176m in FY25, $152m in FY24 and $134m in FY23 (10A p.450).</t>
        </is>
      </c>
      <c r="B43" s="3" t="n"/>
      <c r="C43" s="3" t="n"/>
    </row>
    <row r="44">
      <c r="A44" s="28" t="inlineStr">
        <is>
          <t>**automotiveMastermind** (B2B, Marketing &amp; Sales) [D]</t>
        </is>
      </c>
      <c r="B44" s="3" t="n"/>
      <c r="C44" s="3" t="n"/>
    </row>
    <row r="45">
      <c r="A45" s="28" t="inlineStr">
        <is>
          <t>- A dealer and OEM sales and marketing platform built on proprietary Behavior Prediction Scores (BPS), integrating CRM and DMS data. It includes Enterprise EyeQ (EEQ), a private-offer incentive tool launched in 2021 (10A p.264, 271).</t>
        </is>
      </c>
      <c r="B45" s="3" t="n"/>
      <c r="C45" s="3" t="n"/>
    </row>
    <row r="46">
      <c r="A46" s="28" t="inlineStr">
        <is>
          <t>- Acquired by IHS Markit on 2017-09-25 (78% for about $432–433m; the remaining 22% was treated as compensation) (INFO17 p.62; INFO18 p.64).</t>
        </is>
      </c>
      <c r="B46" s="3" t="n"/>
      <c r="C46" s="3" t="n"/>
    </row>
    <row r="47">
      <c r="A47" s="28" t="inlineStr">
        <is>
          <t>**Polk Automotive Solutions / Polk Auto Marketing Solutions** (B2B, Marketing &amp; Sales) [D]</t>
        </is>
      </c>
      <c r="B47" s="3" t="n"/>
      <c r="C47" s="3" t="n"/>
    </row>
    <row r="48">
      <c r="A48" s="28" t="inlineStr">
        <is>
          <t>- Provides KPIs (market share, volume, loyalty, defection), audiences and closed-loop measurement, built on billions of transaction records (10A p.264).</t>
        </is>
      </c>
      <c r="B48" s="3" t="n"/>
      <c r="C48" s="3" t="n"/>
    </row>
    <row r="49">
      <c r="A49" s="28" t="inlineStr">
        <is>
          <t>- Related offerings:</t>
        </is>
      </c>
      <c r="B49" s="3" t="n"/>
      <c r="C49" s="3" t="n"/>
    </row>
    <row r="50">
      <c r="A50" s="28" t="inlineStr">
        <is>
          <t xml:space="preserve">  - **Recall:** a daily VIN database of more than 13bn owner records (10A p.265).</t>
        </is>
      </c>
      <c r="B50" s="3" t="n"/>
      <c r="C50" s="3" t="n"/>
    </row>
    <row r="51">
      <c r="A51" s="28" t="inlineStr">
        <is>
          <t xml:space="preserve">  - **VIN Solutions:** real-time APIs serving DMVs, parts retailers, insurers and tolling agencies (10A p.265).</t>
        </is>
      </c>
      <c r="B51" s="3" t="n"/>
      <c r="C51" s="3" t="n"/>
    </row>
    <row r="52">
      <c r="A52" s="28" t="inlineStr">
        <is>
          <t>- **Naming drift [D-flag]:** the filings use "Polk Auto Marketing Solutions" (p.264), "Polk Auto Solutions" (p.267, 341) and "Polk Automotive Solutions" (p.268).</t>
        </is>
      </c>
      <c r="B52" s="3" t="n"/>
      <c r="C52" s="3" t="n"/>
    </row>
    <row r="53">
      <c r="A53" s="28" t="inlineStr">
        <is>
          <t>**Market Scan** (B2B, Marketing &amp; Sales) [D]</t>
        </is>
      </c>
      <c r="B53" s="3" t="n"/>
      <c r="C53" s="3" t="n"/>
    </row>
    <row r="54">
      <c r="A54" s="28" t="inlineStr">
        <is>
          <t>- Real-time pricing and payments engine delivered via APIs and dealer software, including Automotive Payments as a Service (APaaS). About 10,500 dealerships used it at 12/31/25 (10A p.264, 381).</t>
        </is>
      </c>
      <c r="B54" s="3" t="n"/>
      <c r="C54" s="3" t="n"/>
    </row>
    <row r="55">
      <c r="A55" s="28" t="inlineStr">
        <is>
          <t>- Acquired 2023-02-16 for $223m (10A p.452).</t>
        </is>
      </c>
      <c r="B55" s="3" t="n"/>
      <c r="C55" s="3" t="n"/>
    </row>
    <row r="56">
      <c r="A56" s="28" t="inlineStr">
        <is>
          <t>**Data Studio** (B2B, Marketing &amp; Sales) [D]</t>
        </is>
      </c>
      <c r="B56" s="3" t="n"/>
      <c r="C56" s="3" t="n"/>
    </row>
    <row r="57">
      <c r="A57" s="28" t="inlineStr">
        <is>
          <t>- A clean-room platform for OEM and dealer first-party data. Early deployments showed 98% participation (10A p.264–265).</t>
        </is>
      </c>
      <c r="B57" s="3" t="n"/>
      <c r="C57" s="3" t="n"/>
    </row>
    <row r="58">
      <c r="A58" s="28" t="inlineStr">
        <is>
          <t>**Strategy &amp; Planning** (B2B) [D]</t>
        </is>
      </c>
      <c r="B58" s="3" t="n"/>
      <c r="C58" s="3" t="n"/>
    </row>
    <row r="59">
      <c r="A59" s="28" t="inlineStr">
        <is>
          <t>- **Penetration:** serves 100% of the top 40 carmakers, 94% of the top 100 suppliers (98% of the top 40) and 100% of the top 10 investment banks (10A p.265, 268).</t>
        </is>
      </c>
      <c r="B59" s="3" t="n"/>
      <c r="C59" s="3" t="n"/>
    </row>
    <row r="60">
      <c r="A60" s="28" t="inlineStr">
        <is>
          <t>- **Vehicle &amp; Supply Chain Forecasting:**</t>
        </is>
      </c>
      <c r="B60" s="3" t="n"/>
      <c r="C60" s="3" t="n"/>
    </row>
    <row r="61">
      <c r="A61" s="28" t="inlineStr">
        <is>
          <t xml:space="preserve">  - 195-person analyst team;</t>
        </is>
      </c>
      <c r="B61" s="3" t="n"/>
      <c r="C61" s="3" t="n"/>
    </row>
    <row r="62">
      <c r="A62" s="28" t="inlineStr">
        <is>
          <t xml:space="preserve">  - more than 145 country markets;</t>
        </is>
      </c>
      <c r="B62" s="3" t="n"/>
      <c r="C62" s="3" t="n"/>
    </row>
    <row r="63">
      <c r="A63" s="28" t="inlineStr">
        <is>
          <t xml:space="preserve">  - more than 85,000 vehicle variants;</t>
        </is>
      </c>
      <c r="B63" s="3" t="n"/>
      <c r="C63" s="3" t="n"/>
    </row>
    <row r="64">
      <c r="A64" s="28" t="inlineStr">
        <is>
          <t xml:space="preserve">  - about 990 production plants;</t>
        </is>
      </c>
      <c r="B64" s="3" t="n"/>
      <c r="C64" s="3" t="n"/>
    </row>
    <row r="65">
      <c r="A65" s="28" t="inlineStr">
        <is>
          <t xml:space="preserve">  - more than 2,900 supplier plant locations;</t>
        </is>
      </c>
      <c r="B65" s="3" t="n"/>
      <c r="C65" s="3" t="n"/>
    </row>
    <row r="66">
      <c r="A66" s="28" t="inlineStr">
        <is>
          <t xml:space="preserve">  - more than 680 technologies;</t>
        </is>
      </c>
      <c r="B66" s="3" t="n"/>
      <c r="C66" s="3" t="n"/>
    </row>
    <row r="67">
      <c r="A67" s="28" t="inlineStr">
        <is>
          <t xml:space="preserve">  - more than 4,400 suppliers (10A p.265).</t>
        </is>
      </c>
      <c r="B67" s="3" t="n"/>
      <c r="C67" s="3" t="n"/>
    </row>
    <row r="68">
      <c r="A68" s="28" t="inlineStr">
        <is>
          <t>- **Other products:** Global Reporting (100 countries), FAST (scenario tool) and PIQ (procurement; covers 60% of vehicle value) (10A p.265–266).</t>
        </is>
      </c>
      <c r="B68" s="3" t="n"/>
      <c r="C68" s="3" t="n"/>
    </row>
    <row r="69">
      <c r="A69" s="28" t="inlineStr">
        <is>
          <t>- **Investment:** about 25% stake in Digital Automotive (DA, Germany), with a right of first refusal on the remaining 75% (10A p.266).</t>
        </is>
      </c>
      <c r="B69" s="3" t="n"/>
      <c r="C69" s="3" t="n"/>
    </row>
    <row r="70">
      <c r="A70" s="28" t="inlineStr">
        <is>
          <t>**Divested** [D]</t>
        </is>
      </c>
      <c r="B70" s="3" t="n"/>
      <c r="C70" s="3" t="n"/>
    </row>
    <row r="71">
      <c r="A71" s="28" t="inlineStr">
        <is>
          <t>- Catalyst for Aftersales, described as "our focused automotive aftersales business", was sold in August 2023. The loss was under $1m and it reduced FY24 revenue growth by $5m (10A p.350, 447, 453).</t>
        </is>
      </c>
      <c r="B71" s="3" t="n"/>
      <c r="C71" s="3" t="n"/>
    </row>
    <row r="72">
      <c r="A72" s="51" t="inlineStr">
        <is>
          <t>## 2. Customer concentration [D]</t>
        </is>
      </c>
      <c r="B72" s="3" t="n"/>
      <c r="C72" s="3" t="n"/>
    </row>
    <row r="73">
      <c r="A73" s="28" t="inlineStr">
        <is>
          <t>- **By customer group:** "As of December 31, 2025," about **60%** of revenue came from dealerships and **10%** from OEMs (10A p.299; identical in F10 p.378).</t>
        </is>
      </c>
      <c r="B73" s="3" t="n"/>
      <c r="C73" s="3" t="n"/>
    </row>
    <row r="74">
      <c r="A74" s="28" t="inlineStr">
        <is>
          <t xml:space="preserve">  - **[D-flag]** The filing states a revenue share "as of" a balance-sheet date.</t>
        </is>
      </c>
      <c r="B74" s="3" t="n"/>
      <c r="C74" s="3" t="n"/>
    </row>
    <row r="75">
      <c r="A75" s="28" t="inlineStr">
        <is>
          <t>- **By customer:** no single customer was 10% or more of gross A/R at 12/31/25 or 12/31/24, and none exceeded 10% of revenue in FY25, FY24 or FY23 (10A p.448).</t>
        </is>
      </c>
      <c r="B75" s="3" t="n"/>
      <c r="C75" s="3" t="n"/>
    </row>
    <row r="76">
      <c r="A76" s="28" t="inlineStr">
        <is>
          <t>- **Contract terms:** dealer and OEM contracts carry no obligation beyond the initial term (10A p.299).</t>
        </is>
      </c>
      <c r="B76" s="3" t="n"/>
      <c r="C76" s="3" t="n"/>
    </row>
    <row r="77">
      <c r="A77" s="28" t="inlineStr">
        <is>
          <t>- **Financial institutions:** 17 of the top 20 banks and insurers use MBGL data (10A p.272).</t>
        </is>
      </c>
      <c r="B77" s="3" t="n"/>
      <c r="C77" s="3" t="n"/>
    </row>
    <row r="78">
      <c r="A78" s="28" t="inlineStr">
        <is>
          <t>- **Multi-year billing:** generally invoiced annually in advance (10A p.447).</t>
        </is>
      </c>
      <c r="B78" s="3" t="n"/>
      <c r="C78" s="3" t="n"/>
    </row>
    <row r="79">
      <c r="A79" s="28" t="inlineStr">
        <is>
          <t>- **Remaining performance obligations (RPO):** $78m at 12/31/25 (10A p.447) and $102m at 6/30/26 (10Q p.10).</t>
        </is>
      </c>
      <c r="B79" s="3" t="n"/>
      <c r="C79" s="3" t="n"/>
    </row>
    <row r="80">
      <c r="A80" s="51" t="inlineStr">
        <is>
          <t>## 3. Geography [D]</t>
        </is>
      </c>
      <c r="B80" s="3" t="n"/>
      <c r="C80" s="3" t="n"/>
    </row>
    <row r="81">
      <c r="A81" s="28" t="inlineStr">
        <is>
          <t>| Period | U.S. $m | Intl $m | U.S. % | Intl % | Source |</t>
        </is>
      </c>
      <c r="B81" s="3" t="n"/>
      <c r="C81" s="3" t="n"/>
    </row>
    <row r="82">
      <c r="A82" s="28" t="inlineStr">
        <is>
          <t>|---|---|---|---|---|---|</t>
        </is>
      </c>
      <c r="B82" s="3" t="n"/>
      <c r="C82" s="3" t="n"/>
    </row>
    <row r="83">
      <c r="A83" s="28" t="inlineStr">
        <is>
          <t>| FY2023 | 1,224 | 261 | 82% | 18% | 10A p.349 |</t>
        </is>
      </c>
      <c r="B83" s="3" t="n"/>
      <c r="C83" s="3" t="n"/>
    </row>
    <row r="84">
      <c r="A84" s="28" t="inlineStr">
        <is>
          <t>| FY2024 | 1,329 | 284 | 82% | 18% | 10A p.349 |</t>
        </is>
      </c>
      <c r="B84" s="3" t="n"/>
      <c r="C84" s="3" t="n"/>
    </row>
    <row r="85">
      <c r="A85" s="28" t="inlineStr">
        <is>
          <t>| FY2025 | 1,454 | 296 | 83% | 17% | 10A p.349 |</t>
        </is>
      </c>
      <c r="B85" s="3" t="n"/>
      <c r="C85" s="3" t="n"/>
    </row>
    <row r="86">
      <c r="A86" s="28" t="inlineStr">
        <is>
          <t>| Q1-2026 | 376 | 79 | 83% | 17% | 10A p.346 |</t>
        </is>
      </c>
      <c r="B86" s="3" t="n"/>
      <c r="C86" s="3" t="n"/>
    </row>
    <row r="87">
      <c r="A87" s="28" t="inlineStr">
        <is>
          <t>| Q2-2026 | 389 | 79 | — | — | 10Q p.15 |</t>
        </is>
      </c>
      <c r="B87" s="3" t="n"/>
      <c r="C87" s="3" t="n"/>
    </row>
    <row r="88">
      <c r="A88" s="28" t="inlineStr">
        <is>
          <t>| 6M-2026 | 765 | 158 | — | — | 10Q p.15 |</t>
        </is>
      </c>
      <c r="B88" s="3" t="n"/>
      <c r="C88" s="3" t="n"/>
    </row>
    <row r="89">
      <c r="A89" s="28" t="inlineStr">
        <is>
          <t>- **B2B mix:** B2B is 79% U.S. and 21% international (Q2-26 and 6M-26) (10Q p.29).</t>
        </is>
      </c>
      <c r="B89" s="3" t="n"/>
      <c r="C89" s="3" t="n"/>
    </row>
    <row r="90">
      <c r="A90" s="28" t="inlineStr">
        <is>
          <t>- **Pre-tax income:** domestic $276m vs foreign $50m in FY25 (FY24: 225 vs 59; FY23: 184 vs 40) (10A p.455).</t>
        </is>
      </c>
      <c r="B90" s="3" t="n"/>
      <c r="C90" s="3" t="n"/>
    </row>
    <row r="91">
      <c r="A91" s="28" t="inlineStr">
        <is>
          <t>- **Footprint:** regions are North America, EMEA and APAC (10A p.262).</t>
        </is>
      </c>
      <c r="B91" s="3" t="n"/>
      <c r="C91" s="3" t="n"/>
    </row>
    <row r="92">
      <c r="A92" s="28" t="inlineStr">
        <is>
          <t>- **FX exposure:** the main exposures are CAD, EUR and GBP, with no hedges historically (10A p.365). A USD/CAD forward was entered on 2026-07-01, running to 9/30/26, against the Canada Carfax Loan (10Q p.31).</t>
        </is>
      </c>
      <c r="B92" s="3" t="n"/>
      <c r="C92" s="3" t="n"/>
    </row>
    <row r="93">
      <c r="A93" s="28" t="inlineStr">
        <is>
          <t>- **Subsidiaries:** Exhibit 21 lists 39 subsidiaries across the U.S., Canada, Germany, Spain, Italy, the Netherlands, Poland, Sweden, the UK, Ireland, France, Australia, Malaysia, India, China, Japan and Mexico (10A p.255).</t>
        </is>
      </c>
      <c r="B93" s="3" t="n"/>
      <c r="C93" s="3" t="n"/>
    </row>
    <row r="94">
      <c r="A94" s="51" t="inlineStr">
        <is>
          <t>## 4. Data sources and supply dependencies [D]</t>
        </is>
      </c>
      <c r="B94" s="3" t="n"/>
      <c r="C94" s="3" t="n"/>
    </row>
    <row r="95">
      <c r="A95" s="28" t="inlineStr">
        <is>
          <t>**Contributors**</t>
        </is>
      </c>
      <c r="B95" s="3" t="n"/>
      <c r="C95" s="3" t="n"/>
    </row>
    <row r="96">
      <c r="A96" s="28" t="inlineStr">
        <is>
          <t>- CARFAX draws on dealers, service shops, police agencies, OEM CPO programs and governments. The relationships are reciprocal "give-get" arrangements, often exclusive (10A p.263, 381).</t>
        </is>
      </c>
      <c r="B96" s="3" t="n"/>
      <c r="C96" s="3" t="n"/>
    </row>
    <row r="97">
      <c r="A97" s="28" t="inlineStr">
        <is>
          <t>- Commercial third-party data is "often under exclusive rights" (10A p.381).</t>
        </is>
      </c>
      <c r="B97" s="3" t="n"/>
      <c r="C97" s="3" t="n"/>
    </row>
    <row r="98">
      <c r="A98" s="28" t="inlineStr">
        <is>
          <t>- **DMVs:**</t>
        </is>
      </c>
      <c r="B98" s="3" t="n"/>
      <c r="C98" s="3" t="n"/>
    </row>
    <row r="99">
      <c r="A99" s="28" t="inlineStr">
        <is>
          <t xml:space="preserve">  - State DMVs are named as data suppliers; access is governed by the DPPA, "in place for over three decades" (10A p.343).</t>
        </is>
      </c>
      <c r="B99" s="3" t="n"/>
      <c r="C99" s="3" t="n"/>
    </row>
    <row r="100">
      <c r="A100" s="28" t="inlineStr">
        <is>
          <t xml:space="preserve">  - DMV public data is described as a high barrier to entry because of its cost (10A p.381–382).</t>
        </is>
      </c>
      <c r="B100" s="3" t="n"/>
      <c r="C100" s="3" t="n"/>
    </row>
    <row r="101">
      <c r="A101" s="28" t="inlineStr">
        <is>
          <t xml:space="preserve">  - DMVs are also VIN Solutions *customers* (10A p.265).</t>
        </is>
      </c>
      <c r="B101" s="3" t="n"/>
      <c r="C101" s="3" t="n"/>
    </row>
    <row r="102">
      <c r="A102" s="28" t="inlineStr">
        <is>
          <t>- **Marketing &amp; Sales inputs:** consumer credit, OEM, dealer and lending transactions, inventory, pricing and incentives, and demographics (10A p.296).</t>
        </is>
      </c>
      <c r="B102" s="3" t="n"/>
      <c r="C102" s="3" t="n"/>
    </row>
    <row r="103">
      <c r="A103" s="28" t="inlineStr">
        <is>
          <t>- **Strategy &amp; Planning inputs:** reciprocal relationships with OEMs, suppliers and financial institutions (10A p.296).</t>
        </is>
      </c>
      <c r="B103" s="3" t="n"/>
      <c r="C103" s="3" t="n"/>
    </row>
    <row r="104">
      <c r="A104" s="28" t="inlineStr">
        <is>
          <t>- **OEMs:** 36 OEMs contribute to CARFAX, and OEM co-op funds support the Lifetime Dealer program (10A p.263, 380).</t>
        </is>
      </c>
      <c r="B104" s="3" t="n"/>
      <c r="C104" s="3" t="n"/>
    </row>
    <row r="105">
      <c r="A105" s="28" t="inlineStr">
        <is>
          <t>**Supplier risk (as disclosed)**</t>
        </is>
      </c>
      <c r="B105" s="3" t="n"/>
      <c r="C105" s="3" t="n"/>
    </row>
    <row r="106">
      <c r="A106" s="28" t="inlineStr">
        <is>
          <t>- Data supplier consolidation has reduced the number of partners and raised fees. Some suppliers can cancel on short notice, and some are competitors (10A p.304).</t>
        </is>
      </c>
      <c r="B106" s="3" t="n"/>
      <c r="C106" s="3" t="n"/>
    </row>
    <row r="107">
      <c r="A107" s="28" t="inlineStr">
        <is>
          <t>- Data access costs "have increased and may continue to increase" (10A p.302).</t>
        </is>
      </c>
      <c r="B107" s="3" t="n"/>
      <c r="C107" s="3" t="n"/>
    </row>
    <row r="108">
      <c r="A108" s="28" t="inlineStr">
        <is>
          <t>**Infrastructure**</t>
        </is>
      </c>
      <c r="B108" s="3" t="n"/>
      <c r="C108" s="3" t="n"/>
    </row>
    <row r="109">
      <c r="A109" s="28" t="inlineStr">
        <is>
          <t>- A "significant amount" of computing runs on a third-party cloud provider, which is not named (10A p.305).</t>
        </is>
      </c>
      <c r="B109" s="3" t="n"/>
      <c r="C109" s="3" t="n"/>
    </row>
    <row r="110">
      <c r="A110" s="28" t="inlineStr">
        <is>
          <t>- The business relies on third-party AI model providers (10A p.297).</t>
        </is>
      </c>
      <c r="B110" s="3" t="n"/>
      <c r="C110" s="3" t="n"/>
    </row>
    <row r="111">
      <c r="A111" s="28" t="inlineStr">
        <is>
          <t>**S&amp;P Global data licences after the spin**</t>
        </is>
      </c>
      <c r="B111" s="3" t="n"/>
      <c r="C111" s="3" t="n"/>
    </row>
    <row r="112">
      <c r="A112" s="28" t="inlineStr">
        <is>
          <t>- **Planned terms (10/A):** commercial agreements give mutual **non-exclusive** rights to each party's data products, for internal use and derived-data creation. Terms are multiyear and arm's-length, and the company calls them "not material to us" (10A p.328).</t>
        </is>
      </c>
      <c r="B112" s="3" t="n"/>
      <c r="C112" s="3" t="n"/>
    </row>
    <row r="113">
      <c r="A113" s="28" t="inlineStr">
        <is>
          <t>- **Status at 10-Q:** the agreements were entered into, per the 10-Q, which names "other commercial arrangements" (10Q p.18).</t>
        </is>
      </c>
      <c r="B113" s="3" t="n"/>
      <c r="C113" s="3" t="n"/>
    </row>
    <row r="114">
      <c r="A114" s="28" t="inlineStr">
        <is>
          <t>- **Historical data sharing:** related-party data-sharing revenue was $1m in Q2-26 and $2m in 6M-26 (10Q p.16).</t>
        </is>
      </c>
      <c r="B114" s="3" t="n"/>
      <c r="C114" s="3" t="n"/>
    </row>
    <row r="115">
      <c r="A115" s="51" t="inlineStr">
        <is>
          <t>## 5. Competition (as named) [D]</t>
        </is>
      </c>
      <c r="B115" s="3" t="n"/>
      <c r="C115" s="3" t="n"/>
    </row>
    <row r="116">
      <c r="A116" s="28" t="inlineStr">
        <is>
          <t>- Competitors are named only in Business (10A p.382):</t>
        </is>
      </c>
      <c r="B116" s="3" t="n"/>
      <c r="C116" s="3" t="n"/>
    </row>
    <row r="117">
      <c r="A117" s="28" t="inlineStr">
        <is>
          <t xml:space="preserve">  - (i) automotive data and analytics: **J.D. Power, Cox Automotive**;</t>
        </is>
      </c>
      <c r="B117" s="3" t="n"/>
      <c r="C117" s="3" t="n"/>
    </row>
    <row r="118">
      <c r="A118" s="28" t="inlineStr">
        <is>
          <t xml:space="preserve">  - (ii) data and information providers: **Experian, Global Data**;</t>
        </is>
      </c>
      <c r="B118" s="3" t="n"/>
      <c r="C118" s="3" t="n"/>
    </row>
    <row r="119">
      <c r="A119" s="28" t="inlineStr">
        <is>
          <t xml:space="preserve">  - (iii) BI and consulting firms (unnamed);</t>
        </is>
      </c>
      <c r="B119" s="3" t="n"/>
      <c r="C119" s="3" t="n"/>
    </row>
    <row r="120">
      <c r="A120" s="28" t="inlineStr">
        <is>
          <t xml:space="preserve">  - (iv) niche players (unnamed).</t>
        </is>
      </c>
      <c r="B120" s="3" t="n"/>
      <c r="C120" s="3" t="n"/>
    </row>
    <row r="121">
      <c r="A121" s="28" t="inlineStr">
        <is>
          <t>- The risk factors name no competitors (10A p.301).</t>
        </is>
      </c>
      <c r="B121" s="3" t="n"/>
      <c r="C121" s="3" t="n"/>
    </row>
    <row r="122">
      <c r="A122" s="28" t="inlineStr">
        <is>
          <t>- Chinese OEM expansion is flagged as making deeper penetration of "certain OEMs" harder, given MBGL's U.S. base (10A p.343).</t>
        </is>
      </c>
      <c r="B122" s="3" t="n"/>
      <c r="C122" s="3" t="n"/>
    </row>
    <row r="123">
      <c r="A123" s="28" t="inlineStr">
        <is>
          <t>- Search engines and AI are cited as competitive risks to traffic (10A p.297, 299).</t>
        </is>
      </c>
      <c r="B123" s="3" t="n"/>
      <c r="C123" s="3" t="n"/>
    </row>
    <row r="124">
      <c r="A124" s="51" t="inlineStr">
        <is>
          <t>## 6. Legal proceedings and regulation [D]</t>
        </is>
      </c>
      <c r="B124" s="3" t="n"/>
      <c r="C124" s="3" t="n"/>
    </row>
    <row r="125">
      <c r="A125" s="28" t="inlineStr">
        <is>
          <t>- **10/A:** the company is not currently party to any material legal proceedings (10A p.385).</t>
        </is>
      </c>
      <c r="B125" s="3" t="n"/>
      <c r="C125" s="3" t="n"/>
    </row>
    <row r="126">
      <c r="A126" s="28" t="inlineStr">
        <is>
          <t>- **10-Q:** pending ordinary-course proceedings are "not expected to have a material adverse effect" (10Q p.16, 32).</t>
        </is>
      </c>
      <c r="B126" s="3" t="n"/>
      <c r="C126" s="3" t="n"/>
    </row>
    <row r="127">
      <c r="A127" s="28" t="inlineStr">
        <is>
          <t>- **Legal settlement recovery:** $3m in FY25, in B2B, with no matter named (10A p.350).</t>
        </is>
      </c>
      <c r="B127" s="3" t="n"/>
      <c r="C127" s="3" t="n"/>
    </row>
    <row r="128">
      <c r="A128" s="28" t="inlineStr">
        <is>
          <t>- **Tax audits:** U.S. federal audits for 2018–2024 are in process. The company is generally closed for years before 2016 (10A p.458).</t>
        </is>
      </c>
      <c r="B128" s="3" t="n"/>
      <c r="C128" s="3" t="n"/>
    </row>
    <row r="129">
      <c r="A129" s="28" t="inlineStr">
        <is>
          <t>- **Regulation cited:**</t>
        </is>
      </c>
      <c r="B129" s="3" t="n"/>
      <c r="C129" s="3" t="n"/>
    </row>
    <row r="130">
      <c r="A130" s="28" t="inlineStr">
        <is>
          <t xml:space="preserve">  - FTC CARS Rule (Dec-2023), TCPA, DPPA ($2,500 per individual liquidated damages) and GLBA;</t>
        </is>
      </c>
      <c r="B130" s="3" t="n"/>
      <c r="C130" s="3" t="n"/>
    </row>
    <row r="131">
      <c r="A131" s="28" t="inlineStr">
        <is>
          <t xml:space="preserve">  - GDPR and UK GDPR, Quebec Law 25, Bill C-27, PRC laws;</t>
        </is>
      </c>
      <c r="B131" s="3" t="n"/>
      <c r="C131" s="3" t="n"/>
    </row>
    <row r="132">
      <c r="A132" s="28" t="inlineStr">
        <is>
          <t xml:space="preserve">  - CCPA and the California CARS Act; Virginia, Colorado, Utah and Connecticut privacy laws; EU DORA; OFAC (10A p.312–314, 383–384).</t>
        </is>
      </c>
      <c r="B132" s="3" t="n"/>
      <c r="C132" s="3" t="n"/>
    </row>
    <row r="133">
      <c r="A133" s="51" t="inlineStr">
        <is>
          <t>## 7. Employees [D]</t>
        </is>
      </c>
      <c r="B133" s="3" t="n"/>
      <c r="C133" s="3" t="n"/>
    </row>
    <row r="134">
      <c r="A134" s="28" t="inlineStr">
        <is>
          <t>- More than 3,400 FTEs at 12/31/25 (10A p.268).</t>
        </is>
      </c>
      <c r="B134" s="3" t="n"/>
      <c r="C134" s="3" t="n"/>
    </row>
    <row r="135">
      <c r="A135" s="28" t="inlineStr">
        <is>
          <t>- About **3,522** FTE (full- and part-time) at 3/31/26: Asia ~616, U.S. and Canada 2,398, Europe 445, Latin America 63, which sums to 3,522 (10A p.384).</t>
        </is>
      </c>
      <c r="B135" s="3" t="n"/>
      <c r="C135" s="3" t="n"/>
    </row>
    <row r="136">
      <c r="A136" s="28" t="inlineStr">
        <is>
          <t>- 401(k) expense was $22m in FY25, $20m in FY24 and $18m in FY23 (10A p.458).</t>
        </is>
      </c>
      <c r="B136" s="3" t="n"/>
      <c r="C136" s="3" t="n"/>
    </row>
    <row r="137">
      <c r="A137" s="51" t="inlineStr">
        <is>
          <t>## 8. Properties [D]</t>
        </is>
      </c>
      <c r="B137" s="3" t="n"/>
      <c r="C137" s="3" t="n"/>
    </row>
    <row r="138">
      <c r="A138" s="28" t="inlineStr">
        <is>
          <t>- Headquarters are leased at 5860 Trinity Parkway, Suite 600, Centreville, VA (10A p.274, 385).</t>
        </is>
      </c>
      <c r="B138" s="3" t="n"/>
      <c r="C138" s="3" t="n"/>
    </row>
    <row r="139">
      <c r="A139" s="28" t="inlineStr">
        <is>
          <t>- **[D-flag]** The text reads "We lease office facilities at locations, of which 6 are in the U.S." The total count is missing in the Quartr text (10A p.385).</t>
        </is>
      </c>
      <c r="B139" s="3" t="n"/>
      <c r="C139" s="3" t="n"/>
    </row>
    <row r="140">
      <c r="A140" s="28" t="inlineStr">
        <is>
          <t>- **Leases:**</t>
        </is>
      </c>
      <c r="B140" s="3" t="n"/>
      <c r="C140" s="3" t="n"/>
    </row>
    <row r="141">
      <c r="A141" s="28" t="inlineStr">
        <is>
          <t xml:space="preserve">  - Remaining lease terms run 1–12 years (10A p.449).</t>
        </is>
      </c>
      <c r="B141" s="3" t="n"/>
      <c r="C141" s="3" t="n"/>
    </row>
    <row r="142">
      <c r="A142" s="28" t="inlineStr">
        <is>
          <t xml:space="preserve">  - Operating lease commitments are $19m and purchase obligations $90m at 12/31/25 (10A p.365).</t>
        </is>
      </c>
      <c r="B142" s="3" t="n"/>
      <c r="C142" s="3" t="n"/>
    </row>
    <row r="143">
      <c r="A143" s="28" t="inlineStr">
        <is>
          <t xml:space="preserve">  - Pro forma new corporate leases add $54m of right-of-use assets and $9m/yr of incremental rent (10A p.339).</t>
        </is>
      </c>
      <c r="B143" s="3" t="n"/>
      <c r="C143" s="3" t="n"/>
    </row>
    <row r="144">
      <c r="A144" s="28" t="inlineStr">
        <is>
          <t xml:space="preserve">  - Leases not yet commenced total $64m (2026–2037) (10Q p.16).</t>
        </is>
      </c>
      <c r="B144" s="3" t="n"/>
      <c r="C144" s="3" t="n"/>
    </row>
    <row r="145">
      <c r="A145" s="51" t="inlineStr">
        <is>
          <t>## 9. Separation mechanics [D]</t>
        </is>
      </c>
      <c r="B145" s="3" t="n"/>
      <c r="C145" s="3" t="n"/>
    </row>
    <row r="146">
      <c r="A146" s="28" t="inlineStr">
        <is>
          <t>| Item | Fact | Source |</t>
        </is>
      </c>
      <c r="B146" s="3" t="n"/>
      <c r="C146" s="3" t="n"/>
    </row>
    <row r="147">
      <c r="A147" s="28" t="inlineStr">
        <is>
          <t>|---|---|---|</t>
        </is>
      </c>
      <c r="B147" s="3" t="n"/>
      <c r="C147" s="3" t="n"/>
    </row>
    <row r="148">
      <c r="A148" s="28" t="inlineStr">
        <is>
          <t>| Announcement | S&amp;P Global announced on 2025-04-29 | 10A p.272; PRED |</t>
        </is>
      </c>
      <c r="B148" s="3" t="n"/>
      <c r="C148" s="3" t="n"/>
    </row>
    <row r="149">
      <c r="A149" s="28" t="inlineStr">
        <is>
          <t>| Incorporation | "S&amp;P Global Mobility Holding Company", Delaware, 2025-09-26; renamed Mobility Global Inc. 2026-02-05 | 10A p.274 |</t>
        </is>
      </c>
      <c r="B149" s="3" t="n"/>
      <c r="C149" s="3" t="n"/>
    </row>
    <row r="150">
      <c r="A150" s="28" t="inlineStr">
        <is>
          <t>| Record date | 2026-06-15 (close of business) | 10A p.256 |</t>
        </is>
      </c>
      <c r="B150" s="3" t="n"/>
      <c r="C150" s="3" t="n"/>
    </row>
    <row r="151">
      <c r="A151" s="28" t="inlineStr">
        <is>
          <t>| Ratio | 1 MBGL share for each SPGI share; 100% distributed pro rata | 10A p.256, 280 |</t>
        </is>
      </c>
      <c r="B151" s="3" t="n"/>
      <c r="C151" s="3" t="n"/>
    </row>
    <row r="152">
      <c r="A152" s="28" t="inlineStr">
        <is>
          <t>| Distribution date | 2026-07-01, before NYSE open (F10 said "after NYSE market close"; date, ratio and record date were blank in F10) | 10A p.256; F10 p.335 |</t>
        </is>
      </c>
      <c r="B152" s="3" t="n"/>
      <c r="C152" s="3" t="n"/>
    </row>
    <row r="153">
      <c r="A153" s="28" t="inlineStr">
        <is>
          <t>| When-issued | "MBGL WI", 2026-06-26 to 06-30 | 10A p.256 |</t>
        </is>
      </c>
      <c r="B153" s="3" t="n"/>
      <c r="C153" s="3" t="n"/>
    </row>
    <row r="154">
      <c r="A154" s="28" t="inlineStr">
        <is>
          <t>| Shares | ~295,077,160 expected (May-15 basis) vs **294,821,320** actual (Jun-15 basis) | 10A p.280; 10Q p.1, 11 |</t>
        </is>
      </c>
      <c r="B154" s="3" t="n"/>
      <c r="C154" s="3" t="n"/>
    </row>
    <row r="155">
      <c r="A155" s="28" t="inlineStr">
        <is>
          <t>| Holders of record | ~2,554 | 10A p.320 |</t>
        </is>
      </c>
      <c r="B155" s="3" t="n"/>
      <c r="C155" s="3" t="n"/>
    </row>
    <row r="156">
      <c r="A156" s="28" t="inlineStr">
        <is>
          <t>| Retained SPGI stake | **None**: "S&amp;P Global retained no ownership interest" | 10A p.275; 10Q p.18 |</t>
        </is>
      </c>
      <c r="B156" s="3" t="n"/>
      <c r="C156" s="3" t="n"/>
    </row>
    <row r="157">
      <c r="A157" s="28" t="inlineStr">
        <is>
          <t>| Tax | Intended to qualify under §368(a)(1)(D) and §355; Davis Polk opinion; 2-year Tax Matters Agreement (TMA) restrictions (buybacks capped below 20% open-market) | 10A p.276, 294, 327 |</t>
        </is>
      </c>
      <c r="B157" s="3" t="n"/>
      <c r="C157" s="3" t="n"/>
    </row>
    <row r="158">
      <c r="A158" s="28" t="inlineStr">
        <is>
          <t>| Debt raised | Senior notes issued 2026-05-29: $650m 5.050% 2029, $650m 5.450% 2031, $700m 6.050% 2036; held in escrow, released 2026-06-30; carrying value $1,981m net of $(19)m; about $16.0m issuance costs | 10Q p.11–12 |</t>
        </is>
      </c>
      <c r="B158" s="3" t="n"/>
      <c r="C158" s="3" t="n"/>
    </row>
    <row r="159">
      <c r="A159" s="28" t="inlineStr">
        <is>
          <t>| Revolver | $500m, signed 2026-05-06, available 2026-07-01, matures 2031-07-01, +$250m accordion; maximum net leverage 3.50x (4.00x step-up); undrawn at 6/30/26 | 10A p.363–364; 10Q p.12–13 |</t>
        </is>
      </c>
      <c r="B159" s="3" t="n"/>
      <c r="C159" s="3" t="n"/>
    </row>
    <row r="160">
      <c r="A160" s="28" t="inlineStr">
        <is>
          <t>| Payment to parent | 10/A: "approximately $1.9 billion" cash payment, plus about $200m retained cash. 10-Q: **$2.0 billion dividend** to S&amp;P Global as consideration **[D-flag: amount differs]** | 10A p.278, 321; 10Q p.12, 18 |</t>
        </is>
      </c>
      <c r="B160" s="3" t="n"/>
      <c r="C160" s="3" t="n"/>
    </row>
    <row r="161">
      <c r="A161" s="28" t="inlineStr">
        <is>
          <t>| Pro forma cap table (3/31/26) | Cash $122m → $200m; long-term debt $1,981m; related-party loan of $227m removed; 1bn authorized shares | 10A p.331 |</t>
        </is>
      </c>
      <c r="B161" s="3" t="n"/>
      <c r="C161" s="3" t="n"/>
    </row>
    <row r="162">
      <c r="A162" s="28" t="inlineStr">
        <is>
          <t>| Canada Carfax Loan | CAD 403m at 6.0%; $230m at 12/31/25; contributed by SPGI on 2026-06-25 and eliminated | 10A p.363; 10Q p.17 |</t>
        </is>
      </c>
      <c r="B162" s="3" t="n"/>
      <c r="C162" s="3" t="n"/>
    </row>
    <row r="163">
      <c r="A163" s="28" t="inlineStr">
        <is>
          <t>| Restructuring Transactions | Completed 2026-06-26 | 10Q p.9 |</t>
        </is>
      </c>
      <c r="B163" s="3" t="n"/>
      <c r="C163" s="3" t="n"/>
    </row>
    <row r="164">
      <c r="A164" s="28" t="inlineStr">
        <is>
          <t>| Transition Services Agreement (TSA) | IT, finance and HR, generally up to 18 months; fees at SPGI fully-loaded cost; liability capped at fees paid; pro forma incremental cost &lt;$1m (Q1-26) and $3m (FY25) | 10A p.327–328, 339 |</t>
        </is>
      </c>
      <c r="B164" s="3" t="n"/>
      <c r="C164" s="3" t="n"/>
    </row>
    <row r="165">
      <c r="A165" s="28" t="inlineStr">
        <is>
          <t>| Other agreements | Separation and Distribution Agreement (SDA; uncapped cross-indemnities, non-exclusive IP cross-licences), TMA, Employee Matters Agreement (EMA); all filed via 8-K 2026-07-01 | 10A p.326; 10Q p.32 |</t>
        </is>
      </c>
      <c r="B165" s="3" t="n"/>
      <c r="C165" s="3" t="n"/>
    </row>
    <row r="166">
      <c r="A166" s="28" t="inlineStr">
        <is>
          <t>| Separation costs | Pre-close costs borne by SPGI, post-close by MBGL. Stand-up transaction costs: $21m in FY25 (9 B2B + 12 Corporate), $21m in Q1-26, $57m in 6M-26 | 10A p.333, 350, 347; 10Q p.17 |</t>
        </is>
      </c>
      <c r="B166" s="3" t="n"/>
      <c r="C166" s="3" t="n"/>
    </row>
    <row r="167">
      <c r="A167" s="28" t="inlineStr">
        <is>
          <t>| Dividend policy | $0.06/quarter; first declared Aug-2026, record 2026-08-27, paid 2026-09-10 | 10Q p.18, 30 |</t>
        </is>
      </c>
      <c r="B167" s="3" t="n"/>
      <c r="C167" s="3" t="n"/>
    </row>
    <row r="168">
      <c r="A168" s="28" t="inlineStr">
        <is>
          <t>| Equity awards | SPGI awards converted under the 2026 Long Term Incentive Plan (LTIP), filed on S-8 2026-07-01 | 10Q p.18, 33 |</t>
        </is>
      </c>
      <c r="B168" s="3" t="n"/>
      <c r="C168" s="3" t="n"/>
    </row>
    <row r="169">
      <c r="A169" s="51" t="inlineStr">
        <is>
          <t>## 10. Risk-factor heading inventory (Form 10 vs 10/A vs 10-Q)</t>
        </is>
      </c>
      <c r="B169" s="3" t="n"/>
      <c r="C169" s="3" t="n"/>
    </row>
    <row r="170">
      <c r="A170" s="28" t="inlineStr">
        <is>
          <t>**Structure**</t>
        </is>
      </c>
      <c r="B170" s="3" t="n"/>
      <c r="C170" s="3" t="n"/>
    </row>
    <row r="171">
      <c r="A171" s="28" t="inlineStr">
        <is>
          <t>- The 10/A body has **58 headings in 5 sub-sections**, at p.287–317 (printed pp.26–56):</t>
        </is>
      </c>
      <c r="B171" s="3" t="n"/>
      <c r="C171" s="3" t="n"/>
    </row>
    <row r="172">
      <c r="A172" s="28" t="inlineStr">
        <is>
          <t xml:space="preserve">  - Separation: 19</t>
        </is>
      </c>
      <c r="B172" s="3" t="n"/>
      <c r="C172" s="3" t="n"/>
    </row>
    <row r="173">
      <c r="A173" s="28" t="inlineStr">
        <is>
          <t xml:space="preserve">  - Business &amp; Operations: 19</t>
        </is>
      </c>
      <c r="B173" s="3" t="n"/>
      <c r="C173" s="3" t="n"/>
    </row>
    <row r="174">
      <c r="A174" s="28" t="inlineStr">
        <is>
          <t xml:space="preserve">  - Cybersecurity, Technology &amp; Innovation: 8</t>
        </is>
      </c>
      <c r="B174" s="3" t="n"/>
      <c r="C174" s="3" t="n"/>
    </row>
    <row r="175">
      <c r="A175" s="28" t="inlineStr">
        <is>
          <t xml:space="preserve">  - Legal &amp; Regulatory: 4</t>
        </is>
      </c>
      <c r="B175" s="3" t="n"/>
      <c r="C175" s="3" t="n"/>
    </row>
    <row r="176">
      <c r="A176" s="28" t="inlineStr">
        <is>
          <t xml:space="preserve">  - Common Stock: 8</t>
        </is>
      </c>
      <c r="B176" s="3" t="n"/>
      <c r="C176" s="3" t="n"/>
    </row>
    <row r="177">
      <c r="A177" s="28" t="inlineStr">
        <is>
          <t>- The Summary Risk Factors list is at p.283–284.</t>
        </is>
      </c>
      <c r="B177" s="3" t="n"/>
      <c r="C177" s="3" t="n"/>
    </row>
    <row r="178">
      <c r="A178" s="28" t="inlineStr">
        <is>
          <t>**Form 10 → 10/A**</t>
        </is>
      </c>
      <c r="B178" s="3" t="n"/>
      <c r="C178" s="3" t="n"/>
    </row>
    <row r="179">
      <c r="A179" s="28" t="inlineStr">
        <is>
          <t>- **Added headings:** none. **Dropped headings:** none. Headings are identical and in the same order, and every printed page break matches (F10 p.366–396 vs 10A p.287–317). [D]</t>
        </is>
      </c>
      <c r="B179" s="3" t="n"/>
      <c r="C179" s="3" t="n"/>
    </row>
    <row r="180">
      <c r="A180" s="28" t="inlineStr">
        <is>
          <t>- **Body edits:**</t>
        </is>
      </c>
      <c r="B180" s="3" t="n"/>
      <c r="C180" s="3" t="n"/>
    </row>
    <row r="181">
      <c r="A181" s="28" t="inlineStr">
        <is>
          <t xml:space="preserve">  1. **Debt risk factor** (F10 p.370 → 10A p.291): "$[blank]" becomes "$2 billion". The 10/A adds a paragraph on indenture covenants and the 3.50x/4.00x net leverage covenant.</t>
        </is>
      </c>
      <c r="B181" s="3" t="n"/>
      <c r="C181" s="3" t="n"/>
    </row>
    <row r="182">
      <c r="A182" s="28" t="inlineStr">
        <is>
          <t xml:space="preserve">  2. **Large-number-of-shares risk factor** (F10 p.394 → 10A p.315): blanks are filled with 295,077,160, May 15, 2026 and "less than 0.05%" director-and-officer ownership.</t>
        </is>
      </c>
      <c r="B182" s="3" t="n"/>
      <c r="C182" s="3" t="n"/>
    </row>
    <row r="183">
      <c r="A183" s="28" t="inlineStr">
        <is>
          <t xml:space="preserve">  3. **Index-fund risk factor** (F10 p.395 → 10A p.316): the blank becomes "approximately 29%".</t>
        </is>
      </c>
      <c r="B183" s="3" t="n"/>
      <c r="C183" s="3" t="n"/>
    </row>
    <row r="184">
      <c r="A184" s="28" t="inlineStr">
        <is>
          <t xml:space="preserve">  4. **Exclusive-forum risk factor** (10A p.317): adds "Moreover, these provisions may increase costs to bring a claim…". "Shareholders" becomes "Stockholders".</t>
        </is>
      </c>
      <c r="B184" s="3" t="n"/>
      <c r="C184" s="3" t="n"/>
    </row>
    <row r="185">
      <c r="A185" s="28" t="inlineStr">
        <is>
          <t>**10/A → 10-Q**</t>
        </is>
      </c>
      <c r="B185" s="3" t="n"/>
      <c r="C185" s="3" t="n"/>
    </row>
    <row r="186">
      <c r="A186" s="28" t="inlineStr">
        <is>
          <t>- The 10-Q Item 1A prints no headings and states "no material changes" from the Registration Statement (10Q p.32).</t>
        </is>
      </c>
      <c r="B186" s="3" t="n"/>
      <c r="C186" s="3" t="n"/>
    </row>
    <row r="187">
      <c r="A187" s="28" t="inlineStr">
        <is>
          <t>**[D-flag] Summary-vs-body inconsistencies within the 10/A**</t>
        </is>
      </c>
      <c r="B187" s="3" t="n"/>
      <c r="C187" s="3" t="n"/>
    </row>
    <row r="188">
      <c r="A188" s="28" t="inlineStr">
        <is>
          <t>- The summary heading reads "data network… inaccurate or unreliable data" (p.283); the body reads "data position… cannot maintain our data quality" (p.296).</t>
        </is>
      </c>
      <c r="B188" s="3" t="n"/>
      <c r="C188" s="3" t="n"/>
    </row>
    <row r="189">
      <c r="A189" s="28" t="inlineStr">
        <is>
          <t>- The summary reads "enhance our existing products through technology" (p.283); the body omits "through technology" (p.298).</t>
        </is>
      </c>
      <c r="B189" s="3" t="n"/>
      <c r="C189" s="3" t="n"/>
    </row>
    <row r="190">
      <c r="A190" s="28" t="inlineStr">
        <is>
          <t>**Selected headings by section** (abridged; full list in the 10A at the pages shown)</t>
        </is>
      </c>
      <c r="B190" s="3" t="n"/>
      <c r="C190" s="3" t="n"/>
    </row>
    <row r="191">
      <c r="A191" s="28" t="inlineStr">
        <is>
          <t>- **Separation:** anticipated benefits; no operating history; risks of operating within S&amp;P Global; standalone infrastructure costs; public-company obligations; internal controls; S&amp;P Global board discretion; indemnities; insurance; debt obligations; third-party consents; director/officer conflicts; combined post-spin value; better third-party terms; no dissenters' rights; tax-free qualification; Tax Matters Agreement indemnity; post-spin tax restrictions; accounting systems readiness (p.287–294).</t>
        </is>
      </c>
      <c r="B191" s="3" t="n"/>
      <c r="C191" s="3" t="n"/>
    </row>
    <row r="192">
      <c r="A192" s="28" t="inlineStr">
        <is>
          <t>- **Business &amp; Operations:** macroeconomy; renewals/upsell; data position and quality; free information sources; AI; new products; search engines; dealer/OEM dependence; reputation; brand investment; M&amp;A and divestitures; competition; operating costs; global operations; new-market expansion; third-party data sources; outsourcing and cloud; business continuity; talent and management transitions (p.295–306).</t>
        </is>
      </c>
      <c r="B192" s="3" t="n"/>
      <c r="C192" s="3" t="n"/>
    </row>
    <row r="193">
      <c r="A193" s="28" t="inlineStr">
        <is>
          <t>- **Cybersecurity, Technology &amp; Innovation:** cyber attacks; processes and technology; AI ethics; open source; IP protection; IP disputes; networks and Internet; infrastructure failure (p.306–311).</t>
        </is>
      </c>
      <c r="B193" s="3" t="n"/>
      <c r="C193" s="3" t="n"/>
    </row>
    <row r="194">
      <c r="A194" s="28" t="inlineStr">
        <is>
          <t>- **Legal &amp; Regulatory:** litigation and regulatory proceedings; privacy and data localization; legislative change; OFAC sanctions (p.311–314).</t>
        </is>
      </c>
      <c r="B194" s="3" t="n"/>
      <c r="C194" s="3" t="n"/>
    </row>
    <row r="195">
      <c r="A195" s="28" t="inlineStr">
        <is>
          <t>- **Common Stock:** volatility; future sales; S&amp;P 500 index exclusion; anti-takeover provisions; exclusive forum; dilution; subordination; dividends (p.315–317).</t>
        </is>
      </c>
      <c r="B195" s="3" t="n"/>
      <c r="C195" s="3" t="n"/>
    </row>
    <row r="196">
      <c r="A196" s="51" t="inlineStr">
        <is>
          <t>## 11. Corporate events timeline [D]</t>
        </is>
      </c>
      <c r="B196" s="3" t="n"/>
      <c r="C196" s="3" t="n"/>
    </row>
    <row r="197">
      <c r="A197" s="28" t="inlineStr">
        <is>
          <t>| Date | Event | Source |</t>
        </is>
      </c>
      <c r="B197" s="3" t="n"/>
      <c r="C197" s="3" t="n"/>
    </row>
    <row r="198">
      <c r="A198" s="28" t="inlineStr">
        <is>
          <t>|---|---|---|</t>
        </is>
      </c>
      <c r="B198" s="3" t="n"/>
      <c r="C198" s="3" t="n"/>
    </row>
    <row r="199">
      <c r="A199" s="28" t="inlineStr">
        <is>
          <t>| 1870 | Polk origins | 10A p.268 |</t>
        </is>
      </c>
      <c r="B199" s="3" t="n"/>
      <c r="C199" s="3" t="n"/>
    </row>
    <row r="200">
      <c r="A200" s="28" t="inlineStr">
        <is>
          <t>| 2013 | IHS Inc. acquires R.L. Polk (including CARFAX); deal values are not available in Quartr | PRED |</t>
        </is>
      </c>
      <c r="B200" s="3" t="n"/>
      <c r="C200" s="3" t="n"/>
    </row>
    <row r="201">
      <c r="A201" s="28" t="inlineStr">
        <is>
          <t>| 2014 | Car Listings launched | 10A p.271 |</t>
        </is>
      </c>
      <c r="B201" s="3" t="n"/>
      <c r="C201" s="3" t="n"/>
    </row>
    <row r="202">
      <c r="A202" s="28" t="inlineStr">
        <is>
          <t>| 2015-12-24 | IHS acquires CARPROOF (Canada), $459.2m net of cash | INFO16 p.60 |</t>
        </is>
      </c>
      <c r="B202" s="3" t="n"/>
      <c r="C202" s="3" t="n"/>
    </row>
    <row r="203">
      <c r="A203" s="28" t="inlineStr">
        <is>
          <t>| 2016-07-12 | IHS/Markit merger | INFO16 p.60 |</t>
        </is>
      </c>
      <c r="B203" s="3" t="n"/>
      <c r="C203" s="3" t="n"/>
    </row>
    <row r="204">
      <c r="A204" s="28" t="inlineStr">
        <is>
          <t>| 2017-09-25 | automotiveMastermind acquired (78%) | INFO17 p.62 |</t>
        </is>
      </c>
      <c r="B204" s="3" t="n"/>
      <c r="C204" s="3" t="n"/>
    </row>
    <row r="205">
      <c r="A205" s="28" t="inlineStr">
        <is>
          <t>| 2018-10-01 | Canada Carfax Loan (CAD 403m) from IHS Canada | 10A p.362–363 |</t>
        </is>
      </c>
      <c r="B205" s="3" t="n"/>
      <c r="C205" s="3" t="n"/>
    </row>
    <row r="206">
      <c r="A206" s="28" t="inlineStr">
        <is>
          <t>| 2019 | CARFAX For Life launched | 10A p.271 |</t>
        </is>
      </c>
      <c r="B206" s="3" t="n"/>
      <c r="C206" s="3" t="n"/>
    </row>
    <row r="207">
      <c r="A207" s="28" t="inlineStr">
        <is>
          <t>| 2019-12-02 | Aerospace &amp; Defense sold to Montagu (Transportation segment; not Mobility) | PRED |</t>
        </is>
      </c>
      <c r="B207" s="3" t="n"/>
      <c r="C207" s="3" t="n"/>
    </row>
    <row r="208">
      <c r="A208" s="28" t="inlineStr">
        <is>
          <t>| 2021-02-21 | Europe Carfax Loan (up to EUR 10m to IHS Group Holdings) | 10A p.363 |</t>
        </is>
      </c>
      <c r="B208" s="3" t="n"/>
      <c r="C208" s="3" t="n"/>
    </row>
    <row r="209">
      <c r="A209" s="28" t="inlineStr">
        <is>
          <t>| 2021 | EEQ launched | 10A p.271 |</t>
        </is>
      </c>
      <c r="B209" s="3" t="n"/>
      <c r="C209" s="3" t="n"/>
    </row>
    <row r="210">
      <c r="A210" s="28" t="inlineStr">
        <is>
          <t>| 2022-02-28 | S&amp;P Global/IHS Markit merger; Mobility becomes an SPGI segment (exchange ratio 0.2838) | 10A p.445, 459 |</t>
        </is>
      </c>
      <c r="B210" s="3" t="n"/>
      <c r="C210" s="3" t="n"/>
    </row>
    <row r="211">
      <c r="A211" s="28" t="inlineStr">
        <is>
          <t>| 2023-02-16 | Market Scan acquired ($223m) | 10A p.452 |</t>
        </is>
      </c>
      <c r="B211" s="3" t="n"/>
      <c r="C211" s="3" t="n"/>
    </row>
    <row r="212">
      <c r="A212" s="28" t="inlineStr">
        <is>
          <t>| 2023-08 | Catalyst for Aftersales disposed | 10A p.350 |</t>
        </is>
      </c>
      <c r="B212" s="3" t="n"/>
      <c r="C212" s="3" t="n"/>
    </row>
    <row r="213">
      <c r="A213" s="28" t="inlineStr">
        <is>
          <t>| 2025-04-29 | Separation announced | 10A p.272 |</t>
        </is>
      </c>
      <c r="B213" s="3" t="n"/>
      <c r="C213" s="3" t="n"/>
    </row>
    <row r="214">
      <c r="A214" s="28" t="inlineStr">
        <is>
          <t>| 2025-07-28 | CEO William W. Eager offer letter | 10A p.4 |</t>
        </is>
      </c>
      <c r="B214" s="3" t="n"/>
      <c r="C214" s="3" t="n"/>
    </row>
    <row r="215">
      <c r="A215" s="28" t="inlineStr">
        <is>
          <t>| 2025-09-26 | SpinCo incorporated | 10A p.274 |</t>
        </is>
      </c>
      <c r="B215" s="3" t="n"/>
      <c r="C215" s="3" t="n"/>
    </row>
    <row r="216">
      <c r="A216" s="28" t="inlineStr">
        <is>
          <t>| 2025-11-30 | Europe Carfax Loan repaid in full | 10A p.363 |</t>
        </is>
      </c>
      <c r="B216" s="3" t="n"/>
      <c r="C216" s="3" t="n"/>
    </row>
    <row r="217">
      <c r="A217" s="28" t="inlineStr">
        <is>
          <t>| 2026-01-05 | OECD guidance on U.S.-parented Pillar Two exclusion | 10A p.349 |</t>
        </is>
      </c>
      <c r="B217" s="3" t="n"/>
      <c r="C217" s="3" t="n"/>
    </row>
    <row r="218">
      <c r="A218" s="28" t="inlineStr">
        <is>
          <t>| 2026-02-05 | Renamed Mobility Global Inc. | 10A p.274 |</t>
        </is>
      </c>
      <c r="B218" s="3" t="n"/>
      <c r="C218" s="3" t="n"/>
    </row>
    <row r="219">
      <c r="A219" s="28" t="inlineStr">
        <is>
          <t>| Q1-2026 | Exits SPGI cash pooling | 10A p.345; 10Q p.10 |</t>
        </is>
      </c>
      <c r="B219" s="3" t="n"/>
      <c r="C219" s="3" t="n"/>
    </row>
    <row r="220">
      <c r="A220" s="28" t="inlineStr">
        <is>
          <t>| 2026-05-06 | $500m revolver signed | 10A p.363 |</t>
        </is>
      </c>
      <c r="B220" s="3" t="n"/>
      <c r="C220" s="3" t="n"/>
    </row>
    <row r="221">
      <c r="A221" s="28" t="inlineStr">
        <is>
          <t>| 2026-05-07 | Form 10 filed | F10 p.335 |</t>
        </is>
      </c>
      <c r="B221" s="3" t="n"/>
      <c r="C221" s="3" t="n"/>
    </row>
    <row r="222">
      <c r="A222" s="28" t="inlineStr">
        <is>
          <t>| 2026-05-27 | Form 10/A filed | 10A p.1 |</t>
        </is>
      </c>
      <c r="B222" s="3" t="n"/>
      <c r="C222" s="3" t="n"/>
    </row>
    <row r="223">
      <c r="A223" s="28" t="inlineStr">
        <is>
          <t>| 2026-05-29 | $2.0bn senior notes issued (into escrow) | 10Q p.11 |</t>
        </is>
      </c>
      <c r="B223" s="3" t="n"/>
      <c r="C223" s="3" t="n"/>
    </row>
    <row r="224">
      <c r="A224" s="28" t="inlineStr">
        <is>
          <t>| 2026-06-15 | Record date | 10Q p.2 |</t>
        </is>
      </c>
      <c r="B224" s="3" t="n"/>
      <c r="C224" s="3" t="n"/>
    </row>
    <row r="225">
      <c r="A225" s="28" t="inlineStr">
        <is>
          <t>| 2026-06-24 | Annual Incentive Plan adopted | 10Q p.33 |</t>
        </is>
      </c>
      <c r="B225" s="3" t="n"/>
      <c r="C225" s="3" t="n"/>
    </row>
    <row r="226">
      <c r="A226" s="28" t="inlineStr">
        <is>
          <t>| 2026-06-25 | Canada Carfax Loan contributed to MBGL | 10Q p.17 |</t>
        </is>
      </c>
      <c r="B226" s="3" t="n"/>
      <c r="C226" s="3" t="n"/>
    </row>
    <row r="227">
      <c r="A227" s="28" t="inlineStr">
        <is>
          <t>| 2026-06-26 | Restructuring Transactions completed; when-issued trading begins | 10Q p.9; 10A p.256 |</t>
        </is>
      </c>
      <c r="B227" s="3" t="n"/>
      <c r="C227" s="3" t="n"/>
    </row>
    <row r="228">
      <c r="A228" s="28" t="inlineStr">
        <is>
          <t>| 2026-06-30 | Notes escrow released | 10Q p.11 |</t>
        </is>
      </c>
      <c r="B228" s="3" t="n"/>
      <c r="C228" s="3" t="n"/>
    </row>
    <row r="229">
      <c r="A229" s="28" t="inlineStr">
        <is>
          <t>| 2026-07-01 | Distribution; NYSE "MBGL" listing; revolver available; Executive Severance Plan effective; S-8 and 8-K filed; USD/CAD forward entered | 10Q p.10, 12, 31–33 |</t>
        </is>
      </c>
      <c r="B229" s="3" t="n"/>
      <c r="C229" s="3" t="n"/>
    </row>
    <row r="230">
      <c r="A230" s="28" t="inlineStr">
        <is>
          <t>| 2026-08 | $0.06 dividend declared (record 08-27, paid 09-10) | 10Q p.18 |</t>
        </is>
      </c>
      <c r="B230" s="3" t="n"/>
      <c r="C230" s="3" t="n"/>
    </row>
    <row r="231">
      <c r="A231" s="28" t="inlineStr">
        <is>
          <t>| 2026-12-15 | First notes coupon | 10Q p.11 |</t>
        </is>
      </c>
      <c r="B231" s="3" t="n"/>
      <c r="C231" s="3" t="n"/>
    </row>
    <row r="232">
      <c r="A232" s="28" t="inlineStr">
        <is>
          <t>| 2027-10-05 | Stated maturity of the Canada Carfax Loan (intercompany since 2026-06-25) | 10A p.363; 10Q p.17 |</t>
        </is>
      </c>
      <c r="B232" s="3" t="n"/>
      <c r="C232" s="3"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2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50" customWidth="1" min="3" max="3"/>
    <col width="55" customWidth="1" min="4" max="4"/>
    <col width="18" customWidth="1" min="5" max="5"/>
    <col width="60" customWidth="1" min="6" max="6"/>
    <col width="12" customWidth="1" min="7" max="7"/>
    <col hidden="1" width="13" customWidth="1" min="26" max="26"/>
  </cols>
  <sheetData>
    <row r="1" ht="20" customHeight="1">
      <c r="A1" s="1" t="inlineStr">
        <is>
          <t>Caption Map — primary statements (canonical) + identity mapping for verbatim tabs</t>
        </is>
      </c>
      <c r="B1" s="2" t="n"/>
      <c r="C1" s="2" t="n"/>
      <c r="D1" s="2" t="n"/>
      <c r="E1" s="2" t="n"/>
      <c r="F1" s="2" t="n"/>
      <c r="G1" s="2" t="n"/>
    </row>
    <row r="2">
      <c r="A2" s="4" t="inlineStr">
        <is>
          <t>Secondary tabs present captions verbatim grouped by source document and section (identity map). Primary-statement merges below; merge log in canonical/primary_merge_log.txt.</t>
        </is>
      </c>
      <c r="B2" s="3" t="n"/>
      <c r="C2" s="3" t="n"/>
      <c r="D2" s="3" t="n"/>
      <c r="E2" s="3" t="n"/>
      <c r="F2" s="3" t="n"/>
      <c r="G2" s="3" t="n"/>
    </row>
    <row r="3">
      <c r="A3" s="3" t="n"/>
      <c r="B3" s="3" t="n"/>
      <c r="C3" s="3" t="n"/>
      <c r="D3" s="3" t="n"/>
      <c r="E3" s="3" t="n"/>
      <c r="F3" s="3" t="n"/>
      <c r="G3" s="3" t="n"/>
    </row>
    <row r="4">
      <c r="A4" s="9" t="inlineStr">
        <is>
          <t>Source doc</t>
        </is>
      </c>
      <c r="B4" s="29" t="inlineStr">
        <is>
          <t>Statement</t>
        </is>
      </c>
      <c r="C4" s="29" t="inlineStr">
        <is>
          <t>Section</t>
        </is>
      </c>
      <c r="D4" s="29" t="inlineStr">
        <is>
          <t>Caption (verbatim)</t>
        </is>
      </c>
      <c r="E4" s="29" t="inlineStr">
        <is>
          <t>Canonical key / EXCLUDE</t>
        </is>
      </c>
      <c r="F4" s="29" t="inlineStr">
        <is>
          <t>Reason</t>
        </is>
      </c>
      <c r="G4" s="3" t="n"/>
    </row>
    <row r="5">
      <c r="A5" s="19" t="inlineStr">
        <is>
          <t>10Q_Q2-2026</t>
        </is>
      </c>
      <c r="B5" s="19" t="inlineStr">
        <is>
          <t>BS</t>
        </is>
      </c>
      <c r="C5" s="19" t="inlineStr">
        <is>
          <t>Condensed Combined Balance Sheets - Assets</t>
        </is>
      </c>
      <c r="D5" s="19" t="inlineStr">
        <is>
          <t>Goodwill</t>
        </is>
      </c>
      <c r="E5" s="19" t="inlineStr">
        <is>
          <t>BS.gw</t>
        </is>
      </c>
      <c r="F5" s="19" t="inlineStr"/>
      <c r="G5" s="3" t="n"/>
    </row>
    <row r="6">
      <c r="A6" s="19" t="inlineStr">
        <is>
          <t>10Q_Q2-2026</t>
        </is>
      </c>
      <c r="B6" s="19" t="inlineStr">
        <is>
          <t>BS</t>
        </is>
      </c>
      <c r="C6" s="19" t="inlineStr">
        <is>
          <t>Condensed Combined Balance Sheets - Assets</t>
        </is>
      </c>
      <c r="D6" s="19" t="inlineStr">
        <is>
          <t>Other intangible assets, net</t>
        </is>
      </c>
      <c r="E6" s="19" t="inlineStr">
        <is>
          <t>BS.intang</t>
        </is>
      </c>
      <c r="F6" s="19" t="inlineStr"/>
      <c r="G6" s="3" t="n"/>
    </row>
    <row r="7">
      <c r="A7" s="19" t="inlineStr">
        <is>
          <t>10Q_Q2-2026</t>
        </is>
      </c>
      <c r="B7" s="19" t="inlineStr">
        <is>
          <t>BS</t>
        </is>
      </c>
      <c r="C7" s="19" t="inlineStr">
        <is>
          <t>Condensed Combined Balance Sheets - Assets</t>
        </is>
      </c>
      <c r="D7" s="19" t="inlineStr">
        <is>
          <t>Other non-current assets</t>
        </is>
      </c>
      <c r="E7" s="19" t="inlineStr">
        <is>
          <t>BS.onca</t>
        </is>
      </c>
      <c r="F7" s="19" t="inlineStr"/>
      <c r="G7" s="3" t="n"/>
    </row>
    <row r="8">
      <c r="A8" s="19" t="inlineStr">
        <is>
          <t>10Q_Q2-2026</t>
        </is>
      </c>
      <c r="B8" s="19" t="inlineStr">
        <is>
          <t>BS</t>
        </is>
      </c>
      <c r="C8" s="19" t="inlineStr">
        <is>
          <t>Condensed Combined Balance Sheets - Assets</t>
        </is>
      </c>
      <c r="D8" s="19" t="inlineStr">
        <is>
          <t>Property and equipment, net of accumulated depreciation: 2026 -$84; 2025 -$81</t>
        </is>
      </c>
      <c r="E8" s="19" t="inlineStr">
        <is>
          <t>BS.ppe_net</t>
        </is>
      </c>
      <c r="F8" s="19" t="inlineStr"/>
      <c r="G8" s="3" t="n"/>
    </row>
    <row r="9">
      <c r="A9" s="19" t="inlineStr">
        <is>
          <t>10Q_Q2-2026</t>
        </is>
      </c>
      <c r="B9" s="19" t="inlineStr">
        <is>
          <t>BS</t>
        </is>
      </c>
      <c r="C9" s="19" t="inlineStr">
        <is>
          <t>Condensed Combined Balance Sheets - Assets</t>
        </is>
      </c>
      <c r="D9" s="19" t="inlineStr">
        <is>
          <t>Right of use assets</t>
        </is>
      </c>
      <c r="E9" s="19" t="inlineStr">
        <is>
          <t>BS.rou</t>
        </is>
      </c>
      <c r="F9" s="19" t="inlineStr"/>
      <c r="G9" s="3" t="n"/>
    </row>
    <row r="10">
      <c r="A10" s="19" t="inlineStr">
        <is>
          <t>10Q_Q2-2026</t>
        </is>
      </c>
      <c r="B10" s="19" t="inlineStr">
        <is>
          <t>BS</t>
        </is>
      </c>
      <c r="C10" s="19" t="inlineStr">
        <is>
          <t>Condensed Combined Balance Sheets - Assets</t>
        </is>
      </c>
      <c r="D10" s="19" t="inlineStr">
        <is>
          <t>Total assets</t>
        </is>
      </c>
      <c r="E10" s="19" t="inlineStr">
        <is>
          <t>BS.ta</t>
        </is>
      </c>
      <c r="F10" s="19" t="inlineStr"/>
      <c r="G10" s="3" t="n"/>
    </row>
    <row r="11">
      <c r="A11" s="19" t="inlineStr">
        <is>
          <t>10Q_Q2-2026</t>
        </is>
      </c>
      <c r="B11" s="19" t="inlineStr">
        <is>
          <t>BS</t>
        </is>
      </c>
      <c r="C11" s="19" t="inlineStr">
        <is>
          <t>Condensed Combined Balance Sheets - Current assets</t>
        </is>
      </c>
      <c r="D11" s="19" t="inlineStr">
        <is>
          <t>Accounts receivable, net of allowance for doubtful accounts: 2026 -$2; 2025 -$2</t>
        </is>
      </c>
      <c r="E11" s="19" t="inlineStr">
        <is>
          <t>BS.ar</t>
        </is>
      </c>
      <c r="F11" s="19" t="inlineStr"/>
      <c r="G11" s="3" t="n"/>
    </row>
    <row r="12">
      <c r="A12" s="19" t="inlineStr">
        <is>
          <t>10Q_Q2-2026</t>
        </is>
      </c>
      <c r="B12" s="19" t="inlineStr">
        <is>
          <t>BS</t>
        </is>
      </c>
      <c r="C12" s="19" t="inlineStr">
        <is>
          <t>Condensed Combined Balance Sheets - Current assets</t>
        </is>
      </c>
      <c r="D12" s="19" t="inlineStr">
        <is>
          <t>Cash and cash equivalents</t>
        </is>
      </c>
      <c r="E12" s="19" t="inlineStr">
        <is>
          <t>BS.cash</t>
        </is>
      </c>
      <c r="F12" s="19" t="inlineStr"/>
      <c r="G12" s="3" t="n"/>
    </row>
    <row r="13">
      <c r="A13" s="19" t="inlineStr">
        <is>
          <t>10Q_Q2-2026</t>
        </is>
      </c>
      <c r="B13" s="19" t="inlineStr">
        <is>
          <t>BS</t>
        </is>
      </c>
      <c r="C13" s="19" t="inlineStr">
        <is>
          <t>Condensed Combined Balance Sheets - Current assets</t>
        </is>
      </c>
      <c r="D13" s="19" t="inlineStr">
        <is>
          <t>Due from related parties - current</t>
        </is>
      </c>
      <c r="E13" s="19" t="inlineStr">
        <is>
          <t>BS.duefrom_c</t>
        </is>
      </c>
      <c r="F13" s="19" t="inlineStr"/>
      <c r="G13" s="3" t="n"/>
    </row>
    <row r="14">
      <c r="A14" s="19" t="inlineStr">
        <is>
          <t>10Q_Q2-2026</t>
        </is>
      </c>
      <c r="B14" s="19" t="inlineStr">
        <is>
          <t>BS</t>
        </is>
      </c>
      <c r="C14" s="19" t="inlineStr">
        <is>
          <t>Condensed Combined Balance Sheets - Current assets</t>
        </is>
      </c>
      <c r="D14" s="19" t="inlineStr">
        <is>
          <t>Prepaid and other current assets</t>
        </is>
      </c>
      <c r="E14" s="19" t="inlineStr">
        <is>
          <t>BS.prepaid</t>
        </is>
      </c>
      <c r="F14" s="19" t="inlineStr"/>
      <c r="G14" s="3" t="n"/>
    </row>
    <row r="15">
      <c r="A15" s="19" t="inlineStr">
        <is>
          <t>10Q_Q2-2026</t>
        </is>
      </c>
      <c r="B15" s="19" t="inlineStr">
        <is>
          <t>BS</t>
        </is>
      </c>
      <c r="C15" s="19" t="inlineStr">
        <is>
          <t>Condensed Combined Balance Sheets - Current assets</t>
        </is>
      </c>
      <c r="D15" s="19" t="inlineStr">
        <is>
          <t>Total current assets</t>
        </is>
      </c>
      <c r="E15" s="19" t="inlineStr">
        <is>
          <t>BS.tca</t>
        </is>
      </c>
      <c r="F15" s="19" t="inlineStr"/>
      <c r="G15" s="3" t="n"/>
    </row>
    <row r="16">
      <c r="A16" s="19" t="inlineStr">
        <is>
          <t>10Q_Q2-2026</t>
        </is>
      </c>
      <c r="B16" s="19" t="inlineStr">
        <is>
          <t>BS</t>
        </is>
      </c>
      <c r="C16" s="19" t="inlineStr">
        <is>
          <t>Condensed Combined Balance Sheets - Current liabilities</t>
        </is>
      </c>
      <c r="D16" s="19" t="inlineStr">
        <is>
          <t>Accounts payable</t>
        </is>
      </c>
      <c r="E16" s="19" t="inlineStr">
        <is>
          <t>BS.ap</t>
        </is>
      </c>
      <c r="F16" s="19" t="inlineStr"/>
      <c r="G16" s="3" t="n"/>
    </row>
    <row r="17">
      <c r="A17" s="19" t="inlineStr">
        <is>
          <t>10Q_Q2-2026</t>
        </is>
      </c>
      <c r="B17" s="19" t="inlineStr">
        <is>
          <t>BS</t>
        </is>
      </c>
      <c r="C17" s="19" t="inlineStr">
        <is>
          <t>Condensed Combined Balance Sheets - Current liabilities</t>
        </is>
      </c>
      <c r="D17" s="19" t="inlineStr">
        <is>
          <t>Accrued compensation and contributions to retirement plans</t>
        </is>
      </c>
      <c r="E17" s="19" t="inlineStr">
        <is>
          <t>BS.accomp</t>
        </is>
      </c>
      <c r="F17" s="19" t="inlineStr"/>
      <c r="G17" s="3" t="n"/>
    </row>
    <row r="18">
      <c r="A18" s="19" t="inlineStr">
        <is>
          <t>10Q_Q2-2026</t>
        </is>
      </c>
      <c r="B18" s="19" t="inlineStr">
        <is>
          <t>BS</t>
        </is>
      </c>
      <c r="C18" s="19" t="inlineStr">
        <is>
          <t>Condensed Combined Balance Sheets - Current liabilities</t>
        </is>
      </c>
      <c r="D18" s="19" t="inlineStr">
        <is>
          <t>Due to related parties - current</t>
        </is>
      </c>
      <c r="E18" s="19" t="inlineStr">
        <is>
          <t>BS.dueto_c</t>
        </is>
      </c>
      <c r="F18" s="19" t="inlineStr"/>
      <c r="G18" s="3" t="n"/>
    </row>
    <row r="19">
      <c r="A19" s="19" t="inlineStr">
        <is>
          <t>10Q_Q2-2026</t>
        </is>
      </c>
      <c r="B19" s="19" t="inlineStr">
        <is>
          <t>BS</t>
        </is>
      </c>
      <c r="C19" s="19" t="inlineStr">
        <is>
          <t>Condensed Combined Balance Sheets - Current liabilities</t>
        </is>
      </c>
      <c r="D19" s="19" t="inlineStr">
        <is>
          <t>Other current liabilities</t>
        </is>
      </c>
      <c r="E19" s="19" t="inlineStr">
        <is>
          <t>BS.ocl</t>
        </is>
      </c>
      <c r="F19" s="19" t="inlineStr"/>
      <c r="G19" s="3" t="n"/>
    </row>
    <row r="20">
      <c r="A20" s="19" t="inlineStr">
        <is>
          <t>10Q_Q2-2026</t>
        </is>
      </c>
      <c r="B20" s="19" t="inlineStr">
        <is>
          <t>BS</t>
        </is>
      </c>
      <c r="C20" s="19" t="inlineStr">
        <is>
          <t>Condensed Combined Balance Sheets - Current liabilities</t>
        </is>
      </c>
      <c r="D20" s="19" t="inlineStr">
        <is>
          <t>Total current liabilities</t>
        </is>
      </c>
      <c r="E20" s="19" t="inlineStr">
        <is>
          <t>BS.tcl</t>
        </is>
      </c>
      <c r="F20" s="19" t="inlineStr"/>
      <c r="G20" s="3" t="n"/>
    </row>
    <row r="21">
      <c r="A21" s="19" t="inlineStr">
        <is>
          <t>10Q_Q2-2026</t>
        </is>
      </c>
      <c r="B21" s="19" t="inlineStr">
        <is>
          <t>BS</t>
        </is>
      </c>
      <c r="C21" s="19" t="inlineStr">
        <is>
          <t>Condensed Combined Balance Sheets - Current liabilities</t>
        </is>
      </c>
      <c r="D21" s="19" t="inlineStr">
        <is>
          <t>Unearned revenue</t>
        </is>
      </c>
      <c r="E21" s="19" t="inlineStr">
        <is>
          <t>BS.unearned</t>
        </is>
      </c>
      <c r="F21" s="19" t="inlineStr"/>
      <c r="G21" s="3" t="n"/>
    </row>
    <row r="22">
      <c r="A22" s="19" t="inlineStr">
        <is>
          <t>10Q_Q2-2026</t>
        </is>
      </c>
      <c r="B22" s="19" t="inlineStr">
        <is>
          <t>BS</t>
        </is>
      </c>
      <c r="C22" s="19" t="inlineStr">
        <is>
          <t>Condensed Combined Balance Sheets - Equity</t>
        </is>
      </c>
      <c r="D22" s="19" t="inlineStr">
        <is>
          <t>Accumulated other comprehensive income (loss)</t>
        </is>
      </c>
      <c r="E22" s="19" t="inlineStr">
        <is>
          <t>BS.aoci</t>
        </is>
      </c>
      <c r="F22" s="19" t="inlineStr"/>
      <c r="G22" s="3" t="n"/>
    </row>
    <row r="23">
      <c r="A23" s="19" t="inlineStr">
        <is>
          <t>10Q_Q2-2026</t>
        </is>
      </c>
      <c r="B23" s="19" t="inlineStr">
        <is>
          <t>BS</t>
        </is>
      </c>
      <c r="C23" s="19" t="inlineStr">
        <is>
          <t>Condensed Combined Balance Sheets - Equity</t>
        </is>
      </c>
      <c r="D23" s="19" t="inlineStr">
        <is>
          <t>Parent company investment</t>
        </is>
      </c>
      <c r="E23" s="19" t="inlineStr">
        <is>
          <t>BS.npi</t>
        </is>
      </c>
      <c r="F23" s="19" t="inlineStr"/>
      <c r="G23" s="3" t="n"/>
    </row>
    <row r="24">
      <c r="A24" s="19" t="inlineStr">
        <is>
          <t>10Q_Q2-2026</t>
        </is>
      </c>
      <c r="B24" s="19" t="inlineStr">
        <is>
          <t>BS</t>
        </is>
      </c>
      <c r="C24" s="19" t="inlineStr">
        <is>
          <t>Condensed Combined Balance Sheets - Equity</t>
        </is>
      </c>
      <c r="D24" s="19" t="inlineStr">
        <is>
          <t>Total equity</t>
        </is>
      </c>
      <c r="E24" s="19" t="inlineStr">
        <is>
          <t>BS.te</t>
        </is>
      </c>
      <c r="F24" s="19" t="inlineStr"/>
      <c r="G24" s="3" t="n"/>
    </row>
    <row r="25">
      <c r="A25" s="19" t="inlineStr">
        <is>
          <t>10Q_Q2-2026</t>
        </is>
      </c>
      <c r="B25" s="19" t="inlineStr">
        <is>
          <t>BS</t>
        </is>
      </c>
      <c r="C25" s="19" t="inlineStr">
        <is>
          <t>Condensed Combined Balance Sheets - Equity</t>
        </is>
      </c>
      <c r="D25" s="19" t="inlineStr">
        <is>
          <t>Total liabilities and equity</t>
        </is>
      </c>
      <c r="E25" s="19" t="inlineStr">
        <is>
          <t>BS.tle</t>
        </is>
      </c>
      <c r="F25" s="19" t="inlineStr"/>
      <c r="G25" s="3" t="n"/>
    </row>
    <row r="26">
      <c r="A26" s="19" t="inlineStr">
        <is>
          <t>10Q_Q2-2026</t>
        </is>
      </c>
      <c r="B26" s="19" t="inlineStr">
        <is>
          <t>BS</t>
        </is>
      </c>
      <c r="C26" s="19" t="inlineStr">
        <is>
          <t>Condensed Combined Balance Sheets - Liabilities</t>
        </is>
      </c>
      <c r="D26" s="19" t="inlineStr">
        <is>
          <t>Deferred tax liability, net</t>
        </is>
      </c>
      <c r="E26" s="19" t="inlineStr">
        <is>
          <t>BS.dtl</t>
        </is>
      </c>
      <c r="F26" s="19" t="inlineStr"/>
      <c r="G26" s="3" t="n"/>
    </row>
    <row r="27">
      <c r="A27" s="19" t="inlineStr">
        <is>
          <t>10Q_Q2-2026</t>
        </is>
      </c>
      <c r="B27" s="19" t="inlineStr">
        <is>
          <t>BS</t>
        </is>
      </c>
      <c r="C27" s="19" t="inlineStr">
        <is>
          <t>Condensed Combined Balance Sheets - Liabilities</t>
        </is>
      </c>
      <c r="D27" s="19" t="inlineStr">
        <is>
          <t>Due to related parties - non-current</t>
        </is>
      </c>
      <c r="E27" s="19" t="inlineStr">
        <is>
          <t>BS.dueto_nc</t>
        </is>
      </c>
      <c r="F27" s="19" t="inlineStr"/>
      <c r="G27" s="3" t="n"/>
    </row>
    <row r="28">
      <c r="A28" s="19" t="inlineStr">
        <is>
          <t>10Q_Q2-2026</t>
        </is>
      </c>
      <c r="B28" s="19" t="inlineStr">
        <is>
          <t>BS</t>
        </is>
      </c>
      <c r="C28" s="19" t="inlineStr">
        <is>
          <t>Condensed Combined Balance Sheets - Liabilities</t>
        </is>
      </c>
      <c r="D28" s="19" t="inlineStr">
        <is>
          <t>Long-term debt</t>
        </is>
      </c>
      <c r="E28" s="19" t="inlineStr">
        <is>
          <t>BS.ltd</t>
        </is>
      </c>
      <c r="F28" s="19" t="inlineStr"/>
      <c r="G28" s="3" t="n"/>
    </row>
    <row r="29">
      <c r="A29" s="19" t="inlineStr">
        <is>
          <t>10Q_Q2-2026</t>
        </is>
      </c>
      <c r="B29" s="19" t="inlineStr">
        <is>
          <t>BS</t>
        </is>
      </c>
      <c r="C29" s="19" t="inlineStr">
        <is>
          <t>Condensed Combined Balance Sheets - Liabilities</t>
        </is>
      </c>
      <c r="D29" s="19" t="inlineStr">
        <is>
          <t>Operating lease liabilities</t>
        </is>
      </c>
      <c r="E29" s="19" t="inlineStr">
        <is>
          <t>BS.lease_nc</t>
        </is>
      </c>
      <c r="F29" s="19" t="inlineStr"/>
      <c r="G29" s="3" t="n"/>
    </row>
    <row r="30">
      <c r="A30" s="19" t="inlineStr">
        <is>
          <t>10Q_Q2-2026</t>
        </is>
      </c>
      <c r="B30" s="19" t="inlineStr">
        <is>
          <t>BS</t>
        </is>
      </c>
      <c r="C30" s="19" t="inlineStr">
        <is>
          <t>Condensed Combined Balance Sheets - Liabilities</t>
        </is>
      </c>
      <c r="D30" s="19" t="inlineStr">
        <is>
          <t>Other non-current liabilities</t>
        </is>
      </c>
      <c r="E30" s="19" t="inlineStr">
        <is>
          <t>BS.oncl</t>
        </is>
      </c>
      <c r="F30" s="19" t="inlineStr"/>
      <c r="G30" s="3" t="n"/>
    </row>
    <row r="31">
      <c r="A31" s="19" t="inlineStr">
        <is>
          <t>10Q_Q2-2026</t>
        </is>
      </c>
      <c r="B31" s="19" t="inlineStr">
        <is>
          <t>BS</t>
        </is>
      </c>
      <c r="C31" s="19" t="inlineStr">
        <is>
          <t>Condensed Combined Balance Sheets - Liabilities</t>
        </is>
      </c>
      <c r="D31" s="19" t="inlineStr">
        <is>
          <t>Total liabilities</t>
        </is>
      </c>
      <c r="E31" s="19" t="inlineStr">
        <is>
          <t>BS.tl</t>
        </is>
      </c>
      <c r="F31" s="19" t="inlineStr"/>
      <c r="G31" s="3" t="n"/>
    </row>
    <row r="32">
      <c r="A32" s="19" t="inlineStr">
        <is>
          <t>10Q_Q2-2026</t>
        </is>
      </c>
      <c r="B32" s="19" t="inlineStr">
        <is>
          <t>CF</t>
        </is>
      </c>
      <c r="C32" s="19" t="inlineStr">
        <is>
          <t>Condensed Combined Statements of Cash Flows - Financing</t>
        </is>
      </c>
      <c r="D32" s="19" t="inlineStr">
        <is>
          <t>Cash used for financing activities</t>
        </is>
      </c>
      <c r="E32" s="19" t="inlineStr">
        <is>
          <t>CF.cff</t>
        </is>
      </c>
      <c r="F32" s="19" t="inlineStr"/>
      <c r="G32" s="3" t="n"/>
    </row>
    <row r="33">
      <c r="A33" s="19" t="inlineStr">
        <is>
          <t>10Q_Q2-2026</t>
        </is>
      </c>
      <c r="B33" s="19" t="inlineStr">
        <is>
          <t>CF</t>
        </is>
      </c>
      <c r="C33" s="19" t="inlineStr">
        <is>
          <t>Condensed Combined Statements of Cash Flows - Financing</t>
        </is>
      </c>
      <c r="D33" s="19" t="inlineStr">
        <is>
          <t>Contingent consideration payments</t>
        </is>
      </c>
      <c r="E33" s="19" t="inlineStr">
        <is>
          <t>CF.contingent</t>
        </is>
      </c>
      <c r="F33" s="19" t="inlineStr"/>
      <c r="G33" s="3" t="n"/>
    </row>
    <row r="34">
      <c r="A34" s="19" t="inlineStr">
        <is>
          <t>10Q_Q2-2026</t>
        </is>
      </c>
      <c r="B34" s="19" t="inlineStr">
        <is>
          <t>CF</t>
        </is>
      </c>
      <c r="C34" s="19" t="inlineStr">
        <is>
          <t>Condensed Combined Statements of Cash Flows - Financing</t>
        </is>
      </c>
      <c r="D34" s="19" t="inlineStr">
        <is>
          <t>Net transfers to Parent</t>
        </is>
      </c>
      <c r="E34" s="19" t="inlineStr">
        <is>
          <t>CF.parent</t>
        </is>
      </c>
      <c r="F34" s="19" t="inlineStr"/>
      <c r="G34" s="3" t="n"/>
    </row>
    <row r="35">
      <c r="A35" s="19" t="inlineStr">
        <is>
          <t>10Q_Q2-2026</t>
        </is>
      </c>
      <c r="B35" s="19" t="inlineStr">
        <is>
          <t>CF</t>
        </is>
      </c>
      <c r="C35" s="19" t="inlineStr">
        <is>
          <t>Condensed Combined Statements of Cash Flows - Financing</t>
        </is>
      </c>
      <c r="D35" s="19" t="inlineStr">
        <is>
          <t>Payments related to loan from related parties</t>
        </is>
      </c>
      <c r="E35" s="19" t="inlineStr">
        <is>
          <t>CF.loan_pay</t>
        </is>
      </c>
      <c r="F35" s="19" t="inlineStr"/>
      <c r="G35" s="3" t="n"/>
    </row>
    <row r="36">
      <c r="A36" s="19" t="inlineStr">
        <is>
          <t>10Q_Q2-2026</t>
        </is>
      </c>
      <c r="B36" s="19" t="inlineStr">
        <is>
          <t>CF</t>
        </is>
      </c>
      <c r="C36" s="19" t="inlineStr">
        <is>
          <t>Condensed Combined Statements of Cash Flows - Financing</t>
        </is>
      </c>
      <c r="D36" s="19" t="inlineStr">
        <is>
          <t>Proceeds from issuance of Senior Notes</t>
        </is>
      </c>
      <c r="E36" s="19" t="inlineStr">
        <is>
          <t>CF.notes</t>
        </is>
      </c>
      <c r="F36" s="19" t="inlineStr"/>
      <c r="G36" s="3" t="n"/>
    </row>
    <row r="37">
      <c r="A37" s="19" t="inlineStr">
        <is>
          <t>10Q_Q2-2026</t>
        </is>
      </c>
      <c r="B37" s="19" t="inlineStr">
        <is>
          <t>CF</t>
        </is>
      </c>
      <c r="C37" s="19" t="inlineStr">
        <is>
          <t>Condensed Combined Statements of Cash Flows - Investing</t>
        </is>
      </c>
      <c r="D37" s="19" t="inlineStr">
        <is>
          <t>Capital expenditures</t>
        </is>
      </c>
      <c r="E37" s="19" t="inlineStr">
        <is>
          <t>CF.capex</t>
        </is>
      </c>
      <c r="F37" s="19" t="inlineStr"/>
      <c r="G37" s="3" t="n"/>
    </row>
    <row r="38">
      <c r="A38" s="19" t="inlineStr">
        <is>
          <t>10Q_Q2-2026</t>
        </is>
      </c>
      <c r="B38" s="19" t="inlineStr">
        <is>
          <t>CF</t>
        </is>
      </c>
      <c r="C38" s="19" t="inlineStr">
        <is>
          <t>Condensed Combined Statements of Cash Flows - Investing</t>
        </is>
      </c>
      <c r="D38" s="19" t="inlineStr">
        <is>
          <t>Cash used for investing activities</t>
        </is>
      </c>
      <c r="E38" s="19" t="inlineStr">
        <is>
          <t>CF.cfi</t>
        </is>
      </c>
      <c r="F38" s="19" t="inlineStr"/>
      <c r="G38" s="3" t="n"/>
    </row>
    <row r="39">
      <c r="A39" s="19" t="inlineStr">
        <is>
          <t>10Q_Q2-2026</t>
        </is>
      </c>
      <c r="B39" s="19" t="inlineStr">
        <is>
          <t>CF</t>
        </is>
      </c>
      <c r="C39" s="19" t="inlineStr">
        <is>
          <t>Condensed Combined Statements of Cash Flows - Investing</t>
        </is>
      </c>
      <c r="D39" s="19" t="inlineStr">
        <is>
          <t>Purchases of equity investments</t>
        </is>
      </c>
      <c r="E39" s="19" t="inlineStr">
        <is>
          <t>CF.eqinv</t>
        </is>
      </c>
      <c r="F39" s="19" t="inlineStr"/>
      <c r="G39" s="3" t="n"/>
    </row>
    <row r="40">
      <c r="A40" s="19" t="inlineStr">
        <is>
          <t>10Q_Q2-2026</t>
        </is>
      </c>
      <c r="B40" s="19" t="inlineStr">
        <is>
          <t>CF</t>
        </is>
      </c>
      <c r="C40" s="19" t="inlineStr">
        <is>
          <t>Condensed Combined Statements of Cash Flows - Operating</t>
        </is>
      </c>
      <c r="D40" s="19" t="inlineStr">
        <is>
          <t>Accounts payable and accrued expenses</t>
        </is>
      </c>
      <c r="E40" s="19" t="inlineStr">
        <is>
          <t>CF.wc_ap</t>
        </is>
      </c>
      <c r="F40" s="19" t="inlineStr"/>
      <c r="G40" s="3" t="n"/>
    </row>
    <row r="41">
      <c r="A41" s="19" t="inlineStr">
        <is>
          <t>10Q_Q2-2026</t>
        </is>
      </c>
      <c r="B41" s="19" t="inlineStr">
        <is>
          <t>CF</t>
        </is>
      </c>
      <c r="C41" s="19" t="inlineStr">
        <is>
          <t>Condensed Combined Statements of Cash Flows - Operating</t>
        </is>
      </c>
      <c r="D41" s="19" t="inlineStr">
        <is>
          <t>Accounts receivable</t>
        </is>
      </c>
      <c r="E41" s="19" t="inlineStr">
        <is>
          <t>CF.wc_ar</t>
        </is>
      </c>
      <c r="F41" s="19" t="inlineStr"/>
      <c r="G41" s="3" t="n"/>
    </row>
    <row r="42">
      <c r="A42" s="19" t="inlineStr">
        <is>
          <t>10Q_Q2-2026</t>
        </is>
      </c>
      <c r="B42" s="19" t="inlineStr">
        <is>
          <t>CF</t>
        </is>
      </c>
      <c r="C42" s="19" t="inlineStr">
        <is>
          <t>Condensed Combined Statements of Cash Flows - Operating</t>
        </is>
      </c>
      <c r="D42" s="19" t="inlineStr">
        <is>
          <t>Amortization of intangibles</t>
        </is>
      </c>
      <c r="E42" s="19" t="inlineStr">
        <is>
          <t>CF.amort</t>
        </is>
      </c>
      <c r="F42" s="19" t="inlineStr"/>
      <c r="G42" s="3" t="n"/>
    </row>
    <row r="43">
      <c r="A43" s="19" t="inlineStr">
        <is>
          <t>10Q_Q2-2026</t>
        </is>
      </c>
      <c r="B43" s="19" t="inlineStr">
        <is>
          <t>CF</t>
        </is>
      </c>
      <c r="C43" s="19" t="inlineStr">
        <is>
          <t>Condensed Combined Statements of Cash Flows - Operating</t>
        </is>
      </c>
      <c r="D43" s="19" t="inlineStr">
        <is>
          <t>Cash provided by operating activities</t>
        </is>
      </c>
      <c r="E43" s="19" t="inlineStr">
        <is>
          <t>CF.cfo</t>
        </is>
      </c>
      <c r="F43" s="19" t="inlineStr"/>
      <c r="G43" s="3" t="n"/>
    </row>
    <row r="44">
      <c r="A44" s="19" t="inlineStr">
        <is>
          <t>10Q_Q2-2026</t>
        </is>
      </c>
      <c r="B44" s="19" t="inlineStr">
        <is>
          <t>CF</t>
        </is>
      </c>
      <c r="C44" s="19" t="inlineStr">
        <is>
          <t>Condensed Combined Statements of Cash Flows - Operating</t>
        </is>
      </c>
      <c r="D44" s="19" t="inlineStr">
        <is>
          <t>Deferred income taxes</t>
        </is>
      </c>
      <c r="E44" s="19" t="inlineStr">
        <is>
          <t>CF.deftax</t>
        </is>
      </c>
      <c r="F44" s="19" t="inlineStr"/>
      <c r="G44" s="3" t="n"/>
    </row>
    <row r="45">
      <c r="A45" s="19" t="inlineStr">
        <is>
          <t>10Q_Q2-2026</t>
        </is>
      </c>
      <c r="B45" s="19" t="inlineStr">
        <is>
          <t>CF</t>
        </is>
      </c>
      <c r="C45" s="19" t="inlineStr">
        <is>
          <t>Condensed Combined Statements of Cash Flows - Operating</t>
        </is>
      </c>
      <c r="D45" s="19" t="inlineStr">
        <is>
          <t>Depreciation</t>
        </is>
      </c>
      <c r="E45" s="19" t="inlineStr">
        <is>
          <t>CF.dep</t>
        </is>
      </c>
      <c r="F45" s="19" t="inlineStr"/>
      <c r="G45" s="3" t="n"/>
    </row>
    <row r="46">
      <c r="A46" s="19" t="inlineStr">
        <is>
          <t>10Q_Q2-2026</t>
        </is>
      </c>
      <c r="B46" s="19" t="inlineStr">
        <is>
          <t>CF</t>
        </is>
      </c>
      <c r="C46" s="19" t="inlineStr">
        <is>
          <t>Condensed Combined Statements of Cash Flows - Operating</t>
        </is>
      </c>
      <c r="D46" s="19" t="inlineStr">
        <is>
          <t>Due from related parties</t>
        </is>
      </c>
      <c r="E46" s="19" t="inlineStr">
        <is>
          <t>CF.wc_duefrom</t>
        </is>
      </c>
      <c r="F46" s="19" t="inlineStr"/>
      <c r="G46" s="3" t="n"/>
    </row>
    <row r="47">
      <c r="A47" s="19" t="inlineStr">
        <is>
          <t>10Q_Q2-2026</t>
        </is>
      </c>
      <c r="B47" s="19" t="inlineStr">
        <is>
          <t>CF</t>
        </is>
      </c>
      <c r="C47" s="19" t="inlineStr">
        <is>
          <t>Condensed Combined Statements of Cash Flows - Operating</t>
        </is>
      </c>
      <c r="D47" s="19" t="inlineStr">
        <is>
          <t>Due to related parties</t>
        </is>
      </c>
      <c r="E47" s="19" t="inlineStr">
        <is>
          <t>CF.wc_dueto</t>
        </is>
      </c>
      <c r="F47" s="19" t="inlineStr"/>
      <c r="G47" s="3" t="n"/>
    </row>
    <row r="48">
      <c r="A48" s="19" t="inlineStr">
        <is>
          <t>10Q_Q2-2026</t>
        </is>
      </c>
      <c r="B48" s="19" t="inlineStr">
        <is>
          <t>CF</t>
        </is>
      </c>
      <c r="C48" s="19" t="inlineStr">
        <is>
          <t>Condensed Combined Statements of Cash Flows - Operating</t>
        </is>
      </c>
      <c r="D48" s="19" t="inlineStr">
        <is>
          <t>Net change in other assets and liabilities</t>
        </is>
      </c>
      <c r="E48" s="19" t="inlineStr">
        <is>
          <t>CF.wc_other</t>
        </is>
      </c>
      <c r="F48" s="19" t="inlineStr"/>
      <c r="G48" s="3" t="n"/>
    </row>
    <row r="49">
      <c r="A49" s="19" t="inlineStr">
        <is>
          <t>10Q_Q2-2026</t>
        </is>
      </c>
      <c r="B49" s="19" t="inlineStr">
        <is>
          <t>CF</t>
        </is>
      </c>
      <c r="C49" s="19" t="inlineStr">
        <is>
          <t>Condensed Combined Statements of Cash Flows - Operating</t>
        </is>
      </c>
      <c r="D49" s="19" t="inlineStr">
        <is>
          <t>Net income</t>
        </is>
      </c>
      <c r="E49" s="19" t="inlineStr">
        <is>
          <t>CF.ni</t>
        </is>
      </c>
      <c r="F49" s="19" t="inlineStr"/>
      <c r="G49" s="3" t="n"/>
    </row>
    <row r="50">
      <c r="A50" s="19" t="inlineStr">
        <is>
          <t>10Q_Q2-2026</t>
        </is>
      </c>
      <c r="B50" s="19" t="inlineStr">
        <is>
          <t>CF</t>
        </is>
      </c>
      <c r="C50" s="19" t="inlineStr">
        <is>
          <t>Condensed Combined Statements of Cash Flows - Operating</t>
        </is>
      </c>
      <c r="D50" s="19" t="inlineStr">
        <is>
          <t>Other</t>
        </is>
      </c>
      <c r="E50" s="19" t="inlineStr">
        <is>
          <t>CF.other</t>
        </is>
      </c>
      <c r="F50" s="19" t="inlineStr"/>
      <c r="G50" s="3" t="n"/>
    </row>
    <row r="51">
      <c r="A51" s="19" t="inlineStr">
        <is>
          <t>10Q_Q2-2026</t>
        </is>
      </c>
      <c r="B51" s="19" t="inlineStr">
        <is>
          <t>CF</t>
        </is>
      </c>
      <c r="C51" s="19" t="inlineStr">
        <is>
          <t>Condensed Combined Statements of Cash Flows - Operating</t>
        </is>
      </c>
      <c r="D51" s="19" t="inlineStr">
        <is>
          <t>Other current liabilities</t>
        </is>
      </c>
      <c r="E51" s="19" t="inlineStr">
        <is>
          <t>CF.wc_ocl</t>
        </is>
      </c>
      <c r="F51" s="19" t="inlineStr"/>
      <c r="G51" s="3" t="n"/>
    </row>
    <row r="52">
      <c r="A52" s="19" t="inlineStr">
        <is>
          <t>10Q_Q2-2026</t>
        </is>
      </c>
      <c r="B52" s="19" t="inlineStr">
        <is>
          <t>CF</t>
        </is>
      </c>
      <c r="C52" s="19" t="inlineStr">
        <is>
          <t>Condensed Combined Statements of Cash Flows - Operating</t>
        </is>
      </c>
      <c r="D52" s="19" t="inlineStr">
        <is>
          <t>Prepaid and other current assets</t>
        </is>
      </c>
      <c r="E52" s="19" t="inlineStr">
        <is>
          <t>CF.wc_prepaid</t>
        </is>
      </c>
      <c r="F52" s="19" t="inlineStr"/>
      <c r="G52" s="3" t="n"/>
    </row>
    <row r="53">
      <c r="A53" s="19" t="inlineStr">
        <is>
          <t>10Q_Q2-2026</t>
        </is>
      </c>
      <c r="B53" s="19" t="inlineStr">
        <is>
          <t>CF</t>
        </is>
      </c>
      <c r="C53" s="19" t="inlineStr">
        <is>
          <t>Condensed Combined Statements of Cash Flows - Operating</t>
        </is>
      </c>
      <c r="D53" s="19" t="inlineStr">
        <is>
          <t>Provision for losses on accounts receivable</t>
        </is>
      </c>
      <c r="E53" s="19" t="inlineStr">
        <is>
          <t>CF.prov</t>
        </is>
      </c>
      <c r="F53" s="19" t="inlineStr"/>
      <c r="G53" s="3" t="n"/>
    </row>
    <row r="54">
      <c r="A54" s="19" t="inlineStr">
        <is>
          <t>10Q_Q2-2026</t>
        </is>
      </c>
      <c r="B54" s="19" t="inlineStr">
        <is>
          <t>CF</t>
        </is>
      </c>
      <c r="C54" s="19" t="inlineStr">
        <is>
          <t>Condensed Combined Statements of Cash Flows - Operating</t>
        </is>
      </c>
      <c r="D54" s="19" t="inlineStr">
        <is>
          <t>Stock-based compensation</t>
        </is>
      </c>
      <c r="E54" s="19" t="inlineStr">
        <is>
          <t>CF.sbc</t>
        </is>
      </c>
      <c r="F54" s="19" t="inlineStr"/>
      <c r="G54" s="3" t="n"/>
    </row>
    <row r="55">
      <c r="A55" s="19" t="inlineStr">
        <is>
          <t>10Q_Q2-2026</t>
        </is>
      </c>
      <c r="B55" s="19" t="inlineStr">
        <is>
          <t>CF</t>
        </is>
      </c>
      <c r="C55" s="19" t="inlineStr">
        <is>
          <t>Condensed Combined Statements of Cash Flows - Operating</t>
        </is>
      </c>
      <c r="D55" s="19" t="inlineStr">
        <is>
          <t>Unearned revenue</t>
        </is>
      </c>
      <c r="E55" s="19" t="inlineStr">
        <is>
          <t>CF.wc_unearned</t>
        </is>
      </c>
      <c r="F55" s="19" t="inlineStr"/>
      <c r="G55" s="3" t="n"/>
    </row>
    <row r="56">
      <c r="A56" s="19" t="inlineStr">
        <is>
          <t>10Q_Q2-2026</t>
        </is>
      </c>
      <c r="B56" s="19" t="inlineStr">
        <is>
          <t>CF</t>
        </is>
      </c>
      <c r="C56" s="19" t="inlineStr">
        <is>
          <t>Condensed Combined Statements of Cash Flows - Supplemental non-cash disclosures</t>
        </is>
      </c>
      <c r="D56" s="19" t="inlineStr">
        <is>
          <t>Accrued debt issuance costs</t>
        </is>
      </c>
      <c r="E56" s="19" t="inlineStr">
        <is>
          <t>CF.sup_debtcost</t>
        </is>
      </c>
      <c r="F56" s="19" t="inlineStr"/>
      <c r="G56" s="3" t="n"/>
    </row>
    <row r="57">
      <c r="A57" s="19" t="inlineStr">
        <is>
          <t>10Q_Q2-2026</t>
        </is>
      </c>
      <c r="B57" s="19" t="inlineStr">
        <is>
          <t>CF</t>
        </is>
      </c>
      <c r="C57" s="19" t="inlineStr">
        <is>
          <t>Condensed Combined Statements of Cash Flows - Supplemental non-cash disclosures</t>
        </is>
      </c>
      <c r="D57" s="19" t="inlineStr">
        <is>
          <t>Consolidation of Canada Carfax Loan</t>
        </is>
      </c>
      <c r="E57" s="19" t="inlineStr">
        <is>
          <t>CF.sup_canloan</t>
        </is>
      </c>
      <c r="F57" s="19" t="inlineStr"/>
      <c r="G57" s="3" t="n"/>
    </row>
    <row r="58">
      <c r="A58" s="19" t="inlineStr">
        <is>
          <t>10Q_Q2-2026</t>
        </is>
      </c>
      <c r="B58" s="19" t="inlineStr">
        <is>
          <t>CF</t>
        </is>
      </c>
      <c r="C58" s="19" t="inlineStr">
        <is>
          <t>Condensed Combined Statements of Cash Flows - Total</t>
        </is>
      </c>
      <c r="D58" s="19" t="inlineStr">
        <is>
          <t>Cash and cash equivalents at beginning of period</t>
        </is>
      </c>
      <c r="E58" s="19" t="inlineStr">
        <is>
          <t>CF.beg</t>
        </is>
      </c>
      <c r="F58" s="19" t="inlineStr"/>
      <c r="G58" s="3" t="n"/>
    </row>
    <row r="59">
      <c r="A59" s="19" t="inlineStr">
        <is>
          <t>10Q_Q2-2026</t>
        </is>
      </c>
      <c r="B59" s="19" t="inlineStr">
        <is>
          <t>CF</t>
        </is>
      </c>
      <c r="C59" s="19" t="inlineStr">
        <is>
          <t>Condensed Combined Statements of Cash Flows - Total</t>
        </is>
      </c>
      <c r="D59" s="19" t="inlineStr">
        <is>
          <t>Cash and cash equivalents at end of period</t>
        </is>
      </c>
      <c r="E59" s="19" t="inlineStr">
        <is>
          <t>CF.end</t>
        </is>
      </c>
      <c r="F59" s="19" t="inlineStr"/>
      <c r="G59" s="3" t="n"/>
    </row>
    <row r="60">
      <c r="A60" s="19" t="inlineStr">
        <is>
          <t>10Q_Q2-2026</t>
        </is>
      </c>
      <c r="B60" s="19" t="inlineStr">
        <is>
          <t>CF</t>
        </is>
      </c>
      <c r="C60" s="19" t="inlineStr">
        <is>
          <t>Condensed Combined Statements of Cash Flows - Total</t>
        </is>
      </c>
      <c r="D60" s="19" t="inlineStr">
        <is>
          <t>Effect of exchange rate changes on cash</t>
        </is>
      </c>
      <c r="E60" s="19" t="inlineStr">
        <is>
          <t>CF.fx</t>
        </is>
      </c>
      <c r="F60" s="19" t="inlineStr"/>
      <c r="G60" s="3" t="n"/>
    </row>
    <row r="61">
      <c r="A61" s="19" t="inlineStr">
        <is>
          <t>10Q_Q2-2026</t>
        </is>
      </c>
      <c r="B61" s="19" t="inlineStr">
        <is>
          <t>CF</t>
        </is>
      </c>
      <c r="C61" s="19" t="inlineStr">
        <is>
          <t>Condensed Combined Statements of Cash Flows - Total</t>
        </is>
      </c>
      <c r="D61" s="19" t="inlineStr">
        <is>
          <t>Net change in cash and cash equivalents</t>
        </is>
      </c>
      <c r="E61" s="19" t="inlineStr">
        <is>
          <t>CF.chg</t>
        </is>
      </c>
      <c r="F61" s="19" t="inlineStr"/>
      <c r="G61" s="3" t="n"/>
    </row>
    <row r="62">
      <c r="A62" s="19" t="inlineStr">
        <is>
          <t>10Q_Q2-2026</t>
        </is>
      </c>
      <c r="B62" s="19" t="inlineStr">
        <is>
          <t>EQ</t>
        </is>
      </c>
      <c r="C62" s="19" t="inlineStr">
        <is>
          <t>Condensed Combined Statements of Equity - Accumulated Other Comprehensive Income (Loss)</t>
        </is>
      </c>
      <c r="D62" s="19" t="inlineStr">
        <is>
          <t>Balance as of December 31 (opening)</t>
        </is>
      </c>
      <c r="E62" s="19" t="inlineStr">
        <is>
          <t>EXCLUDE</t>
        </is>
      </c>
      <c r="F62" s="19" t="inlineStr">
        <is>
          <t>Equity roll-forward -&gt; Equity tab (separate build)</t>
        </is>
      </c>
      <c r="G62" s="3" t="n"/>
    </row>
    <row r="63">
      <c r="A63" s="19" t="inlineStr">
        <is>
          <t>10Q_Q2-2026</t>
        </is>
      </c>
      <c r="B63" s="19" t="inlineStr">
        <is>
          <t>EQ</t>
        </is>
      </c>
      <c r="C63" s="19" t="inlineStr">
        <is>
          <t>Condensed Combined Statements of Equity - Accumulated Other Comprehensive Income (Loss)</t>
        </is>
      </c>
      <c r="D63" s="19" t="inlineStr">
        <is>
          <t>Balance as of June 30, 2025</t>
        </is>
      </c>
      <c r="E63" s="19" t="inlineStr">
        <is>
          <t>EXCLUDE</t>
        </is>
      </c>
      <c r="F63" s="19" t="inlineStr">
        <is>
          <t>Equity roll-forward -&gt; Equity tab (separate build)</t>
        </is>
      </c>
      <c r="G63" s="3" t="n"/>
    </row>
    <row r="64">
      <c r="A64" s="19" t="inlineStr">
        <is>
          <t>10Q_Q2-2026</t>
        </is>
      </c>
      <c r="B64" s="19" t="inlineStr">
        <is>
          <t>EQ</t>
        </is>
      </c>
      <c r="C64" s="19" t="inlineStr">
        <is>
          <t>Condensed Combined Statements of Equity - Accumulated Other Comprehensive Income (Loss)</t>
        </is>
      </c>
      <c r="D64" s="19" t="inlineStr">
        <is>
          <t>Balance as of June 30, 2026</t>
        </is>
      </c>
      <c r="E64" s="19" t="inlineStr">
        <is>
          <t>EXCLUDE</t>
        </is>
      </c>
      <c r="F64" s="19" t="inlineStr">
        <is>
          <t>Equity roll-forward -&gt; Equity tab (separate build)</t>
        </is>
      </c>
      <c r="G64" s="3" t="n"/>
    </row>
    <row r="65">
      <c r="A65" s="19" t="inlineStr">
        <is>
          <t>10Q_Q2-2026</t>
        </is>
      </c>
      <c r="B65" s="19" t="inlineStr">
        <is>
          <t>EQ</t>
        </is>
      </c>
      <c r="C65" s="19" t="inlineStr">
        <is>
          <t>Condensed Combined Statements of Equity - Accumulated Other Comprehensive Income (Loss)</t>
        </is>
      </c>
      <c r="D65" s="19" t="inlineStr">
        <is>
          <t>Balance as of March 31, 2025</t>
        </is>
      </c>
      <c r="E65" s="19" t="inlineStr">
        <is>
          <t>EXCLUDE</t>
        </is>
      </c>
      <c r="F65" s="19" t="inlineStr">
        <is>
          <t>Equity roll-forward -&gt; Equity tab (separate build)</t>
        </is>
      </c>
      <c r="G65" s="3" t="n"/>
    </row>
    <row r="66">
      <c r="A66" s="19" t="inlineStr">
        <is>
          <t>10Q_Q2-2026</t>
        </is>
      </c>
      <c r="B66" s="19" t="inlineStr">
        <is>
          <t>EQ</t>
        </is>
      </c>
      <c r="C66" s="19" t="inlineStr">
        <is>
          <t>Condensed Combined Statements of Equity - Accumulated Other Comprehensive Income (Loss)</t>
        </is>
      </c>
      <c r="D66" s="19" t="inlineStr">
        <is>
          <t>Balance as of March 31, 2026</t>
        </is>
      </c>
      <c r="E66" s="19" t="inlineStr">
        <is>
          <t>EXCLUDE</t>
        </is>
      </c>
      <c r="F66" s="19" t="inlineStr">
        <is>
          <t>Equity roll-forward -&gt; Equity tab (separate build)</t>
        </is>
      </c>
      <c r="G66" s="3" t="n"/>
    </row>
    <row r="67">
      <c r="A67" s="19" t="inlineStr">
        <is>
          <t>10Q_Q2-2026</t>
        </is>
      </c>
      <c r="B67" s="19" t="inlineStr">
        <is>
          <t>EQ</t>
        </is>
      </c>
      <c r="C67" s="19" t="inlineStr">
        <is>
          <t>Condensed Combined Statements of Equity - Accumulated Other Comprehensive Income (Loss)</t>
        </is>
      </c>
      <c r="D67" s="19" t="inlineStr">
        <is>
          <t>Comprehensive income (loss), net of tax</t>
        </is>
      </c>
      <c r="E67" s="19" t="inlineStr">
        <is>
          <t>EXCLUDE</t>
        </is>
      </c>
      <c r="F67" s="19" t="inlineStr">
        <is>
          <t>Equity roll-forward -&gt; Equity tab (separate build)</t>
        </is>
      </c>
      <c r="G67" s="3" t="n"/>
    </row>
    <row r="68">
      <c r="A68" s="19" t="inlineStr">
        <is>
          <t>10Q_Q2-2026</t>
        </is>
      </c>
      <c r="B68" s="19" t="inlineStr">
        <is>
          <t>EQ</t>
        </is>
      </c>
      <c r="C68" s="19" t="inlineStr">
        <is>
          <t>Condensed Combined Statements of Equity - Accumulated Other Comprehensive Income (Loss)</t>
        </is>
      </c>
      <c r="D68" s="19" t="inlineStr">
        <is>
          <t>Comprehensive income, net of tax</t>
        </is>
      </c>
      <c r="E68" s="19" t="inlineStr">
        <is>
          <t>EXCLUDE</t>
        </is>
      </c>
      <c r="F68" s="19" t="inlineStr">
        <is>
          <t>Equity roll-forward -&gt; Equity tab (separate build)</t>
        </is>
      </c>
      <c r="G68" s="3" t="n"/>
    </row>
    <row r="69">
      <c r="A69" s="19" t="inlineStr">
        <is>
          <t>10Q_Q2-2026</t>
        </is>
      </c>
      <c r="B69" s="19" t="inlineStr">
        <is>
          <t>EQ</t>
        </is>
      </c>
      <c r="C69" s="19" t="inlineStr">
        <is>
          <t>Condensed Combined Statements of Equity - Parent Company Investment</t>
        </is>
      </c>
      <c r="D69" s="19" t="inlineStr">
        <is>
          <t>Balance as of December 31 (opening)</t>
        </is>
      </c>
      <c r="E69" s="19" t="inlineStr">
        <is>
          <t>EXCLUDE</t>
        </is>
      </c>
      <c r="F69" s="19" t="inlineStr">
        <is>
          <t>Equity roll-forward -&gt; Equity tab (separate build)</t>
        </is>
      </c>
      <c r="G69" s="3" t="n"/>
    </row>
    <row r="70">
      <c r="A70" s="19" t="inlineStr">
        <is>
          <t>10Q_Q2-2026</t>
        </is>
      </c>
      <c r="B70" s="19" t="inlineStr">
        <is>
          <t>EQ</t>
        </is>
      </c>
      <c r="C70" s="19" t="inlineStr">
        <is>
          <t>Condensed Combined Statements of Equity - Parent Company Investment</t>
        </is>
      </c>
      <c r="D70" s="19" t="inlineStr">
        <is>
          <t>Balance as of June 30, 2025</t>
        </is>
      </c>
      <c r="E70" s="19" t="inlineStr">
        <is>
          <t>EXCLUDE</t>
        </is>
      </c>
      <c r="F70" s="19" t="inlineStr">
        <is>
          <t>Equity roll-forward -&gt; Equity tab (separate build)</t>
        </is>
      </c>
      <c r="G70" s="3" t="n"/>
    </row>
    <row r="71">
      <c r="A71" s="19" t="inlineStr">
        <is>
          <t>10Q_Q2-2026</t>
        </is>
      </c>
      <c r="B71" s="19" t="inlineStr">
        <is>
          <t>EQ</t>
        </is>
      </c>
      <c r="C71" s="19" t="inlineStr">
        <is>
          <t>Condensed Combined Statements of Equity - Parent Company Investment</t>
        </is>
      </c>
      <c r="D71" s="19" t="inlineStr">
        <is>
          <t>Balance as of June 30, 2026</t>
        </is>
      </c>
      <c r="E71" s="19" t="inlineStr">
        <is>
          <t>EXCLUDE</t>
        </is>
      </c>
      <c r="F71" s="19" t="inlineStr">
        <is>
          <t>Equity roll-forward -&gt; Equity tab (separate build)</t>
        </is>
      </c>
      <c r="G71" s="3" t="n"/>
    </row>
    <row r="72">
      <c r="A72" s="19" t="inlineStr">
        <is>
          <t>10Q_Q2-2026</t>
        </is>
      </c>
      <c r="B72" s="19" t="inlineStr">
        <is>
          <t>EQ</t>
        </is>
      </c>
      <c r="C72" s="19" t="inlineStr">
        <is>
          <t>Condensed Combined Statements of Equity - Parent Company Investment</t>
        </is>
      </c>
      <c r="D72" s="19" t="inlineStr">
        <is>
          <t>Balance as of March 31, 2025</t>
        </is>
      </c>
      <c r="E72" s="19" t="inlineStr">
        <is>
          <t>EXCLUDE</t>
        </is>
      </c>
      <c r="F72" s="19" t="inlineStr">
        <is>
          <t>Equity roll-forward -&gt; Equity tab (separate build)</t>
        </is>
      </c>
      <c r="G72" s="3" t="n"/>
    </row>
    <row r="73">
      <c r="A73" s="19" t="inlineStr">
        <is>
          <t>10Q_Q2-2026</t>
        </is>
      </c>
      <c r="B73" s="19" t="inlineStr">
        <is>
          <t>EQ</t>
        </is>
      </c>
      <c r="C73" s="19" t="inlineStr">
        <is>
          <t>Condensed Combined Statements of Equity - Parent Company Investment</t>
        </is>
      </c>
      <c r="D73" s="19" t="inlineStr">
        <is>
          <t>Balance as of March 31, 2026</t>
        </is>
      </c>
      <c r="E73" s="19" t="inlineStr">
        <is>
          <t>EXCLUDE</t>
        </is>
      </c>
      <c r="F73" s="19" t="inlineStr">
        <is>
          <t>Equity roll-forward -&gt; Equity tab (separate build)</t>
        </is>
      </c>
      <c r="G73" s="3" t="n"/>
    </row>
    <row r="74">
      <c r="A74" s="19" t="inlineStr">
        <is>
          <t>10Q_Q2-2026</t>
        </is>
      </c>
      <c r="B74" s="19" t="inlineStr">
        <is>
          <t>EQ</t>
        </is>
      </c>
      <c r="C74" s="19" t="inlineStr">
        <is>
          <t>Condensed Combined Statements of Equity - Parent Company Investment</t>
        </is>
      </c>
      <c r="D74" s="19" t="inlineStr">
        <is>
          <t>Comprehensive income (loss), net of tax</t>
        </is>
      </c>
      <c r="E74" s="19" t="inlineStr">
        <is>
          <t>EXCLUDE</t>
        </is>
      </c>
      <c r="F74" s="19" t="inlineStr">
        <is>
          <t>Equity roll-forward -&gt; Equity tab (separate build)</t>
        </is>
      </c>
      <c r="G74" s="3" t="n"/>
    </row>
    <row r="75">
      <c r="A75" s="19" t="inlineStr">
        <is>
          <t>10Q_Q2-2026</t>
        </is>
      </c>
      <c r="B75" s="19" t="inlineStr">
        <is>
          <t>EQ</t>
        </is>
      </c>
      <c r="C75" s="19" t="inlineStr">
        <is>
          <t>Condensed Combined Statements of Equity - Parent Company Investment</t>
        </is>
      </c>
      <c r="D75" s="19" t="inlineStr">
        <is>
          <t>Comprehensive income, net of tax</t>
        </is>
      </c>
      <c r="E75" s="19" t="inlineStr">
        <is>
          <t>EXCLUDE</t>
        </is>
      </c>
      <c r="F75" s="19" t="inlineStr">
        <is>
          <t>Equity roll-forward -&gt; Equity tab (separate build)</t>
        </is>
      </c>
      <c r="G75" s="3" t="n"/>
    </row>
    <row r="76">
      <c r="A76" s="19" t="inlineStr">
        <is>
          <t>10Q_Q2-2026</t>
        </is>
      </c>
      <c r="B76" s="19" t="inlineStr">
        <is>
          <t>EQ</t>
        </is>
      </c>
      <c r="C76" s="19" t="inlineStr">
        <is>
          <t>Condensed Combined Statements of Equity - Parent Company Investment</t>
        </is>
      </c>
      <c r="D76" s="19" t="inlineStr">
        <is>
          <t>Net decrease in Parent company investment</t>
        </is>
      </c>
      <c r="E76" s="19" t="inlineStr">
        <is>
          <t>EXCLUDE</t>
        </is>
      </c>
      <c r="F76" s="19" t="inlineStr">
        <is>
          <t>Equity roll-forward -&gt; Equity tab (separate build)</t>
        </is>
      </c>
      <c r="G76" s="3" t="n"/>
    </row>
    <row r="77">
      <c r="A77" s="19" t="inlineStr">
        <is>
          <t>10Q_Q2-2026</t>
        </is>
      </c>
      <c r="B77" s="19" t="inlineStr">
        <is>
          <t>EQ</t>
        </is>
      </c>
      <c r="C77" s="19" t="inlineStr">
        <is>
          <t>Condensed Combined Statements of Equity - Parent Company Investment</t>
        </is>
      </c>
      <c r="D77" s="19" t="inlineStr">
        <is>
          <t>Net increase in Parent company investment</t>
        </is>
      </c>
      <c r="E77" s="19" t="inlineStr">
        <is>
          <t>EXCLUDE</t>
        </is>
      </c>
      <c r="F77" s="19" t="inlineStr">
        <is>
          <t>Equity roll-forward -&gt; Equity tab (separate build)</t>
        </is>
      </c>
      <c r="G77" s="3" t="n"/>
    </row>
    <row r="78">
      <c r="A78" s="19" t="inlineStr">
        <is>
          <t>10Q_Q2-2026</t>
        </is>
      </c>
      <c r="B78" s="19" t="inlineStr">
        <is>
          <t>EQ</t>
        </is>
      </c>
      <c r="C78" s="19" t="inlineStr">
        <is>
          <t>Condensed Combined Statements of Equity - Total Equity</t>
        </is>
      </c>
      <c r="D78" s="19" t="inlineStr">
        <is>
          <t>Balance as of December 31 (opening)</t>
        </is>
      </c>
      <c r="E78" s="19" t="inlineStr">
        <is>
          <t>EXCLUDE</t>
        </is>
      </c>
      <c r="F78" s="19" t="inlineStr">
        <is>
          <t>Equity roll-forward -&gt; Equity tab (separate build)</t>
        </is>
      </c>
      <c r="G78" s="3" t="n"/>
    </row>
    <row r="79">
      <c r="A79" s="19" t="inlineStr">
        <is>
          <t>10Q_Q2-2026</t>
        </is>
      </c>
      <c r="B79" s="19" t="inlineStr">
        <is>
          <t>EQ</t>
        </is>
      </c>
      <c r="C79" s="19" t="inlineStr">
        <is>
          <t>Condensed Combined Statements of Equity - Total Equity</t>
        </is>
      </c>
      <c r="D79" s="19" t="inlineStr">
        <is>
          <t>Balance as of June 30, 2025</t>
        </is>
      </c>
      <c r="E79" s="19" t="inlineStr">
        <is>
          <t>EXCLUDE</t>
        </is>
      </c>
      <c r="F79" s="19" t="inlineStr">
        <is>
          <t>Equity roll-forward -&gt; Equity tab (separate build)</t>
        </is>
      </c>
      <c r="G79" s="3" t="n"/>
    </row>
    <row r="80">
      <c r="A80" s="19" t="inlineStr">
        <is>
          <t>10Q_Q2-2026</t>
        </is>
      </c>
      <c r="B80" s="19" t="inlineStr">
        <is>
          <t>EQ</t>
        </is>
      </c>
      <c r="C80" s="19" t="inlineStr">
        <is>
          <t>Condensed Combined Statements of Equity - Total Equity</t>
        </is>
      </c>
      <c r="D80" s="19" t="inlineStr">
        <is>
          <t>Balance as of June 30, 2026</t>
        </is>
      </c>
      <c r="E80" s="19" t="inlineStr">
        <is>
          <t>EXCLUDE</t>
        </is>
      </c>
      <c r="F80" s="19" t="inlineStr">
        <is>
          <t>Equity roll-forward -&gt; Equity tab (separate build)</t>
        </is>
      </c>
      <c r="G80" s="3" t="n"/>
    </row>
    <row r="81">
      <c r="A81" s="19" t="inlineStr">
        <is>
          <t>10Q_Q2-2026</t>
        </is>
      </c>
      <c r="B81" s="19" t="inlineStr">
        <is>
          <t>EQ</t>
        </is>
      </c>
      <c r="C81" s="19" t="inlineStr">
        <is>
          <t>Condensed Combined Statements of Equity - Total Equity</t>
        </is>
      </c>
      <c r="D81" s="19" t="inlineStr">
        <is>
          <t>Balance as of March 31, 2025</t>
        </is>
      </c>
      <c r="E81" s="19" t="inlineStr">
        <is>
          <t>EXCLUDE</t>
        </is>
      </c>
      <c r="F81" s="19" t="inlineStr">
        <is>
          <t>Equity roll-forward -&gt; Equity tab (separate build)</t>
        </is>
      </c>
      <c r="G81" s="3" t="n"/>
    </row>
    <row r="82">
      <c r="A82" s="19" t="inlineStr">
        <is>
          <t>10Q_Q2-2026</t>
        </is>
      </c>
      <c r="B82" s="19" t="inlineStr">
        <is>
          <t>EQ</t>
        </is>
      </c>
      <c r="C82" s="19" t="inlineStr">
        <is>
          <t>Condensed Combined Statements of Equity - Total Equity</t>
        </is>
      </c>
      <c r="D82" s="19" t="inlineStr">
        <is>
          <t>Balance as of March 31, 2026</t>
        </is>
      </c>
      <c r="E82" s="19" t="inlineStr">
        <is>
          <t>EXCLUDE</t>
        </is>
      </c>
      <c r="F82" s="19" t="inlineStr">
        <is>
          <t>Equity roll-forward -&gt; Equity tab (separate build)</t>
        </is>
      </c>
      <c r="G82" s="3" t="n"/>
    </row>
    <row r="83">
      <c r="A83" s="19" t="inlineStr">
        <is>
          <t>10Q_Q2-2026</t>
        </is>
      </c>
      <c r="B83" s="19" t="inlineStr">
        <is>
          <t>EQ</t>
        </is>
      </c>
      <c r="C83" s="19" t="inlineStr">
        <is>
          <t>Condensed Combined Statements of Equity - Total Equity</t>
        </is>
      </c>
      <c r="D83" s="19" t="inlineStr">
        <is>
          <t>Comprehensive income (loss), net of tax</t>
        </is>
      </c>
      <c r="E83" s="19" t="inlineStr">
        <is>
          <t>EXCLUDE</t>
        </is>
      </c>
      <c r="F83" s="19" t="inlineStr">
        <is>
          <t>Equity roll-forward -&gt; Equity tab (separate build)</t>
        </is>
      </c>
      <c r="G83" s="3" t="n"/>
    </row>
    <row r="84">
      <c r="A84" s="19" t="inlineStr">
        <is>
          <t>10Q_Q2-2026</t>
        </is>
      </c>
      <c r="B84" s="19" t="inlineStr">
        <is>
          <t>EQ</t>
        </is>
      </c>
      <c r="C84" s="19" t="inlineStr">
        <is>
          <t>Condensed Combined Statements of Equity - Total Equity</t>
        </is>
      </c>
      <c r="D84" s="19" t="inlineStr">
        <is>
          <t>Comprehensive income, net of tax</t>
        </is>
      </c>
      <c r="E84" s="19" t="inlineStr">
        <is>
          <t>EXCLUDE</t>
        </is>
      </c>
      <c r="F84" s="19" t="inlineStr">
        <is>
          <t>Equity roll-forward -&gt; Equity tab (separate build)</t>
        </is>
      </c>
      <c r="G84" s="3" t="n"/>
    </row>
    <row r="85">
      <c r="A85" s="19" t="inlineStr">
        <is>
          <t>10Q_Q2-2026</t>
        </is>
      </c>
      <c r="B85" s="19" t="inlineStr">
        <is>
          <t>EQ</t>
        </is>
      </c>
      <c r="C85" s="19" t="inlineStr">
        <is>
          <t>Condensed Combined Statements of Equity - Total Equity</t>
        </is>
      </c>
      <c r="D85" s="19" t="inlineStr">
        <is>
          <t>Net decrease in Parent company investment</t>
        </is>
      </c>
      <c r="E85" s="19" t="inlineStr">
        <is>
          <t>EXCLUDE</t>
        </is>
      </c>
      <c r="F85" s="19" t="inlineStr">
        <is>
          <t>Equity roll-forward -&gt; Equity tab (separate build)</t>
        </is>
      </c>
      <c r="G85" s="3" t="n"/>
    </row>
    <row r="86">
      <c r="A86" s="19" t="inlineStr">
        <is>
          <t>10Q_Q2-2026</t>
        </is>
      </c>
      <c r="B86" s="19" t="inlineStr">
        <is>
          <t>EQ</t>
        </is>
      </c>
      <c r="C86" s="19" t="inlineStr">
        <is>
          <t>Condensed Combined Statements of Equity - Total Equity</t>
        </is>
      </c>
      <c r="D86" s="19" t="inlineStr">
        <is>
          <t>Net increase in Parent company investment</t>
        </is>
      </c>
      <c r="E86" s="19" t="inlineStr">
        <is>
          <t>EXCLUDE</t>
        </is>
      </c>
      <c r="F86" s="19" t="inlineStr">
        <is>
          <t>Equity roll-forward -&gt; Equity tab (separate build)</t>
        </is>
      </c>
      <c r="G86" s="3" t="n"/>
    </row>
    <row r="87">
      <c r="A87" s="19" t="inlineStr">
        <is>
          <t>10Q_Q2-2026</t>
        </is>
      </c>
      <c r="B87" s="19" t="inlineStr">
        <is>
          <t>IS</t>
        </is>
      </c>
      <c r="C87" s="19" t="inlineStr">
        <is>
          <t>Condensed Combined Statements of Comprehensive Income (Unaudited)</t>
        </is>
      </c>
      <c r="D87" s="19" t="inlineStr">
        <is>
          <t>Comprehensive income</t>
        </is>
      </c>
      <c r="E87" s="19" t="inlineStr">
        <is>
          <t>CI.ci</t>
        </is>
      </c>
      <c r="F87" s="19" t="inlineStr"/>
      <c r="G87" s="3" t="n"/>
    </row>
    <row r="88">
      <c r="A88" s="19" t="inlineStr">
        <is>
          <t>10Q_Q2-2026</t>
        </is>
      </c>
      <c r="B88" s="19" t="inlineStr">
        <is>
          <t>IS</t>
        </is>
      </c>
      <c r="C88" s="19" t="inlineStr">
        <is>
          <t>Condensed Combined Statements of Comprehensive Income (Unaudited)</t>
        </is>
      </c>
      <c r="D88" s="19" t="inlineStr">
        <is>
          <t>Foreign currency translation adjustments</t>
        </is>
      </c>
      <c r="E88" s="19" t="inlineStr">
        <is>
          <t>CI.fx</t>
        </is>
      </c>
      <c r="F88" s="19" t="inlineStr"/>
      <c r="G88" s="3" t="n"/>
    </row>
    <row r="89">
      <c r="A89" s="19" t="inlineStr">
        <is>
          <t>10Q_Q2-2026</t>
        </is>
      </c>
      <c r="B89" s="19" t="inlineStr">
        <is>
          <t>IS</t>
        </is>
      </c>
      <c r="C89" s="19" t="inlineStr">
        <is>
          <t>Condensed Combined Statements of Comprehensive Income (Unaudited)</t>
        </is>
      </c>
      <c r="D89" s="19" t="inlineStr">
        <is>
          <t>Net income</t>
        </is>
      </c>
      <c r="E89" s="19" t="inlineStr">
        <is>
          <t>CI.ni</t>
        </is>
      </c>
      <c r="F89" s="19" t="inlineStr"/>
      <c r="G89" s="3" t="n"/>
    </row>
    <row r="90">
      <c r="A90" s="19" t="inlineStr">
        <is>
          <t>10Q_Q2-2026</t>
        </is>
      </c>
      <c r="B90" s="19" t="inlineStr">
        <is>
          <t>IS</t>
        </is>
      </c>
      <c r="C90" s="19" t="inlineStr">
        <is>
          <t>Condensed Combined Statements of Operations (Unaudited)</t>
        </is>
      </c>
      <c r="D90" s="19" t="inlineStr">
        <is>
          <t>Amortization of intangibles</t>
        </is>
      </c>
      <c r="E90" s="19" t="inlineStr">
        <is>
          <t>IS.amort</t>
        </is>
      </c>
      <c r="F90" s="19" t="inlineStr"/>
      <c r="G90" s="3" t="n"/>
    </row>
    <row r="91">
      <c r="A91" s="19" t="inlineStr">
        <is>
          <t>10Q_Q2-2026</t>
        </is>
      </c>
      <c r="B91" s="19" t="inlineStr">
        <is>
          <t>IS</t>
        </is>
      </c>
      <c r="C91" s="19" t="inlineStr">
        <is>
          <t>Condensed Combined Statements of Operations (Unaudited)</t>
        </is>
      </c>
      <c r="D91" s="19" t="inlineStr">
        <is>
          <t>Depreciation</t>
        </is>
      </c>
      <c r="E91" s="19" t="inlineStr">
        <is>
          <t>IS.dep</t>
        </is>
      </c>
      <c r="F91" s="19" t="inlineStr"/>
      <c r="G91" s="3" t="n"/>
    </row>
    <row r="92">
      <c r="A92" s="19" t="inlineStr">
        <is>
          <t>10Q_Q2-2026</t>
        </is>
      </c>
      <c r="B92" s="19" t="inlineStr">
        <is>
          <t>IS</t>
        </is>
      </c>
      <c r="C92" s="19" t="inlineStr">
        <is>
          <t>Condensed Combined Statements of Operations (Unaudited)</t>
        </is>
      </c>
      <c r="D92" s="19" t="inlineStr">
        <is>
          <t>Income before provision for income taxes</t>
        </is>
      </c>
      <c r="E92" s="19" t="inlineStr">
        <is>
          <t>IS.pbt</t>
        </is>
      </c>
      <c r="F92" s="19" t="inlineStr"/>
      <c r="G92" s="3" t="n"/>
    </row>
    <row r="93">
      <c r="A93" s="19" t="inlineStr">
        <is>
          <t>10Q_Q2-2026</t>
        </is>
      </c>
      <c r="B93" s="19" t="inlineStr">
        <is>
          <t>IS</t>
        </is>
      </c>
      <c r="C93" s="19" t="inlineStr">
        <is>
          <t>Condensed Combined Statements of Operations (Unaudited)</t>
        </is>
      </c>
      <c r="D93" s="19" t="inlineStr">
        <is>
          <t>Interest expense, net</t>
        </is>
      </c>
      <c r="E93" s="19" t="inlineStr">
        <is>
          <t>IS.int</t>
        </is>
      </c>
      <c r="F93" s="19" t="inlineStr"/>
      <c r="G93" s="3" t="n"/>
    </row>
    <row r="94">
      <c r="A94" s="19" t="inlineStr">
        <is>
          <t>10Q_Q2-2026</t>
        </is>
      </c>
      <c r="B94" s="19" t="inlineStr">
        <is>
          <t>IS</t>
        </is>
      </c>
      <c r="C94" s="19" t="inlineStr">
        <is>
          <t>Condensed Combined Statements of Operations (Unaudited)</t>
        </is>
      </c>
      <c r="D94" s="19" t="inlineStr">
        <is>
          <t>Net income</t>
        </is>
      </c>
      <c r="E94" s="19" t="inlineStr">
        <is>
          <t>IS.ni</t>
        </is>
      </c>
      <c r="F94" s="19" t="inlineStr"/>
      <c r="G94" s="3" t="n"/>
    </row>
    <row r="95">
      <c r="A95" s="19" t="inlineStr">
        <is>
          <t>10Q_Q2-2026</t>
        </is>
      </c>
      <c r="B95" s="19" t="inlineStr">
        <is>
          <t>IS</t>
        </is>
      </c>
      <c r="C95" s="19" t="inlineStr">
        <is>
          <t>Condensed Combined Statements of Operations (Unaudited)</t>
        </is>
      </c>
      <c r="D95" s="19" t="inlineStr">
        <is>
          <t>Net income per common share: Basic</t>
        </is>
      </c>
      <c r="E95" s="19" t="inlineStr">
        <is>
          <t>IS.eps_b</t>
        </is>
      </c>
      <c r="F95" s="19" t="inlineStr"/>
      <c r="G95" s="3" t="n"/>
    </row>
    <row r="96">
      <c r="A96" s="19" t="inlineStr">
        <is>
          <t>10Q_Q2-2026</t>
        </is>
      </c>
      <c r="B96" s="19" t="inlineStr">
        <is>
          <t>IS</t>
        </is>
      </c>
      <c r="C96" s="19" t="inlineStr">
        <is>
          <t>Condensed Combined Statements of Operations (Unaudited)</t>
        </is>
      </c>
      <c r="D96" s="19" t="inlineStr">
        <is>
          <t>Net income per common share: Diluted</t>
        </is>
      </c>
      <c r="E96" s="19" t="inlineStr">
        <is>
          <t>IS.eps_d</t>
        </is>
      </c>
      <c r="F96" s="19" t="inlineStr"/>
      <c r="G96" s="3" t="n"/>
    </row>
    <row r="97">
      <c r="A97" s="19" t="inlineStr">
        <is>
          <t>10Q_Q2-2026</t>
        </is>
      </c>
      <c r="B97" s="19" t="inlineStr">
        <is>
          <t>IS</t>
        </is>
      </c>
      <c r="C97" s="19" t="inlineStr">
        <is>
          <t>Condensed Combined Statements of Operations (Unaudited)</t>
        </is>
      </c>
      <c r="D97" s="19" t="inlineStr">
        <is>
          <t>Operating profit</t>
        </is>
      </c>
      <c r="E97" s="19" t="inlineStr">
        <is>
          <t>IS.op</t>
        </is>
      </c>
      <c r="F97" s="19" t="inlineStr"/>
      <c r="G97" s="3" t="n"/>
    </row>
    <row r="98">
      <c r="A98" s="19" t="inlineStr">
        <is>
          <t>10Q_Q2-2026</t>
        </is>
      </c>
      <c r="B98" s="19" t="inlineStr">
        <is>
          <t>IS</t>
        </is>
      </c>
      <c r="C98" s="19" t="inlineStr">
        <is>
          <t>Condensed Combined Statements of Operations (Unaudited)</t>
        </is>
      </c>
      <c r="D98" s="19" t="inlineStr">
        <is>
          <t>Operating-related expenses</t>
        </is>
      </c>
      <c r="E98" s="19" t="inlineStr">
        <is>
          <t>IS.oprel</t>
        </is>
      </c>
      <c r="F98" s="19" t="inlineStr"/>
      <c r="G98" s="3" t="n"/>
    </row>
    <row r="99">
      <c r="A99" s="19" t="inlineStr">
        <is>
          <t>10Q_Q2-2026</t>
        </is>
      </c>
      <c r="B99" s="19" t="inlineStr">
        <is>
          <t>IS</t>
        </is>
      </c>
      <c r="C99" s="19" t="inlineStr">
        <is>
          <t>Condensed Combined Statements of Operations (Unaudited)</t>
        </is>
      </c>
      <c r="D99" s="19" t="inlineStr">
        <is>
          <t>Provision for income taxes</t>
        </is>
      </c>
      <c r="E99" s="19" t="inlineStr">
        <is>
          <t>IS.tax</t>
        </is>
      </c>
      <c r="F99" s="19" t="inlineStr"/>
      <c r="G99" s="3" t="n"/>
    </row>
    <row r="100">
      <c r="A100" s="19" t="inlineStr">
        <is>
          <t>10Q_Q2-2026</t>
        </is>
      </c>
      <c r="B100" s="19" t="inlineStr">
        <is>
          <t>IS</t>
        </is>
      </c>
      <c r="C100" s="19" t="inlineStr">
        <is>
          <t>Condensed Combined Statements of Operations (Unaudited)</t>
        </is>
      </c>
      <c r="D100" s="19" t="inlineStr">
        <is>
          <t>Revenue</t>
        </is>
      </c>
      <c r="E100" s="19" t="inlineStr">
        <is>
          <t>IS.revenue</t>
        </is>
      </c>
      <c r="F100" s="19" t="inlineStr"/>
      <c r="G100" s="3" t="n"/>
    </row>
    <row r="101">
      <c r="A101" s="19" t="inlineStr">
        <is>
          <t>10Q_Q2-2026</t>
        </is>
      </c>
      <c r="B101" s="19" t="inlineStr">
        <is>
          <t>IS</t>
        </is>
      </c>
      <c r="C101" s="19" t="inlineStr">
        <is>
          <t>Condensed Combined Statements of Operations (Unaudited)</t>
        </is>
      </c>
      <c r="D101" s="19" t="inlineStr">
        <is>
          <t>Selling and general expenses</t>
        </is>
      </c>
      <c r="E101" s="19" t="inlineStr">
        <is>
          <t>IS.sg</t>
        </is>
      </c>
      <c r="F101" s="19" t="inlineStr"/>
      <c r="G101" s="3" t="n"/>
    </row>
    <row r="102">
      <c r="A102" s="19" t="inlineStr">
        <is>
          <t>10Q_Q2-2026</t>
        </is>
      </c>
      <c r="B102" s="19" t="inlineStr">
        <is>
          <t>IS</t>
        </is>
      </c>
      <c r="C102" s="19" t="inlineStr">
        <is>
          <t>Condensed Combined Statements of Operations (Unaudited)</t>
        </is>
      </c>
      <c r="D102" s="19" t="inlineStr">
        <is>
          <t>Total expenses</t>
        </is>
      </c>
      <c r="E102" s="19" t="inlineStr">
        <is>
          <t>IS.totexp</t>
        </is>
      </c>
      <c r="F102" s="19" t="inlineStr"/>
      <c r="G102" s="3" t="n"/>
    </row>
    <row r="103">
      <c r="A103" s="19" t="inlineStr">
        <is>
          <t>Form10A_2026-05-27</t>
        </is>
      </c>
      <c r="B103" s="19" t="inlineStr">
        <is>
          <t>BS</t>
        </is>
      </c>
      <c r="C103" s="19" t="inlineStr">
        <is>
          <t>Combined Balance Sheets - Assets</t>
        </is>
      </c>
      <c r="D103" s="19" t="inlineStr">
        <is>
          <t>Due from related parties – non-current</t>
        </is>
      </c>
      <c r="E103" s="19" t="inlineStr">
        <is>
          <t>BS.duefrom_nc</t>
        </is>
      </c>
      <c r="F103" s="19" t="inlineStr"/>
      <c r="G103" s="3" t="n"/>
    </row>
    <row r="104">
      <c r="A104" s="19" t="inlineStr">
        <is>
          <t>Form10A_2026-05-27</t>
        </is>
      </c>
      <c r="B104" s="19" t="inlineStr">
        <is>
          <t>BS</t>
        </is>
      </c>
      <c r="C104" s="19" t="inlineStr">
        <is>
          <t>Combined Balance Sheets - Assets</t>
        </is>
      </c>
      <c r="D104" s="19" t="inlineStr">
        <is>
          <t>Goodwill</t>
        </is>
      </c>
      <c r="E104" s="19" t="inlineStr">
        <is>
          <t>BS.gw</t>
        </is>
      </c>
      <c r="F104" s="19" t="inlineStr"/>
      <c r="G104" s="3" t="n"/>
    </row>
    <row r="105">
      <c r="A105" s="19" t="inlineStr">
        <is>
          <t>Form10A_2026-05-27</t>
        </is>
      </c>
      <c r="B105" s="19" t="inlineStr">
        <is>
          <t>BS</t>
        </is>
      </c>
      <c r="C105" s="19" t="inlineStr">
        <is>
          <t>Combined Balance Sheets - Assets</t>
        </is>
      </c>
      <c r="D105" s="19" t="inlineStr">
        <is>
          <t>Other intangible assets - net</t>
        </is>
      </c>
      <c r="E105" s="19" t="inlineStr">
        <is>
          <t>BS.intang</t>
        </is>
      </c>
      <c r="F105" s="19" t="inlineStr"/>
      <c r="G105" s="3" t="n"/>
    </row>
    <row r="106">
      <c r="A106" s="19" t="inlineStr">
        <is>
          <t>Form10A_2026-05-27</t>
        </is>
      </c>
      <c r="B106" s="19" t="inlineStr">
        <is>
          <t>BS</t>
        </is>
      </c>
      <c r="C106" s="19" t="inlineStr">
        <is>
          <t>Combined Balance Sheets - Assets</t>
        </is>
      </c>
      <c r="D106" s="19" t="inlineStr">
        <is>
          <t>Other non-current assets</t>
        </is>
      </c>
      <c r="E106" s="19" t="inlineStr">
        <is>
          <t>BS.onca</t>
        </is>
      </c>
      <c r="F106" s="19" t="inlineStr"/>
      <c r="G106" s="3" t="n"/>
    </row>
    <row r="107">
      <c r="A107" s="19" t="inlineStr">
        <is>
          <t>Form10A_2026-05-27</t>
        </is>
      </c>
      <c r="B107" s="19" t="inlineStr">
        <is>
          <t>BS</t>
        </is>
      </c>
      <c r="C107" s="19" t="inlineStr">
        <is>
          <t>Combined Balance Sheets - Assets</t>
        </is>
      </c>
      <c r="D107" s="19" t="inlineStr">
        <is>
          <t>Property and equipment, net</t>
        </is>
      </c>
      <c r="E107" s="19" t="inlineStr">
        <is>
          <t>BS.ppe_net</t>
        </is>
      </c>
      <c r="F107" s="19" t="inlineStr"/>
      <c r="G107" s="3" t="n"/>
    </row>
    <row r="108">
      <c r="A108" s="19" t="inlineStr">
        <is>
          <t>Form10A_2026-05-27</t>
        </is>
      </c>
      <c r="B108" s="19" t="inlineStr">
        <is>
          <t>BS</t>
        </is>
      </c>
      <c r="C108" s="19" t="inlineStr">
        <is>
          <t>Combined Balance Sheets - Assets</t>
        </is>
      </c>
      <c r="D108" s="19" t="inlineStr">
        <is>
          <t>Right of use assets</t>
        </is>
      </c>
      <c r="E108" s="19" t="inlineStr">
        <is>
          <t>BS.rou</t>
        </is>
      </c>
      <c r="F108" s="19" t="inlineStr"/>
      <c r="G108" s="3" t="n"/>
    </row>
    <row r="109">
      <c r="A109" s="19" t="inlineStr">
        <is>
          <t>Form10A_2026-05-27</t>
        </is>
      </c>
      <c r="B109" s="19" t="inlineStr">
        <is>
          <t>BS</t>
        </is>
      </c>
      <c r="C109" s="19" t="inlineStr">
        <is>
          <t>Combined Balance Sheets - Assets</t>
        </is>
      </c>
      <c r="D109" s="19" t="inlineStr">
        <is>
          <t>Total assets</t>
        </is>
      </c>
      <c r="E109" s="19" t="inlineStr">
        <is>
          <t>BS.ta</t>
        </is>
      </c>
      <c r="F109" s="19" t="inlineStr"/>
      <c r="G109" s="3" t="n"/>
    </row>
    <row r="110">
      <c r="A110" s="19" t="inlineStr">
        <is>
          <t>Form10A_2026-05-27</t>
        </is>
      </c>
      <c r="B110" s="19" t="inlineStr">
        <is>
          <t>BS</t>
        </is>
      </c>
      <c r="C110" s="19" t="inlineStr">
        <is>
          <t>Combined Balance Sheets - Current assets</t>
        </is>
      </c>
      <c r="D110" s="19" t="inlineStr">
        <is>
          <t>Accounts receivable, net of allowance for doubtful accounts: 2025 - $2; 2024 - $3</t>
        </is>
      </c>
      <c r="E110" s="19" t="inlineStr">
        <is>
          <t>BS.ar</t>
        </is>
      </c>
      <c r="F110" s="19" t="inlineStr"/>
      <c r="G110" s="3" t="n"/>
    </row>
    <row r="111">
      <c r="A111" s="19" t="inlineStr">
        <is>
          <t>Form10A_2026-05-27</t>
        </is>
      </c>
      <c r="B111" s="19" t="inlineStr">
        <is>
          <t>BS</t>
        </is>
      </c>
      <c r="C111" s="19" t="inlineStr">
        <is>
          <t>Combined Balance Sheets - Current assets</t>
        </is>
      </c>
      <c r="D111" s="19" t="inlineStr">
        <is>
          <t>Cash and cash equivalents</t>
        </is>
      </c>
      <c r="E111" s="19" t="inlineStr">
        <is>
          <t>BS.cash</t>
        </is>
      </c>
      <c r="F111" s="19" t="inlineStr"/>
      <c r="G111" s="3" t="n"/>
    </row>
    <row r="112">
      <c r="A112" s="19" t="inlineStr">
        <is>
          <t>Form10A_2026-05-27</t>
        </is>
      </c>
      <c r="B112" s="19" t="inlineStr">
        <is>
          <t>BS</t>
        </is>
      </c>
      <c r="C112" s="19" t="inlineStr">
        <is>
          <t>Combined Balance Sheets - Current assets</t>
        </is>
      </c>
      <c r="D112" s="19" t="inlineStr">
        <is>
          <t>Due from related parties, current</t>
        </is>
      </c>
      <c r="E112" s="19" t="inlineStr">
        <is>
          <t>BS.duefrom_c</t>
        </is>
      </c>
      <c r="F112" s="19" t="inlineStr"/>
      <c r="G112" s="3" t="n"/>
    </row>
    <row r="113">
      <c r="A113" s="19" t="inlineStr">
        <is>
          <t>Form10A_2026-05-27</t>
        </is>
      </c>
      <c r="B113" s="19" t="inlineStr">
        <is>
          <t>BS</t>
        </is>
      </c>
      <c r="C113" s="19" t="inlineStr">
        <is>
          <t>Combined Balance Sheets - Current assets</t>
        </is>
      </c>
      <c r="D113" s="19" t="inlineStr">
        <is>
          <t>Prepaid and other current assets</t>
        </is>
      </c>
      <c r="E113" s="19" t="inlineStr">
        <is>
          <t>BS.prepaid</t>
        </is>
      </c>
      <c r="F113" s="19" t="inlineStr"/>
      <c r="G113" s="3" t="n"/>
    </row>
    <row r="114">
      <c r="A114" s="19" t="inlineStr">
        <is>
          <t>Form10A_2026-05-27</t>
        </is>
      </c>
      <c r="B114" s="19" t="inlineStr">
        <is>
          <t>BS</t>
        </is>
      </c>
      <c r="C114" s="19" t="inlineStr">
        <is>
          <t>Combined Balance Sheets - Current assets</t>
        </is>
      </c>
      <c r="D114" s="19" t="inlineStr">
        <is>
          <t>Total current assets</t>
        </is>
      </c>
      <c r="E114" s="19" t="inlineStr">
        <is>
          <t>BS.tca</t>
        </is>
      </c>
      <c r="F114" s="19" t="inlineStr"/>
      <c r="G114" s="3" t="n"/>
    </row>
    <row r="115">
      <c r="A115" s="19" t="inlineStr">
        <is>
          <t>Form10A_2026-05-27</t>
        </is>
      </c>
      <c r="B115" s="19" t="inlineStr">
        <is>
          <t>BS</t>
        </is>
      </c>
      <c r="C115" s="19" t="inlineStr">
        <is>
          <t>Combined Balance Sheets - Current liabilities</t>
        </is>
      </c>
      <c r="D115" s="19" t="inlineStr">
        <is>
          <t>Accounts payable</t>
        </is>
      </c>
      <c r="E115" s="19" t="inlineStr">
        <is>
          <t>BS.ap</t>
        </is>
      </c>
      <c r="F115" s="19" t="inlineStr"/>
      <c r="G115" s="3" t="n"/>
    </row>
    <row r="116">
      <c r="A116" s="19" t="inlineStr">
        <is>
          <t>Form10A_2026-05-27</t>
        </is>
      </c>
      <c r="B116" s="19" t="inlineStr">
        <is>
          <t>BS</t>
        </is>
      </c>
      <c r="C116" s="19" t="inlineStr">
        <is>
          <t>Combined Balance Sheets - Current liabilities</t>
        </is>
      </c>
      <c r="D116" s="19" t="inlineStr">
        <is>
          <t>Accrued compensation and contributions to retirement plans</t>
        </is>
      </c>
      <c r="E116" s="19" t="inlineStr">
        <is>
          <t>BS.accomp</t>
        </is>
      </c>
      <c r="F116" s="19" t="inlineStr"/>
      <c r="G116" s="3" t="n"/>
    </row>
    <row r="117">
      <c r="A117" s="19" t="inlineStr">
        <is>
          <t>Form10A_2026-05-27</t>
        </is>
      </c>
      <c r="B117" s="19" t="inlineStr">
        <is>
          <t>BS</t>
        </is>
      </c>
      <c r="C117" s="19" t="inlineStr">
        <is>
          <t>Combined Balance Sheets - Current liabilities</t>
        </is>
      </c>
      <c r="D117" s="19" t="inlineStr">
        <is>
          <t>Due to related parties - current</t>
        </is>
      </c>
      <c r="E117" s="19" t="inlineStr">
        <is>
          <t>BS.dueto_c</t>
        </is>
      </c>
      <c r="F117" s="19" t="inlineStr"/>
      <c r="G117" s="3" t="n"/>
    </row>
    <row r="118">
      <c r="A118" s="19" t="inlineStr">
        <is>
          <t>Form10A_2026-05-27</t>
        </is>
      </c>
      <c r="B118" s="19" t="inlineStr">
        <is>
          <t>BS</t>
        </is>
      </c>
      <c r="C118" s="19" t="inlineStr">
        <is>
          <t>Combined Balance Sheets - Current liabilities</t>
        </is>
      </c>
      <c r="D118" s="19" t="inlineStr">
        <is>
          <t>Other current liabilities</t>
        </is>
      </c>
      <c r="E118" s="19" t="inlineStr">
        <is>
          <t>BS.ocl</t>
        </is>
      </c>
      <c r="F118" s="19" t="inlineStr"/>
      <c r="G118" s="3" t="n"/>
    </row>
    <row r="119">
      <c r="A119" s="19" t="inlineStr">
        <is>
          <t>Form10A_2026-05-27</t>
        </is>
      </c>
      <c r="B119" s="19" t="inlineStr">
        <is>
          <t>BS</t>
        </is>
      </c>
      <c r="C119" s="19" t="inlineStr">
        <is>
          <t>Combined Balance Sheets - Current liabilities</t>
        </is>
      </c>
      <c r="D119" s="19" t="inlineStr">
        <is>
          <t>Total current liabilities</t>
        </is>
      </c>
      <c r="E119" s="19" t="inlineStr">
        <is>
          <t>BS.tcl</t>
        </is>
      </c>
      <c r="F119" s="19" t="inlineStr"/>
      <c r="G119" s="3" t="n"/>
    </row>
    <row r="120">
      <c r="A120" s="19" t="inlineStr">
        <is>
          <t>Form10A_2026-05-27</t>
        </is>
      </c>
      <c r="B120" s="19" t="inlineStr">
        <is>
          <t>BS</t>
        </is>
      </c>
      <c r="C120" s="19" t="inlineStr">
        <is>
          <t>Combined Balance Sheets - Current liabilities</t>
        </is>
      </c>
      <c r="D120" s="19" t="inlineStr">
        <is>
          <t>Unearned revenue</t>
        </is>
      </c>
      <c r="E120" s="19" t="inlineStr">
        <is>
          <t>BS.unearned</t>
        </is>
      </c>
      <c r="F120" s="19" t="inlineStr"/>
      <c r="G120" s="3" t="n"/>
    </row>
    <row r="121">
      <c r="A121" s="19" t="inlineStr">
        <is>
          <t>Form10A_2026-05-27</t>
        </is>
      </c>
      <c r="B121" s="19" t="inlineStr">
        <is>
          <t>BS</t>
        </is>
      </c>
      <c r="C121" s="19" t="inlineStr">
        <is>
          <t>Combined Balance Sheets - Equity</t>
        </is>
      </c>
      <c r="D121" s="19" t="inlineStr">
        <is>
          <t>Accumulated other comprehensive (loss) income</t>
        </is>
      </c>
      <c r="E121" s="19" t="inlineStr">
        <is>
          <t>BS.aoci</t>
        </is>
      </c>
      <c r="F121" s="19" t="inlineStr"/>
      <c r="G121" s="3" t="n"/>
    </row>
    <row r="122">
      <c r="A122" s="19" t="inlineStr">
        <is>
          <t>Form10A_2026-05-27</t>
        </is>
      </c>
      <c r="B122" s="19" t="inlineStr">
        <is>
          <t>BS</t>
        </is>
      </c>
      <c r="C122" s="19" t="inlineStr">
        <is>
          <t>Combined Balance Sheets - Equity</t>
        </is>
      </c>
      <c r="D122" s="19" t="inlineStr">
        <is>
          <t>Parent company investment</t>
        </is>
      </c>
      <c r="E122" s="19" t="inlineStr">
        <is>
          <t>BS.npi</t>
        </is>
      </c>
      <c r="F122" s="19" t="inlineStr"/>
      <c r="G122" s="3" t="n"/>
    </row>
    <row r="123">
      <c r="A123" s="19" t="inlineStr">
        <is>
          <t>Form10A_2026-05-27</t>
        </is>
      </c>
      <c r="B123" s="19" t="inlineStr">
        <is>
          <t>BS</t>
        </is>
      </c>
      <c r="C123" s="19" t="inlineStr">
        <is>
          <t>Combined Balance Sheets - Equity</t>
        </is>
      </c>
      <c r="D123" s="19" t="inlineStr">
        <is>
          <t>Total equity</t>
        </is>
      </c>
      <c r="E123" s="19" t="inlineStr">
        <is>
          <t>BS.te</t>
        </is>
      </c>
      <c r="F123" s="19" t="inlineStr"/>
      <c r="G123" s="3" t="n"/>
    </row>
    <row r="124">
      <c r="A124" s="19" t="inlineStr">
        <is>
          <t>Form10A_2026-05-27</t>
        </is>
      </c>
      <c r="B124" s="19" t="inlineStr">
        <is>
          <t>BS</t>
        </is>
      </c>
      <c r="C124" s="19" t="inlineStr">
        <is>
          <t>Combined Balance Sheets - Equity</t>
        </is>
      </c>
      <c r="D124" s="19" t="inlineStr">
        <is>
          <t>Total liabilities and equity</t>
        </is>
      </c>
      <c r="E124" s="19" t="inlineStr">
        <is>
          <t>BS.tle</t>
        </is>
      </c>
      <c r="F124" s="19" t="inlineStr"/>
      <c r="G124" s="3" t="n"/>
    </row>
    <row r="125">
      <c r="A125" s="19" t="inlineStr">
        <is>
          <t>Form10A_2026-05-27</t>
        </is>
      </c>
      <c r="B125" s="19" t="inlineStr">
        <is>
          <t>BS</t>
        </is>
      </c>
      <c r="C125" s="19" t="inlineStr">
        <is>
          <t>Combined Balance Sheets - Liabilities</t>
        </is>
      </c>
      <c r="D125" s="19" t="inlineStr">
        <is>
          <t>Deferred tax liability – non-current</t>
        </is>
      </c>
      <c r="E125" s="19" t="inlineStr">
        <is>
          <t>BS.dtl</t>
        </is>
      </c>
      <c r="F125" s="19" t="inlineStr"/>
      <c r="G125" s="3" t="n"/>
    </row>
    <row r="126">
      <c r="A126" s="19" t="inlineStr">
        <is>
          <t>Form10A_2026-05-27</t>
        </is>
      </c>
      <c r="B126" s="19" t="inlineStr">
        <is>
          <t>BS</t>
        </is>
      </c>
      <c r="C126" s="19" t="inlineStr">
        <is>
          <t>Combined Balance Sheets - Liabilities</t>
        </is>
      </c>
      <c r="D126" s="19" t="inlineStr">
        <is>
          <t>Due to related parties - non-current</t>
        </is>
      </c>
      <c r="E126" s="19" t="inlineStr">
        <is>
          <t>BS.dueto_nc</t>
        </is>
      </c>
      <c r="F126" s="19" t="inlineStr"/>
      <c r="G126" s="3" t="n"/>
    </row>
    <row r="127">
      <c r="A127" s="19" t="inlineStr">
        <is>
          <t>Form10A_2026-05-27</t>
        </is>
      </c>
      <c r="B127" s="19" t="inlineStr">
        <is>
          <t>BS</t>
        </is>
      </c>
      <c r="C127" s="19" t="inlineStr">
        <is>
          <t>Combined Balance Sheets - Liabilities</t>
        </is>
      </c>
      <c r="D127" s="19" t="inlineStr">
        <is>
          <t>Lease liabilities - non-current</t>
        </is>
      </c>
      <c r="E127" s="19" t="inlineStr">
        <is>
          <t>BS.lease_nc</t>
        </is>
      </c>
      <c r="F127" s="19" t="inlineStr"/>
      <c r="G127" s="3" t="n"/>
    </row>
    <row r="128">
      <c r="A128" s="19" t="inlineStr">
        <is>
          <t>Form10A_2026-05-27</t>
        </is>
      </c>
      <c r="B128" s="19" t="inlineStr">
        <is>
          <t>BS</t>
        </is>
      </c>
      <c r="C128" s="19" t="inlineStr">
        <is>
          <t>Combined Balance Sheets - Liabilities</t>
        </is>
      </c>
      <c r="D128" s="19" t="inlineStr">
        <is>
          <t>Other non-current liabilities</t>
        </is>
      </c>
      <c r="E128" s="19" t="inlineStr">
        <is>
          <t>BS.oncl</t>
        </is>
      </c>
      <c r="F128" s="19" t="inlineStr"/>
      <c r="G128" s="3" t="n"/>
    </row>
    <row r="129">
      <c r="A129" s="19" t="inlineStr">
        <is>
          <t>Form10A_2026-05-27</t>
        </is>
      </c>
      <c r="B129" s="19" t="inlineStr">
        <is>
          <t>BS</t>
        </is>
      </c>
      <c r="C129" s="19" t="inlineStr">
        <is>
          <t>Combined Balance Sheets - Liabilities</t>
        </is>
      </c>
      <c r="D129" s="19" t="inlineStr">
        <is>
          <t>Total liabilities</t>
        </is>
      </c>
      <c r="E129" s="19" t="inlineStr">
        <is>
          <t>BS.tl</t>
        </is>
      </c>
      <c r="F129" s="19" t="inlineStr"/>
      <c r="G129" s="3" t="n"/>
    </row>
    <row r="130">
      <c r="A130" s="19" t="inlineStr">
        <is>
          <t>Form10A_2026-05-27</t>
        </is>
      </c>
      <c r="B130" s="19" t="inlineStr">
        <is>
          <t>BS</t>
        </is>
      </c>
      <c r="C130" s="19" t="inlineStr">
        <is>
          <t>Combined Balance Sheets - Property and equipment</t>
        </is>
      </c>
      <c r="D130" s="19" t="inlineStr">
        <is>
          <t>Buildings and leasehold improvements</t>
        </is>
      </c>
      <c r="E130" s="19" t="inlineStr">
        <is>
          <t>BS.ppe_bldg</t>
        </is>
      </c>
      <c r="F130" s="19" t="inlineStr"/>
      <c r="G130" s="3" t="n"/>
    </row>
    <row r="131">
      <c r="A131" s="19" t="inlineStr">
        <is>
          <t>Form10A_2026-05-27</t>
        </is>
      </c>
      <c r="B131" s="19" t="inlineStr">
        <is>
          <t>BS</t>
        </is>
      </c>
      <c r="C131" s="19" t="inlineStr">
        <is>
          <t>Combined Balance Sheets - Property and equipment</t>
        </is>
      </c>
      <c r="D131" s="19" t="inlineStr">
        <is>
          <t>Equipment and furniture</t>
        </is>
      </c>
      <c r="E131" s="19" t="inlineStr">
        <is>
          <t>BS.ppe_eq</t>
        </is>
      </c>
      <c r="F131" s="19" t="inlineStr"/>
      <c r="G131" s="3" t="n"/>
    </row>
    <row r="132">
      <c r="A132" s="19" t="inlineStr">
        <is>
          <t>Form10A_2026-05-27</t>
        </is>
      </c>
      <c r="B132" s="19" t="inlineStr">
        <is>
          <t>BS</t>
        </is>
      </c>
      <c r="C132" s="19" t="inlineStr">
        <is>
          <t>Combined Balance Sheets - Property and equipment</t>
        </is>
      </c>
      <c r="D132" s="19" t="inlineStr">
        <is>
          <t>Less: accumulated depreciation</t>
        </is>
      </c>
      <c r="E132" s="19" t="inlineStr">
        <is>
          <t>BS.ppe_acc</t>
        </is>
      </c>
      <c r="F132" s="19" t="inlineStr"/>
      <c r="G132" s="3" t="n"/>
    </row>
    <row r="133">
      <c r="A133" s="19" t="inlineStr">
        <is>
          <t>Form10A_2026-05-27</t>
        </is>
      </c>
      <c r="B133" s="19" t="inlineStr">
        <is>
          <t>BS</t>
        </is>
      </c>
      <c r="C133" s="19" t="inlineStr">
        <is>
          <t>Combined Balance Sheets - Property and equipment</t>
        </is>
      </c>
      <c r="D133" s="19" t="inlineStr">
        <is>
          <t>Total property and equipment</t>
        </is>
      </c>
      <c r="E133" s="19" t="inlineStr">
        <is>
          <t>BS.ppe_gross</t>
        </is>
      </c>
      <c r="F133" s="19" t="inlineStr"/>
      <c r="G133" s="3" t="n"/>
    </row>
    <row r="134">
      <c r="A134" s="19" t="inlineStr">
        <is>
          <t>Form10A_2026-05-27</t>
        </is>
      </c>
      <c r="B134" s="19" t="inlineStr">
        <is>
          <t>BS</t>
        </is>
      </c>
      <c r="C134" s="19" t="inlineStr">
        <is>
          <t>Condensed Combined Balance Sheets - Assets</t>
        </is>
      </c>
      <c r="D134" s="19" t="inlineStr">
        <is>
          <t>Goodwill</t>
        </is>
      </c>
      <c r="E134" s="19" t="inlineStr">
        <is>
          <t>BS.gw</t>
        </is>
      </c>
      <c r="F134" s="19" t="inlineStr"/>
      <c r="G134" s="3" t="n"/>
    </row>
    <row r="135">
      <c r="A135" s="19" t="inlineStr">
        <is>
          <t>Form10A_2026-05-27</t>
        </is>
      </c>
      <c r="B135" s="19" t="inlineStr">
        <is>
          <t>BS</t>
        </is>
      </c>
      <c r="C135" s="19" t="inlineStr">
        <is>
          <t>Condensed Combined Balance Sheets - Assets</t>
        </is>
      </c>
      <c r="D135" s="19" t="inlineStr">
        <is>
          <t>Other intangible assets - net</t>
        </is>
      </c>
      <c r="E135" s="19" t="inlineStr">
        <is>
          <t>BS.intang</t>
        </is>
      </c>
      <c r="F135" s="19" t="inlineStr"/>
      <c r="G135" s="3" t="n"/>
    </row>
    <row r="136">
      <c r="A136" s="19" t="inlineStr">
        <is>
          <t>Form10A_2026-05-27</t>
        </is>
      </c>
      <c r="B136" s="19" t="inlineStr">
        <is>
          <t>BS</t>
        </is>
      </c>
      <c r="C136" s="19" t="inlineStr">
        <is>
          <t>Condensed Combined Balance Sheets - Assets</t>
        </is>
      </c>
      <c r="D136" s="19" t="inlineStr">
        <is>
          <t>Other non-current assets</t>
        </is>
      </c>
      <c r="E136" s="19" t="inlineStr">
        <is>
          <t>BS.onca</t>
        </is>
      </c>
      <c r="F136" s="19" t="inlineStr"/>
      <c r="G136" s="3" t="n"/>
    </row>
    <row r="137">
      <c r="A137" s="19" t="inlineStr">
        <is>
          <t>Form10A_2026-05-27</t>
        </is>
      </c>
      <c r="B137" s="19" t="inlineStr">
        <is>
          <t>BS</t>
        </is>
      </c>
      <c r="C137" s="19" t="inlineStr">
        <is>
          <t>Condensed Combined Balance Sheets - Assets</t>
        </is>
      </c>
      <c r="D137" s="19" t="inlineStr">
        <is>
          <t>Property and equipment, net</t>
        </is>
      </c>
      <c r="E137" s="19" t="inlineStr">
        <is>
          <t>BS.ppe_net</t>
        </is>
      </c>
      <c r="F137" s="19" t="inlineStr"/>
      <c r="G137" s="3" t="n"/>
    </row>
    <row r="138">
      <c r="A138" s="19" t="inlineStr">
        <is>
          <t>Form10A_2026-05-27</t>
        </is>
      </c>
      <c r="B138" s="19" t="inlineStr">
        <is>
          <t>BS</t>
        </is>
      </c>
      <c r="C138" s="19" t="inlineStr">
        <is>
          <t>Condensed Combined Balance Sheets - Assets</t>
        </is>
      </c>
      <c r="D138" s="19" t="inlineStr">
        <is>
          <t>Right of use assets</t>
        </is>
      </c>
      <c r="E138" s="19" t="inlineStr">
        <is>
          <t>BS.rou</t>
        </is>
      </c>
      <c r="F138" s="19" t="inlineStr"/>
      <c r="G138" s="3" t="n"/>
    </row>
    <row r="139">
      <c r="A139" s="19" t="inlineStr">
        <is>
          <t>Form10A_2026-05-27</t>
        </is>
      </c>
      <c r="B139" s="19" t="inlineStr">
        <is>
          <t>BS</t>
        </is>
      </c>
      <c r="C139" s="19" t="inlineStr">
        <is>
          <t>Condensed Combined Balance Sheets - Assets</t>
        </is>
      </c>
      <c r="D139" s="19" t="inlineStr">
        <is>
          <t>Total assets</t>
        </is>
      </c>
      <c r="E139" s="19" t="inlineStr">
        <is>
          <t>BS.ta</t>
        </is>
      </c>
      <c r="F139" s="19" t="inlineStr"/>
      <c r="G139" s="3" t="n"/>
    </row>
    <row r="140">
      <c r="A140" s="19" t="inlineStr">
        <is>
          <t>Form10A_2026-05-27</t>
        </is>
      </c>
      <c r="B140" s="19" t="inlineStr">
        <is>
          <t>BS</t>
        </is>
      </c>
      <c r="C140" s="19" t="inlineStr">
        <is>
          <t>Condensed Combined Balance Sheets - Current assets</t>
        </is>
      </c>
      <c r="D140" s="19" t="inlineStr">
        <is>
          <t>Accounts receivable, net of allowance for doubtful accounts: 2026 - $2; 2025 - $2</t>
        </is>
      </c>
      <c r="E140" s="19" t="inlineStr">
        <is>
          <t>BS.ar</t>
        </is>
      </c>
      <c r="F140" s="19" t="inlineStr"/>
      <c r="G140" s="3" t="n"/>
    </row>
    <row r="141">
      <c r="A141" s="19" t="inlineStr">
        <is>
          <t>Form10A_2026-05-27</t>
        </is>
      </c>
      <c r="B141" s="19" t="inlineStr">
        <is>
          <t>BS</t>
        </is>
      </c>
      <c r="C141" s="19" t="inlineStr">
        <is>
          <t>Condensed Combined Balance Sheets - Current assets</t>
        </is>
      </c>
      <c r="D141" s="19" t="inlineStr">
        <is>
          <t>Cash and cash equivalents</t>
        </is>
      </c>
      <c r="E141" s="19" t="inlineStr">
        <is>
          <t>BS.cash</t>
        </is>
      </c>
      <c r="F141" s="19" t="inlineStr"/>
      <c r="G141" s="3" t="n"/>
    </row>
    <row r="142">
      <c r="A142" s="19" t="inlineStr">
        <is>
          <t>Form10A_2026-05-27</t>
        </is>
      </c>
      <c r="B142" s="19" t="inlineStr">
        <is>
          <t>BS</t>
        </is>
      </c>
      <c r="C142" s="19" t="inlineStr">
        <is>
          <t>Condensed Combined Balance Sheets - Current assets</t>
        </is>
      </c>
      <c r="D142" s="19" t="inlineStr">
        <is>
          <t>Due from related parties - current</t>
        </is>
      </c>
      <c r="E142" s="19" t="inlineStr">
        <is>
          <t>BS.duefrom_c</t>
        </is>
      </c>
      <c r="F142" s="19" t="inlineStr"/>
      <c r="G142" s="3" t="n"/>
    </row>
    <row r="143">
      <c r="A143" s="19" t="inlineStr">
        <is>
          <t>Form10A_2026-05-27</t>
        </is>
      </c>
      <c r="B143" s="19" t="inlineStr">
        <is>
          <t>BS</t>
        </is>
      </c>
      <c r="C143" s="19" t="inlineStr">
        <is>
          <t>Condensed Combined Balance Sheets - Current assets</t>
        </is>
      </c>
      <c r="D143" s="19" t="inlineStr">
        <is>
          <t>Prepaid and other current assets</t>
        </is>
      </c>
      <c r="E143" s="19" t="inlineStr">
        <is>
          <t>BS.prepaid</t>
        </is>
      </c>
      <c r="F143" s="19" t="inlineStr"/>
      <c r="G143" s="3" t="n"/>
    </row>
    <row r="144">
      <c r="A144" s="19" t="inlineStr">
        <is>
          <t>Form10A_2026-05-27</t>
        </is>
      </c>
      <c r="B144" s="19" t="inlineStr">
        <is>
          <t>BS</t>
        </is>
      </c>
      <c r="C144" s="19" t="inlineStr">
        <is>
          <t>Condensed Combined Balance Sheets - Current assets</t>
        </is>
      </c>
      <c r="D144" s="19" t="inlineStr">
        <is>
          <t>Total current assets</t>
        </is>
      </c>
      <c r="E144" s="19" t="inlineStr">
        <is>
          <t>BS.tca</t>
        </is>
      </c>
      <c r="F144" s="19" t="inlineStr"/>
      <c r="G144" s="3" t="n"/>
    </row>
    <row r="145">
      <c r="A145" s="19" t="inlineStr">
        <is>
          <t>Form10A_2026-05-27</t>
        </is>
      </c>
      <c r="B145" s="19" t="inlineStr">
        <is>
          <t>BS</t>
        </is>
      </c>
      <c r="C145" s="19" t="inlineStr">
        <is>
          <t>Condensed Combined Balance Sheets - Current liabilities</t>
        </is>
      </c>
      <c r="D145" s="19" t="inlineStr">
        <is>
          <t>Accounts payable</t>
        </is>
      </c>
      <c r="E145" s="19" t="inlineStr">
        <is>
          <t>BS.ap</t>
        </is>
      </c>
      <c r="F145" s="19" t="inlineStr"/>
      <c r="G145" s="3" t="n"/>
    </row>
    <row r="146">
      <c r="A146" s="19" t="inlineStr">
        <is>
          <t>Form10A_2026-05-27</t>
        </is>
      </c>
      <c r="B146" s="19" t="inlineStr">
        <is>
          <t>BS</t>
        </is>
      </c>
      <c r="C146" s="19" t="inlineStr">
        <is>
          <t>Condensed Combined Balance Sheets - Current liabilities</t>
        </is>
      </c>
      <c r="D146" s="19" t="inlineStr">
        <is>
          <t>Accrued compensation and contributions to retirement plans</t>
        </is>
      </c>
      <c r="E146" s="19" t="inlineStr">
        <is>
          <t>BS.accomp</t>
        </is>
      </c>
      <c r="F146" s="19" t="inlineStr"/>
      <c r="G146" s="3" t="n"/>
    </row>
    <row r="147">
      <c r="A147" s="19" t="inlineStr">
        <is>
          <t>Form10A_2026-05-27</t>
        </is>
      </c>
      <c r="B147" s="19" t="inlineStr">
        <is>
          <t>BS</t>
        </is>
      </c>
      <c r="C147" s="19" t="inlineStr">
        <is>
          <t>Condensed Combined Balance Sheets - Current liabilities</t>
        </is>
      </c>
      <c r="D147" s="19" t="inlineStr">
        <is>
          <t>Due to related parties - current</t>
        </is>
      </c>
      <c r="E147" s="19" t="inlineStr">
        <is>
          <t>BS.dueto_c</t>
        </is>
      </c>
      <c r="F147" s="19" t="inlineStr"/>
      <c r="G147" s="3" t="n"/>
    </row>
    <row r="148">
      <c r="A148" s="19" t="inlineStr">
        <is>
          <t>Form10A_2026-05-27</t>
        </is>
      </c>
      <c r="B148" s="19" t="inlineStr">
        <is>
          <t>BS</t>
        </is>
      </c>
      <c r="C148" s="19" t="inlineStr">
        <is>
          <t>Condensed Combined Balance Sheets - Current liabilities</t>
        </is>
      </c>
      <c r="D148" s="19" t="inlineStr">
        <is>
          <t>Other current liabilities</t>
        </is>
      </c>
      <c r="E148" s="19" t="inlineStr">
        <is>
          <t>BS.ocl</t>
        </is>
      </c>
      <c r="F148" s="19" t="inlineStr"/>
      <c r="G148" s="3" t="n"/>
    </row>
    <row r="149">
      <c r="A149" s="19" t="inlineStr">
        <is>
          <t>Form10A_2026-05-27</t>
        </is>
      </c>
      <c r="B149" s="19" t="inlineStr">
        <is>
          <t>BS</t>
        </is>
      </c>
      <c r="C149" s="19" t="inlineStr">
        <is>
          <t>Condensed Combined Balance Sheets - Current liabilities</t>
        </is>
      </c>
      <c r="D149" s="19" t="inlineStr">
        <is>
          <t>Total current liabilities</t>
        </is>
      </c>
      <c r="E149" s="19" t="inlineStr">
        <is>
          <t>BS.tcl</t>
        </is>
      </c>
      <c r="F149" s="19" t="inlineStr"/>
      <c r="G149" s="3" t="n"/>
    </row>
    <row r="150">
      <c r="A150" s="19" t="inlineStr">
        <is>
          <t>Form10A_2026-05-27</t>
        </is>
      </c>
      <c r="B150" s="19" t="inlineStr">
        <is>
          <t>BS</t>
        </is>
      </c>
      <c r="C150" s="19" t="inlineStr">
        <is>
          <t>Condensed Combined Balance Sheets - Current liabilities</t>
        </is>
      </c>
      <c r="D150" s="19" t="inlineStr">
        <is>
          <t>Unearned revenue</t>
        </is>
      </c>
      <c r="E150" s="19" t="inlineStr">
        <is>
          <t>BS.unearned</t>
        </is>
      </c>
      <c r="F150" s="19" t="inlineStr"/>
      <c r="G150" s="3" t="n"/>
    </row>
    <row r="151">
      <c r="A151" s="19" t="inlineStr">
        <is>
          <t>Form10A_2026-05-27</t>
        </is>
      </c>
      <c r="B151" s="19" t="inlineStr">
        <is>
          <t>BS</t>
        </is>
      </c>
      <c r="C151" s="19" t="inlineStr">
        <is>
          <t>Condensed Combined Balance Sheets - Equity</t>
        </is>
      </c>
      <c r="D151" s="19" t="inlineStr">
        <is>
          <t>Accumulated other comprehensive loss</t>
        </is>
      </c>
      <c r="E151" s="19" t="inlineStr">
        <is>
          <t>BS.aoci</t>
        </is>
      </c>
      <c r="F151" s="19" t="inlineStr"/>
      <c r="G151" s="3" t="n"/>
    </row>
    <row r="152">
      <c r="A152" s="19" t="inlineStr">
        <is>
          <t>Form10A_2026-05-27</t>
        </is>
      </c>
      <c r="B152" s="19" t="inlineStr">
        <is>
          <t>BS</t>
        </is>
      </c>
      <c r="C152" s="19" t="inlineStr">
        <is>
          <t>Condensed Combined Balance Sheets - Equity</t>
        </is>
      </c>
      <c r="D152" s="19" t="inlineStr">
        <is>
          <t>Parent company investment</t>
        </is>
      </c>
      <c r="E152" s="19" t="inlineStr">
        <is>
          <t>BS.npi</t>
        </is>
      </c>
      <c r="F152" s="19" t="inlineStr"/>
      <c r="G152" s="3" t="n"/>
    </row>
    <row r="153">
      <c r="A153" s="19" t="inlineStr">
        <is>
          <t>Form10A_2026-05-27</t>
        </is>
      </c>
      <c r="B153" s="19" t="inlineStr">
        <is>
          <t>BS</t>
        </is>
      </c>
      <c r="C153" s="19" t="inlineStr">
        <is>
          <t>Condensed Combined Balance Sheets - Equity</t>
        </is>
      </c>
      <c r="D153" s="19" t="inlineStr">
        <is>
          <t>Total equity</t>
        </is>
      </c>
      <c r="E153" s="19" t="inlineStr">
        <is>
          <t>BS.te</t>
        </is>
      </c>
      <c r="F153" s="19" t="inlineStr"/>
      <c r="G153" s="3" t="n"/>
    </row>
    <row r="154">
      <c r="A154" s="19" t="inlineStr">
        <is>
          <t>Form10A_2026-05-27</t>
        </is>
      </c>
      <c r="B154" s="19" t="inlineStr">
        <is>
          <t>BS</t>
        </is>
      </c>
      <c r="C154" s="19" t="inlineStr">
        <is>
          <t>Condensed Combined Balance Sheets - Equity</t>
        </is>
      </c>
      <c r="D154" s="19" t="inlineStr">
        <is>
          <t>Total liabilities and equity</t>
        </is>
      </c>
      <c r="E154" s="19" t="inlineStr">
        <is>
          <t>BS.tle</t>
        </is>
      </c>
      <c r="F154" s="19" t="inlineStr"/>
      <c r="G154" s="3" t="n"/>
    </row>
    <row r="155">
      <c r="A155" s="19" t="inlineStr">
        <is>
          <t>Form10A_2026-05-27</t>
        </is>
      </c>
      <c r="B155" s="19" t="inlineStr">
        <is>
          <t>BS</t>
        </is>
      </c>
      <c r="C155" s="19" t="inlineStr">
        <is>
          <t>Condensed Combined Balance Sheets - Liabilities</t>
        </is>
      </c>
      <c r="D155" s="19" t="inlineStr">
        <is>
          <t>Deferred tax liability – non-current</t>
        </is>
      </c>
      <c r="E155" s="19" t="inlineStr">
        <is>
          <t>BS.dtl</t>
        </is>
      </c>
      <c r="F155" s="19" t="inlineStr"/>
      <c r="G155" s="3" t="n"/>
    </row>
    <row r="156">
      <c r="A156" s="19" t="inlineStr">
        <is>
          <t>Form10A_2026-05-27</t>
        </is>
      </c>
      <c r="B156" s="19" t="inlineStr">
        <is>
          <t>BS</t>
        </is>
      </c>
      <c r="C156" s="19" t="inlineStr">
        <is>
          <t>Condensed Combined Balance Sheets - Liabilities</t>
        </is>
      </c>
      <c r="D156" s="19" t="inlineStr">
        <is>
          <t>Due to related parties – non-current</t>
        </is>
      </c>
      <c r="E156" s="19" t="inlineStr">
        <is>
          <t>BS.dueto_nc</t>
        </is>
      </c>
      <c r="F156" s="19" t="inlineStr"/>
      <c r="G156" s="3" t="n"/>
    </row>
    <row r="157">
      <c r="A157" s="19" t="inlineStr">
        <is>
          <t>Form10A_2026-05-27</t>
        </is>
      </c>
      <c r="B157" s="19" t="inlineStr">
        <is>
          <t>BS</t>
        </is>
      </c>
      <c r="C157" s="19" t="inlineStr">
        <is>
          <t>Condensed Combined Balance Sheets - Liabilities</t>
        </is>
      </c>
      <c r="D157" s="19" t="inlineStr">
        <is>
          <t>Lease liabilities - non-current</t>
        </is>
      </c>
      <c r="E157" s="19" t="inlineStr">
        <is>
          <t>BS.lease_nc</t>
        </is>
      </c>
      <c r="F157" s="19" t="inlineStr"/>
      <c r="G157" s="3" t="n"/>
    </row>
    <row r="158">
      <c r="A158" s="19" t="inlineStr">
        <is>
          <t>Form10A_2026-05-27</t>
        </is>
      </c>
      <c r="B158" s="19" t="inlineStr">
        <is>
          <t>BS</t>
        </is>
      </c>
      <c r="C158" s="19" t="inlineStr">
        <is>
          <t>Condensed Combined Balance Sheets - Liabilities</t>
        </is>
      </c>
      <c r="D158" s="19" t="inlineStr">
        <is>
          <t>Other non-current liabilities</t>
        </is>
      </c>
      <c r="E158" s="19" t="inlineStr">
        <is>
          <t>BS.oncl</t>
        </is>
      </c>
      <c r="F158" s="19" t="inlineStr"/>
      <c r="G158" s="3" t="n"/>
    </row>
    <row r="159">
      <c r="A159" s="19" t="inlineStr">
        <is>
          <t>Form10A_2026-05-27</t>
        </is>
      </c>
      <c r="B159" s="19" t="inlineStr">
        <is>
          <t>BS</t>
        </is>
      </c>
      <c r="C159" s="19" t="inlineStr">
        <is>
          <t>Condensed Combined Balance Sheets - Liabilities</t>
        </is>
      </c>
      <c r="D159" s="19" t="inlineStr">
        <is>
          <t>Total liabilities</t>
        </is>
      </c>
      <c r="E159" s="19" t="inlineStr">
        <is>
          <t>BS.tl</t>
        </is>
      </c>
      <c r="F159" s="19" t="inlineStr"/>
      <c r="G159" s="3" t="n"/>
    </row>
    <row r="160">
      <c r="A160" s="19" t="inlineStr">
        <is>
          <t>Form10A_2026-05-27</t>
        </is>
      </c>
      <c r="B160" s="19" t="inlineStr">
        <is>
          <t>BS</t>
        </is>
      </c>
      <c r="C160" s="19" t="inlineStr">
        <is>
          <t>Condensed Combined Balance Sheets - Property and equipment</t>
        </is>
      </c>
      <c r="D160" s="19" t="inlineStr">
        <is>
          <t>Buildings and leasehold improvements</t>
        </is>
      </c>
      <c r="E160" s="19" t="inlineStr">
        <is>
          <t>BS.ppe_bldg</t>
        </is>
      </c>
      <c r="F160" s="19" t="inlineStr"/>
      <c r="G160" s="3" t="n"/>
    </row>
    <row r="161">
      <c r="A161" s="19" t="inlineStr">
        <is>
          <t>Form10A_2026-05-27</t>
        </is>
      </c>
      <c r="B161" s="19" t="inlineStr">
        <is>
          <t>BS</t>
        </is>
      </c>
      <c r="C161" s="19" t="inlineStr">
        <is>
          <t>Condensed Combined Balance Sheets - Property and equipment</t>
        </is>
      </c>
      <c r="D161" s="19" t="inlineStr">
        <is>
          <t>Equipment and furniture</t>
        </is>
      </c>
      <c r="E161" s="19" t="inlineStr">
        <is>
          <t>BS.ppe_eq</t>
        </is>
      </c>
      <c r="F161" s="19" t="inlineStr"/>
      <c r="G161" s="3" t="n"/>
    </row>
    <row r="162">
      <c r="A162" s="19" t="inlineStr">
        <is>
          <t>Form10A_2026-05-27</t>
        </is>
      </c>
      <c r="B162" s="19" t="inlineStr">
        <is>
          <t>BS</t>
        </is>
      </c>
      <c r="C162" s="19" t="inlineStr">
        <is>
          <t>Condensed Combined Balance Sheets - Property and equipment</t>
        </is>
      </c>
      <c r="D162" s="19" t="inlineStr">
        <is>
          <t>Less: accumulated depreciation</t>
        </is>
      </c>
      <c r="E162" s="19" t="inlineStr">
        <is>
          <t>BS.ppe_acc</t>
        </is>
      </c>
      <c r="F162" s="19" t="inlineStr"/>
      <c r="G162" s="3" t="n"/>
    </row>
    <row r="163">
      <c r="A163" s="19" t="inlineStr">
        <is>
          <t>Form10A_2026-05-27</t>
        </is>
      </c>
      <c r="B163" s="19" t="inlineStr">
        <is>
          <t>BS</t>
        </is>
      </c>
      <c r="C163" s="19" t="inlineStr">
        <is>
          <t>Condensed Combined Balance Sheets - Property and equipment</t>
        </is>
      </c>
      <c r="D163" s="19" t="inlineStr">
        <is>
          <t>Total property and equipment</t>
        </is>
      </c>
      <c r="E163" s="19" t="inlineStr">
        <is>
          <t>BS.ppe_gross</t>
        </is>
      </c>
      <c r="F163" s="19" t="inlineStr"/>
      <c r="G163" s="3" t="n"/>
    </row>
    <row r="164">
      <c r="A164" s="19" t="inlineStr">
        <is>
          <t>Form10A_2026-05-27</t>
        </is>
      </c>
      <c r="B164" s="19" t="inlineStr">
        <is>
          <t>BS</t>
        </is>
      </c>
      <c r="C164" s="19" t="inlineStr">
        <is>
          <t>SUMMARY Combined Financial and Other Data - Balance Sheet Data</t>
        </is>
      </c>
      <c r="D164" s="19" t="inlineStr">
        <is>
          <t>Cash and cash equivalents</t>
        </is>
      </c>
      <c r="E164" s="19" t="inlineStr">
        <is>
          <t>EXCLUDE</t>
        </is>
      </c>
      <c r="F164" s="19" t="inlineStr">
        <is>
          <t>Summary table duplicates the statements</t>
        </is>
      </c>
      <c r="G164" s="3" t="n"/>
    </row>
    <row r="165">
      <c r="A165" s="19" t="inlineStr">
        <is>
          <t>Form10A_2026-05-27</t>
        </is>
      </c>
      <c r="B165" s="19" t="inlineStr">
        <is>
          <t>BS</t>
        </is>
      </c>
      <c r="C165" s="19" t="inlineStr">
        <is>
          <t>SUMMARY Combined Financial and Other Data - Balance Sheet Data</t>
        </is>
      </c>
      <c r="D165" s="19" t="inlineStr">
        <is>
          <t>Total assets</t>
        </is>
      </c>
      <c r="E165" s="19" t="inlineStr">
        <is>
          <t>EXCLUDE</t>
        </is>
      </c>
      <c r="F165" s="19" t="inlineStr">
        <is>
          <t>Summary table duplicates the statements</t>
        </is>
      </c>
      <c r="G165" s="3" t="n"/>
    </row>
    <row r="166">
      <c r="A166" s="19" t="inlineStr">
        <is>
          <t>Form10A_2026-05-27</t>
        </is>
      </c>
      <c r="B166" s="19" t="inlineStr">
        <is>
          <t>BS</t>
        </is>
      </c>
      <c r="C166" s="19" t="inlineStr">
        <is>
          <t>SUMMARY Combined Financial and Other Data - Balance Sheet Data</t>
        </is>
      </c>
      <c r="D166" s="19" t="inlineStr">
        <is>
          <t>Total equity</t>
        </is>
      </c>
      <c r="E166" s="19" t="inlineStr">
        <is>
          <t>EXCLUDE</t>
        </is>
      </c>
      <c r="F166" s="19" t="inlineStr">
        <is>
          <t>Summary table duplicates the statements</t>
        </is>
      </c>
      <c r="G166" s="3" t="n"/>
    </row>
    <row r="167">
      <c r="A167" s="19" t="inlineStr">
        <is>
          <t>Form10A_2026-05-27</t>
        </is>
      </c>
      <c r="B167" s="19" t="inlineStr">
        <is>
          <t>BS</t>
        </is>
      </c>
      <c r="C167" s="19" t="inlineStr">
        <is>
          <t>SUMMARY Combined Financial and Other Data - Balance Sheet Data</t>
        </is>
      </c>
      <c r="D167" s="19" t="inlineStr">
        <is>
          <t>Total liabilities</t>
        </is>
      </c>
      <c r="E167" s="19" t="inlineStr">
        <is>
          <t>EXCLUDE</t>
        </is>
      </c>
      <c r="F167" s="19" t="inlineStr">
        <is>
          <t>Summary table duplicates the statements</t>
        </is>
      </c>
      <c r="G167" s="3" t="n"/>
    </row>
    <row r="168">
      <c r="A168" s="19" t="inlineStr">
        <is>
          <t>Form10A_2026-05-27</t>
        </is>
      </c>
      <c r="B168" s="19" t="inlineStr">
        <is>
          <t>CF</t>
        </is>
      </c>
      <c r="C168" s="19" t="inlineStr">
        <is>
          <t>Combined Statements of Cash Flows</t>
        </is>
      </c>
      <c r="D168" s="19" t="inlineStr">
        <is>
          <t>Cash, cash equivalents, and restricted cash at beginning of year</t>
        </is>
      </c>
      <c r="E168" s="19" t="inlineStr">
        <is>
          <t>CF.beg</t>
        </is>
      </c>
      <c r="F168" s="19" t="inlineStr"/>
      <c r="G168" s="3" t="n"/>
    </row>
    <row r="169">
      <c r="A169" s="19" t="inlineStr">
        <is>
          <t>Form10A_2026-05-27</t>
        </is>
      </c>
      <c r="B169" s="19" t="inlineStr">
        <is>
          <t>CF</t>
        </is>
      </c>
      <c r="C169" s="19" t="inlineStr">
        <is>
          <t>Combined Statements of Cash Flows</t>
        </is>
      </c>
      <c r="D169" s="19" t="inlineStr">
        <is>
          <t>Cash, cash equivalents, and restricted cash at end of year</t>
        </is>
      </c>
      <c r="E169" s="19" t="inlineStr">
        <is>
          <t>CF.end</t>
        </is>
      </c>
      <c r="F169" s="19" t="inlineStr"/>
      <c r="G169" s="3" t="n"/>
    </row>
    <row r="170">
      <c r="A170" s="19" t="inlineStr">
        <is>
          <t>Form10A_2026-05-27</t>
        </is>
      </c>
      <c r="B170" s="19" t="inlineStr">
        <is>
          <t>CF</t>
        </is>
      </c>
      <c r="C170" s="19" t="inlineStr">
        <is>
          <t>Combined Statements of Cash Flows</t>
        </is>
      </c>
      <c r="D170" s="19" t="inlineStr">
        <is>
          <t>Effect of exchange rate changes on cash</t>
        </is>
      </c>
      <c r="E170" s="19" t="inlineStr">
        <is>
          <t>CF.fx</t>
        </is>
      </c>
      <c r="F170" s="19" t="inlineStr"/>
      <c r="G170" s="3" t="n"/>
    </row>
    <row r="171">
      <c r="A171" s="19" t="inlineStr">
        <is>
          <t>Form10A_2026-05-27</t>
        </is>
      </c>
      <c r="B171" s="19" t="inlineStr">
        <is>
          <t>CF</t>
        </is>
      </c>
      <c r="C171" s="19" t="inlineStr">
        <is>
          <t>Combined Statements of Cash Flows</t>
        </is>
      </c>
      <c r="D171" s="19" t="inlineStr">
        <is>
          <t>Net change in cash, cash equivalents, and restricted cash</t>
        </is>
      </c>
      <c r="E171" s="19" t="inlineStr">
        <is>
          <t>CF.chg</t>
        </is>
      </c>
      <c r="F171" s="19" t="inlineStr"/>
      <c r="G171" s="3" t="n"/>
    </row>
    <row r="172">
      <c r="A172" s="19" t="inlineStr">
        <is>
          <t>Form10A_2026-05-27</t>
        </is>
      </c>
      <c r="B172" s="19" t="inlineStr">
        <is>
          <t>CF</t>
        </is>
      </c>
      <c r="C172" s="19" t="inlineStr">
        <is>
          <t>Combined Statements of Cash Flows - Financing</t>
        </is>
      </c>
      <c r="D172" s="19" t="inlineStr">
        <is>
          <t>Cash used for financing activities</t>
        </is>
      </c>
      <c r="E172" s="19" t="inlineStr">
        <is>
          <t>CF.cff</t>
        </is>
      </c>
      <c r="F172" s="19" t="inlineStr"/>
      <c r="G172" s="3" t="n"/>
    </row>
    <row r="173">
      <c r="A173" s="19" t="inlineStr">
        <is>
          <t>Form10A_2026-05-27</t>
        </is>
      </c>
      <c r="B173" s="19" t="inlineStr">
        <is>
          <t>CF</t>
        </is>
      </c>
      <c r="C173" s="19" t="inlineStr">
        <is>
          <t>Combined Statements of Cash Flows - Financing</t>
        </is>
      </c>
      <c r="D173" s="19" t="inlineStr">
        <is>
          <t>Contingent consideration payments</t>
        </is>
      </c>
      <c r="E173" s="19" t="inlineStr">
        <is>
          <t>CF.contingent</t>
        </is>
      </c>
      <c r="F173" s="19" t="inlineStr"/>
      <c r="G173" s="3" t="n"/>
    </row>
    <row r="174">
      <c r="A174" s="19" t="inlineStr">
        <is>
          <t>Form10A_2026-05-27</t>
        </is>
      </c>
      <c r="B174" s="19" t="inlineStr">
        <is>
          <t>CF</t>
        </is>
      </c>
      <c r="C174" s="19" t="inlineStr">
        <is>
          <t>Combined Statements of Cash Flows - Financing</t>
        </is>
      </c>
      <c r="D174" s="19" t="inlineStr">
        <is>
          <t>Net transfers to Parent</t>
        </is>
      </c>
      <c r="E174" s="19" t="inlineStr">
        <is>
          <t>CF.parent</t>
        </is>
      </c>
      <c r="F174" s="19" t="inlineStr"/>
      <c r="G174" s="3" t="n"/>
    </row>
    <row r="175">
      <c r="A175" s="19" t="inlineStr">
        <is>
          <t>Form10A_2026-05-27</t>
        </is>
      </c>
      <c r="B175" s="19" t="inlineStr">
        <is>
          <t>CF</t>
        </is>
      </c>
      <c r="C175" s="19" t="inlineStr">
        <is>
          <t>Combined Statements of Cash Flows - Financing</t>
        </is>
      </c>
      <c r="D175" s="19" t="inlineStr">
        <is>
          <t>Payments related to loan from related parties</t>
        </is>
      </c>
      <c r="E175" s="19" t="inlineStr">
        <is>
          <t>CF.loan_pay</t>
        </is>
      </c>
      <c r="F175" s="19" t="inlineStr"/>
      <c r="G175" s="3" t="n"/>
    </row>
    <row r="176">
      <c r="A176" s="19" t="inlineStr">
        <is>
          <t>Form10A_2026-05-27</t>
        </is>
      </c>
      <c r="B176" s="19" t="inlineStr">
        <is>
          <t>CF</t>
        </is>
      </c>
      <c r="C176" s="19" t="inlineStr">
        <is>
          <t>Combined Statements of Cash Flows - Investing</t>
        </is>
      </c>
      <c r="D176" s="19" t="inlineStr">
        <is>
          <t>Acquisitions, net of cash acquired</t>
        </is>
      </c>
      <c r="E176" s="19" t="inlineStr">
        <is>
          <t>CF.acq</t>
        </is>
      </c>
      <c r="F176" s="19" t="inlineStr"/>
      <c r="G176" s="3" t="n"/>
    </row>
    <row r="177">
      <c r="A177" s="19" t="inlineStr">
        <is>
          <t>Form10A_2026-05-27</t>
        </is>
      </c>
      <c r="B177" s="19" t="inlineStr">
        <is>
          <t>CF</t>
        </is>
      </c>
      <c r="C177" s="19" t="inlineStr">
        <is>
          <t>Combined Statements of Cash Flows - Investing</t>
        </is>
      </c>
      <c r="D177" s="19" t="inlineStr">
        <is>
          <t>Capital expenditures</t>
        </is>
      </c>
      <c r="E177" s="19" t="inlineStr">
        <is>
          <t>CF.capex</t>
        </is>
      </c>
      <c r="F177" s="19" t="inlineStr"/>
      <c r="G177" s="3" t="n"/>
    </row>
    <row r="178">
      <c r="A178" s="19" t="inlineStr">
        <is>
          <t>Form10A_2026-05-27</t>
        </is>
      </c>
      <c r="B178" s="19" t="inlineStr">
        <is>
          <t>CF</t>
        </is>
      </c>
      <c r="C178" s="19" t="inlineStr">
        <is>
          <t>Combined Statements of Cash Flows - Investing</t>
        </is>
      </c>
      <c r="D178" s="19" t="inlineStr">
        <is>
          <t>Cash used for investing activities</t>
        </is>
      </c>
      <c r="E178" s="19" t="inlineStr">
        <is>
          <t>CF.cfi</t>
        </is>
      </c>
      <c r="F178" s="19" t="inlineStr"/>
      <c r="G178" s="3" t="n"/>
    </row>
    <row r="179">
      <c r="A179" s="19" t="inlineStr">
        <is>
          <t>Form10A_2026-05-27</t>
        </is>
      </c>
      <c r="B179" s="19" t="inlineStr">
        <is>
          <t>CF</t>
        </is>
      </c>
      <c r="C179" s="19" t="inlineStr">
        <is>
          <t>Combined Statements of Cash Flows - Investing</t>
        </is>
      </c>
      <c r="D179" s="19" t="inlineStr">
        <is>
          <t>Proceeds from dispositions</t>
        </is>
      </c>
      <c r="E179" s="19" t="inlineStr">
        <is>
          <t>CF.disp</t>
        </is>
      </c>
      <c r="F179" s="19" t="inlineStr"/>
      <c r="G179" s="3" t="n"/>
    </row>
    <row r="180">
      <c r="A180" s="19" t="inlineStr">
        <is>
          <t>Form10A_2026-05-27</t>
        </is>
      </c>
      <c r="B180" s="19" t="inlineStr">
        <is>
          <t>CF</t>
        </is>
      </c>
      <c r="C180" s="19" t="inlineStr">
        <is>
          <t>Combined Statements of Cash Flows - Investing</t>
        </is>
      </c>
      <c r="D180" s="19" t="inlineStr">
        <is>
          <t>Proceeds from loan to related parties</t>
        </is>
      </c>
      <c r="E180" s="19" t="inlineStr">
        <is>
          <t>CF.loan_rp</t>
        </is>
      </c>
      <c r="F180" s="19" t="inlineStr"/>
      <c r="G180" s="3" t="n"/>
    </row>
    <row r="181">
      <c r="A181" s="19" t="inlineStr">
        <is>
          <t>Form10A_2026-05-27</t>
        </is>
      </c>
      <c r="B181" s="19" t="inlineStr">
        <is>
          <t>CF</t>
        </is>
      </c>
      <c r="C181" s="19" t="inlineStr">
        <is>
          <t>Combined Statements of Cash Flows - Operating</t>
        </is>
      </c>
      <c r="D181" s="19" t="inlineStr">
        <is>
          <t>Amortization of intangibles</t>
        </is>
      </c>
      <c r="E181" s="19" t="inlineStr">
        <is>
          <t>CF.amort</t>
        </is>
      </c>
      <c r="F181" s="19" t="inlineStr"/>
      <c r="G181" s="3" t="n"/>
    </row>
    <row r="182">
      <c r="A182" s="19" t="inlineStr">
        <is>
          <t>Form10A_2026-05-27</t>
        </is>
      </c>
      <c r="B182" s="19" t="inlineStr">
        <is>
          <t>CF</t>
        </is>
      </c>
      <c r="C182" s="19" t="inlineStr">
        <is>
          <t>Combined Statements of Cash Flows - Operating</t>
        </is>
      </c>
      <c r="D182" s="19" t="inlineStr">
        <is>
          <t>Cash provided by operating activities</t>
        </is>
      </c>
      <c r="E182" s="19" t="inlineStr">
        <is>
          <t>CF.cfo</t>
        </is>
      </c>
      <c r="F182" s="19" t="inlineStr"/>
      <c r="G182" s="3" t="n"/>
    </row>
    <row r="183">
      <c r="A183" s="19" t="inlineStr">
        <is>
          <t>Form10A_2026-05-27</t>
        </is>
      </c>
      <c r="B183" s="19" t="inlineStr">
        <is>
          <t>CF</t>
        </is>
      </c>
      <c r="C183" s="19" t="inlineStr">
        <is>
          <t>Combined Statements of Cash Flows - Operating</t>
        </is>
      </c>
      <c r="D183" s="19" t="inlineStr">
        <is>
          <t>Deferred income taxes</t>
        </is>
      </c>
      <c r="E183" s="19" t="inlineStr">
        <is>
          <t>CF.deftax</t>
        </is>
      </c>
      <c r="F183" s="19" t="inlineStr"/>
      <c r="G183" s="3" t="n"/>
    </row>
    <row r="184">
      <c r="A184" s="19" t="inlineStr">
        <is>
          <t>Form10A_2026-05-27</t>
        </is>
      </c>
      <c r="B184" s="19" t="inlineStr">
        <is>
          <t>CF</t>
        </is>
      </c>
      <c r="C184" s="19" t="inlineStr">
        <is>
          <t>Combined Statements of Cash Flows - Operating</t>
        </is>
      </c>
      <c r="D184" s="19" t="inlineStr">
        <is>
          <t>Depreciation</t>
        </is>
      </c>
      <c r="E184" s="19" t="inlineStr">
        <is>
          <t>CF.dep</t>
        </is>
      </c>
      <c r="F184" s="19" t="inlineStr"/>
      <c r="G184" s="3" t="n"/>
    </row>
    <row r="185">
      <c r="A185" s="19" t="inlineStr">
        <is>
          <t>Form10A_2026-05-27</t>
        </is>
      </c>
      <c r="B185" s="19" t="inlineStr">
        <is>
          <t>CF</t>
        </is>
      </c>
      <c r="C185" s="19" t="inlineStr">
        <is>
          <t>Combined Statements of Cash Flows - Operating</t>
        </is>
      </c>
      <c r="D185" s="19" t="inlineStr">
        <is>
          <t>Net income</t>
        </is>
      </c>
      <c r="E185" s="19" t="inlineStr">
        <is>
          <t>CF.ni</t>
        </is>
      </c>
      <c r="F185" s="19" t="inlineStr"/>
      <c r="G185" s="3" t="n"/>
    </row>
    <row r="186">
      <c r="A186" s="19" t="inlineStr">
        <is>
          <t>Form10A_2026-05-27</t>
        </is>
      </c>
      <c r="B186" s="19" t="inlineStr">
        <is>
          <t>CF</t>
        </is>
      </c>
      <c r="C186" s="19" t="inlineStr">
        <is>
          <t>Combined Statements of Cash Flows - Operating</t>
        </is>
      </c>
      <c r="D186" s="19" t="inlineStr">
        <is>
          <t>Provision for losses on accounts receivable</t>
        </is>
      </c>
      <c r="E186" s="19" t="inlineStr">
        <is>
          <t>CF.prov</t>
        </is>
      </c>
      <c r="F186" s="19" t="inlineStr"/>
      <c r="G186" s="3" t="n"/>
    </row>
    <row r="187">
      <c r="A187" s="19" t="inlineStr">
        <is>
          <t>Form10A_2026-05-27</t>
        </is>
      </c>
      <c r="B187" s="19" t="inlineStr">
        <is>
          <t>CF</t>
        </is>
      </c>
      <c r="C187" s="19" t="inlineStr">
        <is>
          <t>Combined Statements of Cash Flows - Operating</t>
        </is>
      </c>
      <c r="D187" s="19" t="inlineStr">
        <is>
          <t>Stock-based compensation</t>
        </is>
      </c>
      <c r="E187" s="19" t="inlineStr">
        <is>
          <t>CF.sbc</t>
        </is>
      </c>
      <c r="F187" s="19" t="inlineStr"/>
      <c r="G187" s="3" t="n"/>
    </row>
    <row r="188">
      <c r="A188" s="19" t="inlineStr">
        <is>
          <t>Form10A_2026-05-27</t>
        </is>
      </c>
      <c r="B188" s="19" t="inlineStr">
        <is>
          <t>CF</t>
        </is>
      </c>
      <c r="C188" s="19" t="inlineStr">
        <is>
          <t>Combined Statements of Cash Flows - Supplemental</t>
        </is>
      </c>
      <c r="D188" s="19" t="inlineStr">
        <is>
          <t>Cash paid during the year for: Income taxes</t>
        </is>
      </c>
      <c r="E188" s="19" t="inlineStr">
        <is>
          <t>CF.sup_tax</t>
        </is>
      </c>
      <c r="F188" s="19" t="inlineStr"/>
      <c r="G188" s="3" t="n"/>
    </row>
    <row r="189">
      <c r="A189" s="19" t="inlineStr">
        <is>
          <t>Form10A_2026-05-27</t>
        </is>
      </c>
      <c r="B189" s="19" t="inlineStr">
        <is>
          <t>CF</t>
        </is>
      </c>
      <c r="C189" s="19" t="inlineStr">
        <is>
          <t>Combined Statements of Cash Flows - Supplemental</t>
        </is>
      </c>
      <c r="D189" s="19" t="inlineStr">
        <is>
          <t>Cash paid during the year for: Interest</t>
        </is>
      </c>
      <c r="E189" s="19" t="inlineStr">
        <is>
          <t>CF.sup_int</t>
        </is>
      </c>
      <c r="F189" s="19" t="inlineStr"/>
      <c r="G189" s="3" t="n"/>
    </row>
    <row r="190">
      <c r="A190" s="19" t="inlineStr">
        <is>
          <t>Form10A_2026-05-27</t>
        </is>
      </c>
      <c r="B190" s="19" t="inlineStr">
        <is>
          <t>CF</t>
        </is>
      </c>
      <c r="C190" s="19" t="inlineStr">
        <is>
          <t>Condensed Combined Statements of Cash Flows</t>
        </is>
      </c>
      <c r="D190" s="19" t="inlineStr">
        <is>
          <t>Cash, cash equivalents, and restricted cash at beginning of period</t>
        </is>
      </c>
      <c r="E190" s="19" t="inlineStr">
        <is>
          <t>CF.beg</t>
        </is>
      </c>
      <c r="F190" s="19" t="inlineStr"/>
      <c r="G190" s="3" t="n"/>
    </row>
    <row r="191">
      <c r="A191" s="19" t="inlineStr">
        <is>
          <t>Form10A_2026-05-27</t>
        </is>
      </c>
      <c r="B191" s="19" t="inlineStr">
        <is>
          <t>CF</t>
        </is>
      </c>
      <c r="C191" s="19" t="inlineStr">
        <is>
          <t>Condensed Combined Statements of Cash Flows</t>
        </is>
      </c>
      <c r="D191" s="19" t="inlineStr">
        <is>
          <t>Cash, cash equivalents, and restricted cash at end of period</t>
        </is>
      </c>
      <c r="E191" s="19" t="inlineStr">
        <is>
          <t>CF.end</t>
        </is>
      </c>
      <c r="F191" s="19" t="inlineStr"/>
      <c r="G191" s="3" t="n"/>
    </row>
    <row r="192">
      <c r="A192" s="19" t="inlineStr">
        <is>
          <t>Form10A_2026-05-27</t>
        </is>
      </c>
      <c r="B192" s="19" t="inlineStr">
        <is>
          <t>CF</t>
        </is>
      </c>
      <c r="C192" s="19" t="inlineStr">
        <is>
          <t>Condensed Combined Statements of Cash Flows</t>
        </is>
      </c>
      <c r="D192" s="19" t="inlineStr">
        <is>
          <t>Effect of exchange rate changes on cash</t>
        </is>
      </c>
      <c r="E192" s="19" t="inlineStr">
        <is>
          <t>CF.fx</t>
        </is>
      </c>
      <c r="F192" s="19" t="inlineStr"/>
      <c r="G192" s="3" t="n"/>
    </row>
    <row r="193">
      <c r="A193" s="19" t="inlineStr">
        <is>
          <t>Form10A_2026-05-27</t>
        </is>
      </c>
      <c r="B193" s="19" t="inlineStr">
        <is>
          <t>CF</t>
        </is>
      </c>
      <c r="C193" s="19" t="inlineStr">
        <is>
          <t>Condensed Combined Statements of Cash Flows</t>
        </is>
      </c>
      <c r="D193" s="19" t="inlineStr">
        <is>
          <t>Net change in cash, cash equivalents, and restricted cash</t>
        </is>
      </c>
      <c r="E193" s="19" t="inlineStr">
        <is>
          <t>CF.chg</t>
        </is>
      </c>
      <c r="F193" s="19" t="inlineStr"/>
      <c r="G193" s="3" t="n"/>
    </row>
    <row r="194">
      <c r="A194" s="19" t="inlineStr">
        <is>
          <t>Form10A_2026-05-27</t>
        </is>
      </c>
      <c r="B194" s="19" t="inlineStr">
        <is>
          <t>CF</t>
        </is>
      </c>
      <c r="C194" s="19" t="inlineStr">
        <is>
          <t>Condensed Combined Statements of Cash Flows - Financing</t>
        </is>
      </c>
      <c r="D194" s="19" t="inlineStr">
        <is>
          <t>Cash provided by (used for) financing activities</t>
        </is>
      </c>
      <c r="E194" s="19" t="inlineStr">
        <is>
          <t>CF.cff</t>
        </is>
      </c>
      <c r="F194" s="19" t="inlineStr"/>
      <c r="G194" s="3" t="n"/>
    </row>
    <row r="195">
      <c r="A195" s="19" t="inlineStr">
        <is>
          <t>Form10A_2026-05-27</t>
        </is>
      </c>
      <c r="B195" s="19" t="inlineStr">
        <is>
          <t>CF</t>
        </is>
      </c>
      <c r="C195" s="19" t="inlineStr">
        <is>
          <t>Condensed Combined Statements of Cash Flows - Investing</t>
        </is>
      </c>
      <c r="D195" s="19" t="inlineStr">
        <is>
          <t>Capital expenditures</t>
        </is>
      </c>
      <c r="E195" s="19" t="inlineStr">
        <is>
          <t>CF.capex</t>
        </is>
      </c>
      <c r="F195" s="19" t="inlineStr"/>
      <c r="G195" s="3" t="n"/>
    </row>
    <row r="196">
      <c r="A196" s="19" t="inlineStr">
        <is>
          <t>Form10A_2026-05-27</t>
        </is>
      </c>
      <c r="B196" s="19" t="inlineStr">
        <is>
          <t>CF</t>
        </is>
      </c>
      <c r="C196" s="19" t="inlineStr">
        <is>
          <t>Condensed Combined Statements of Cash Flows - Investing</t>
        </is>
      </c>
      <c r="D196" s="19" t="inlineStr">
        <is>
          <t>Cash used for investing activities</t>
        </is>
      </c>
      <c r="E196" s="19" t="inlineStr">
        <is>
          <t>CF.cfi</t>
        </is>
      </c>
      <c r="F196" s="19" t="inlineStr"/>
      <c r="G196" s="3" t="n"/>
    </row>
    <row r="197">
      <c r="A197" s="19" t="inlineStr">
        <is>
          <t>Form10A_2026-05-27</t>
        </is>
      </c>
      <c r="B197" s="19" t="inlineStr">
        <is>
          <t>CF</t>
        </is>
      </c>
      <c r="C197" s="19" t="inlineStr">
        <is>
          <t>Condensed Combined Statements of Cash Flows - Operating</t>
        </is>
      </c>
      <c r="D197" s="19" t="inlineStr">
        <is>
          <t>Amortization of intangibles</t>
        </is>
      </c>
      <c r="E197" s="19" t="inlineStr">
        <is>
          <t>CF.amort</t>
        </is>
      </c>
      <c r="F197" s="19" t="inlineStr"/>
      <c r="G197" s="3" t="n"/>
    </row>
    <row r="198">
      <c r="A198" s="19" t="inlineStr">
        <is>
          <t>Form10A_2026-05-27</t>
        </is>
      </c>
      <c r="B198" s="19" t="inlineStr">
        <is>
          <t>CF</t>
        </is>
      </c>
      <c r="C198" s="19" t="inlineStr">
        <is>
          <t>Condensed Combined Statements of Cash Flows - Operating</t>
        </is>
      </c>
      <c r="D198" s="19" t="inlineStr">
        <is>
          <t>Cash provided by operating activities</t>
        </is>
      </c>
      <c r="E198" s="19" t="inlineStr">
        <is>
          <t>CF.cfo</t>
        </is>
      </c>
      <c r="F198" s="19" t="inlineStr"/>
      <c r="G198" s="3" t="n"/>
    </row>
    <row r="199">
      <c r="A199" s="19" t="inlineStr">
        <is>
          <t>Form10A_2026-05-27</t>
        </is>
      </c>
      <c r="B199" s="19" t="inlineStr">
        <is>
          <t>CF</t>
        </is>
      </c>
      <c r="C199" s="19" t="inlineStr">
        <is>
          <t>Condensed Combined Statements of Cash Flows - Operating</t>
        </is>
      </c>
      <c r="D199" s="19" t="inlineStr">
        <is>
          <t>Deferred income taxes</t>
        </is>
      </c>
      <c r="E199" s="19" t="inlineStr">
        <is>
          <t>CF.deftax</t>
        </is>
      </c>
      <c r="F199" s="19" t="inlineStr"/>
      <c r="G199" s="3" t="n"/>
    </row>
    <row r="200">
      <c r="A200" s="19" t="inlineStr">
        <is>
          <t>Form10A_2026-05-27</t>
        </is>
      </c>
      <c r="B200" s="19" t="inlineStr">
        <is>
          <t>CF</t>
        </is>
      </c>
      <c r="C200" s="19" t="inlineStr">
        <is>
          <t>Condensed Combined Statements of Cash Flows - Operating</t>
        </is>
      </c>
      <c r="D200" s="19" t="inlineStr">
        <is>
          <t>Depreciation</t>
        </is>
      </c>
      <c r="E200" s="19" t="inlineStr">
        <is>
          <t>CF.dep</t>
        </is>
      </c>
      <c r="F200" s="19" t="inlineStr"/>
      <c r="G200" s="3" t="n"/>
    </row>
    <row r="201">
      <c r="A201" s="19" t="inlineStr">
        <is>
          <t>Form10A_2026-05-27</t>
        </is>
      </c>
      <c r="B201" s="19" t="inlineStr">
        <is>
          <t>CF</t>
        </is>
      </c>
      <c r="C201" s="19" t="inlineStr">
        <is>
          <t>Condensed Combined Statements of Cash Flows - Operating</t>
        </is>
      </c>
      <c r="D201" s="19" t="inlineStr">
        <is>
          <t>Net income</t>
        </is>
      </c>
      <c r="E201" s="19" t="inlineStr">
        <is>
          <t>CF.ni</t>
        </is>
      </c>
      <c r="F201" s="19" t="inlineStr"/>
      <c r="G201" s="3" t="n"/>
    </row>
    <row r="202">
      <c r="A202" s="19" t="inlineStr">
        <is>
          <t>Form10A_2026-05-27</t>
        </is>
      </c>
      <c r="B202" s="19" t="inlineStr">
        <is>
          <t>CF</t>
        </is>
      </c>
      <c r="C202" s="19" t="inlineStr">
        <is>
          <t>Condensed Combined Statements of Cash Flows - Operating</t>
        </is>
      </c>
      <c r="D202" s="19" t="inlineStr">
        <is>
          <t>Provision for losses on accounts receivable</t>
        </is>
      </c>
      <c r="E202" s="19" t="inlineStr">
        <is>
          <t>CF.prov</t>
        </is>
      </c>
      <c r="F202" s="19" t="inlineStr"/>
      <c r="G202" s="3" t="n"/>
    </row>
    <row r="203">
      <c r="A203" s="19" t="inlineStr">
        <is>
          <t>Form10A_2026-05-27</t>
        </is>
      </c>
      <c r="B203" s="19" t="inlineStr">
        <is>
          <t>CF</t>
        </is>
      </c>
      <c r="C203" s="19" t="inlineStr">
        <is>
          <t>Condensed Combined Statements of Cash Flows - Operating</t>
        </is>
      </c>
      <c r="D203" s="19" t="inlineStr">
        <is>
          <t>Stock-based compensation</t>
        </is>
      </c>
      <c r="E203" s="19" t="inlineStr">
        <is>
          <t>CF.sbc</t>
        </is>
      </c>
      <c r="F203" s="19" t="inlineStr"/>
      <c r="G203" s="3" t="n"/>
    </row>
    <row r="204">
      <c r="A204" s="19" t="inlineStr">
        <is>
          <t>Form10A_2026-05-27</t>
        </is>
      </c>
      <c r="B204" s="19" t="inlineStr">
        <is>
          <t>CF</t>
        </is>
      </c>
      <c r="C204" s="19" t="inlineStr">
        <is>
          <t>MD&amp;A Cash Flow Overview</t>
        </is>
      </c>
      <c r="D204" s="19" t="inlineStr">
        <is>
          <t>Financing activities</t>
        </is>
      </c>
      <c r="E204" s="19" t="inlineStr">
        <is>
          <t>EXCLUDE</t>
        </is>
      </c>
      <c r="F204" s="19" t="inlineStr">
        <is>
          <t>Duplicate presentation; used only as logged gap-fill fallback</t>
        </is>
      </c>
      <c r="G204" s="3" t="n"/>
    </row>
    <row r="205">
      <c r="A205" s="19" t="inlineStr">
        <is>
          <t>Form10A_2026-05-27</t>
        </is>
      </c>
      <c r="B205" s="19" t="inlineStr">
        <is>
          <t>CF</t>
        </is>
      </c>
      <c r="C205" s="19" t="inlineStr">
        <is>
          <t>MD&amp;A Cash Flow Overview</t>
        </is>
      </c>
      <c r="D205" s="19" t="inlineStr">
        <is>
          <t>Investing activities</t>
        </is>
      </c>
      <c r="E205" s="19" t="inlineStr">
        <is>
          <t>EXCLUDE</t>
        </is>
      </c>
      <c r="F205" s="19" t="inlineStr">
        <is>
          <t>Duplicate presentation; used only as logged gap-fill fallback</t>
        </is>
      </c>
      <c r="G205" s="3" t="n"/>
    </row>
    <row r="206">
      <c r="A206" s="19" t="inlineStr">
        <is>
          <t>Form10A_2026-05-27</t>
        </is>
      </c>
      <c r="B206" s="19" t="inlineStr">
        <is>
          <t>CF</t>
        </is>
      </c>
      <c r="C206" s="19" t="inlineStr">
        <is>
          <t>MD&amp;A Cash Flow Overview</t>
        </is>
      </c>
      <c r="D206" s="19" t="inlineStr">
        <is>
          <t>Operating activities</t>
        </is>
      </c>
      <c r="E206" s="19" t="inlineStr">
        <is>
          <t>EXCLUDE</t>
        </is>
      </c>
      <c r="F206" s="19" t="inlineStr">
        <is>
          <t>Duplicate presentation; used only as logged gap-fill fallback</t>
        </is>
      </c>
      <c r="G206" s="3" t="n"/>
    </row>
    <row r="207">
      <c r="A207" s="19" t="inlineStr">
        <is>
          <t>Form10A_2026-05-27</t>
        </is>
      </c>
      <c r="B207" s="19" t="inlineStr">
        <is>
          <t>CF</t>
        </is>
      </c>
      <c r="C207" s="19" t="inlineStr">
        <is>
          <t>MD&amp;A Free cash flow reconciliation</t>
        </is>
      </c>
      <c r="D207" s="19" t="inlineStr">
        <is>
          <t>Capital expenditures</t>
        </is>
      </c>
      <c r="E207" s="19" t="inlineStr">
        <is>
          <t>EXCLUDE</t>
        </is>
      </c>
      <c r="F207" s="19" t="inlineStr">
        <is>
          <t>Non-GAAP FCF table -&gt; Adjusted/Non-GAAP tab</t>
        </is>
      </c>
      <c r="G207" s="3" t="n"/>
    </row>
    <row r="208">
      <c r="A208" s="19" t="inlineStr">
        <is>
          <t>Form10A_2026-05-27</t>
        </is>
      </c>
      <c r="B208" s="19" t="inlineStr">
        <is>
          <t>CF</t>
        </is>
      </c>
      <c r="C208" s="19" t="inlineStr">
        <is>
          <t>SUMMARY Combined Financial and Other Data</t>
        </is>
      </c>
      <c r="D208" s="19" t="inlineStr">
        <is>
          <t>Net cash provided by operating activities</t>
        </is>
      </c>
      <c r="E208" s="19" t="inlineStr">
        <is>
          <t>EXCLUDE</t>
        </is>
      </c>
      <c r="F208" s="19" t="inlineStr">
        <is>
          <t>Summary table duplicates the statements</t>
        </is>
      </c>
      <c r="G208" s="3" t="n"/>
    </row>
    <row r="209">
      <c r="A209" s="19" t="inlineStr">
        <is>
          <t>Form10A_2026-05-27</t>
        </is>
      </c>
      <c r="B209" s="19" t="inlineStr">
        <is>
          <t>CF</t>
        </is>
      </c>
      <c r="C209" s="19" t="inlineStr">
        <is>
          <t>SUMMARY Combined Financial and Other Data</t>
        </is>
      </c>
      <c r="D209" s="19" t="inlineStr">
        <is>
          <t>Net cash used for financing activities</t>
        </is>
      </c>
      <c r="E209" s="19" t="inlineStr">
        <is>
          <t>EXCLUDE</t>
        </is>
      </c>
      <c r="F209" s="19" t="inlineStr">
        <is>
          <t>Summary table duplicates the statements</t>
        </is>
      </c>
      <c r="G209" s="3" t="n"/>
    </row>
    <row r="210">
      <c r="A210" s="19" t="inlineStr">
        <is>
          <t>Form10A_2026-05-27</t>
        </is>
      </c>
      <c r="B210" s="19" t="inlineStr">
        <is>
          <t>CF</t>
        </is>
      </c>
      <c r="C210" s="19" t="inlineStr">
        <is>
          <t>SUMMARY Combined Financial and Other Data</t>
        </is>
      </c>
      <c r="D210" s="19" t="inlineStr">
        <is>
          <t>Net cash used for investing activities</t>
        </is>
      </c>
      <c r="E210" s="19" t="inlineStr">
        <is>
          <t>EXCLUDE</t>
        </is>
      </c>
      <c r="F210" s="19" t="inlineStr">
        <is>
          <t>Summary table duplicates the statements</t>
        </is>
      </c>
      <c r="G210" s="3" t="n"/>
    </row>
    <row r="211">
      <c r="A211" s="19" t="inlineStr">
        <is>
          <t>Form10A_2026-05-27</t>
        </is>
      </c>
      <c r="B211" s="19" t="inlineStr">
        <is>
          <t>EQ</t>
        </is>
      </c>
      <c r="C211" s="19" t="inlineStr">
        <is>
          <t>Combined Statements of Equity - Accumulated Other Comprehensive Income (Loss)</t>
        </is>
      </c>
      <c r="D211" s="19" t="inlineStr">
        <is>
          <t>Balance as of December 31</t>
        </is>
      </c>
      <c r="E211" s="19" t="inlineStr">
        <is>
          <t>EXCLUDE</t>
        </is>
      </c>
      <c r="F211" s="19" t="inlineStr">
        <is>
          <t>Equity roll-forward -&gt; Equity tab (separate build)</t>
        </is>
      </c>
      <c r="G211" s="3" t="n"/>
    </row>
    <row r="212">
      <c r="A212" s="19" t="inlineStr">
        <is>
          <t>Form10A_2026-05-27</t>
        </is>
      </c>
      <c r="B212" s="19" t="inlineStr">
        <is>
          <t>EQ</t>
        </is>
      </c>
      <c r="C212" s="19" t="inlineStr">
        <is>
          <t>Combined Statements of Equity - Accumulated Other Comprehensive Income (Loss)</t>
        </is>
      </c>
      <c r="D212" s="19" t="inlineStr">
        <is>
          <t>Balance as of January 1, 2023</t>
        </is>
      </c>
      <c r="E212" s="19" t="inlineStr">
        <is>
          <t>EXCLUDE</t>
        </is>
      </c>
      <c r="F212" s="19" t="inlineStr">
        <is>
          <t>Equity roll-forward -&gt; Equity tab (separate build)</t>
        </is>
      </c>
      <c r="G212" s="3" t="n"/>
    </row>
    <row r="213">
      <c r="A213" s="19" t="inlineStr">
        <is>
          <t>Form10A_2026-05-27</t>
        </is>
      </c>
      <c r="B213" s="19" t="inlineStr">
        <is>
          <t>EQ</t>
        </is>
      </c>
      <c r="C213" s="19" t="inlineStr">
        <is>
          <t>Combined Statements of Equity - Accumulated Other Comprehensive Income (Loss)</t>
        </is>
      </c>
      <c r="D213" s="19" t="inlineStr">
        <is>
          <t>Comprehensive income, net of tax</t>
        </is>
      </c>
      <c r="E213" s="19" t="inlineStr">
        <is>
          <t>EXCLUDE</t>
        </is>
      </c>
      <c r="F213" s="19" t="inlineStr">
        <is>
          <t>Equity roll-forward -&gt; Equity tab (separate build)</t>
        </is>
      </c>
      <c r="G213" s="3" t="n"/>
    </row>
    <row r="214">
      <c r="A214" s="19" t="inlineStr">
        <is>
          <t>Form10A_2026-05-27</t>
        </is>
      </c>
      <c r="B214" s="19" t="inlineStr">
        <is>
          <t>EQ</t>
        </is>
      </c>
      <c r="C214" s="19" t="inlineStr">
        <is>
          <t>Combined Statements of Equity - Parent Company Investment</t>
        </is>
      </c>
      <c r="D214" s="19" t="inlineStr">
        <is>
          <t>Balance as of December 31</t>
        </is>
      </c>
      <c r="E214" s="19" t="inlineStr">
        <is>
          <t>EXCLUDE</t>
        </is>
      </c>
      <c r="F214" s="19" t="inlineStr">
        <is>
          <t>Equity roll-forward -&gt; Equity tab (separate build)</t>
        </is>
      </c>
      <c r="G214" s="3" t="n"/>
    </row>
    <row r="215">
      <c r="A215" s="19" t="inlineStr">
        <is>
          <t>Form10A_2026-05-27</t>
        </is>
      </c>
      <c r="B215" s="19" t="inlineStr">
        <is>
          <t>EQ</t>
        </is>
      </c>
      <c r="C215" s="19" t="inlineStr">
        <is>
          <t>Combined Statements of Equity - Parent Company Investment</t>
        </is>
      </c>
      <c r="D215" s="19" t="inlineStr">
        <is>
          <t>Balance as of January 1, 2023</t>
        </is>
      </c>
      <c r="E215" s="19" t="inlineStr">
        <is>
          <t>EXCLUDE</t>
        </is>
      </c>
      <c r="F215" s="19" t="inlineStr">
        <is>
          <t>Equity roll-forward -&gt; Equity tab (separate build)</t>
        </is>
      </c>
      <c r="G215" s="3" t="n"/>
    </row>
    <row r="216">
      <c r="A216" s="19" t="inlineStr">
        <is>
          <t>Form10A_2026-05-27</t>
        </is>
      </c>
      <c r="B216" s="19" t="inlineStr">
        <is>
          <t>EQ</t>
        </is>
      </c>
      <c r="C216" s="19" t="inlineStr">
        <is>
          <t>Combined Statements of Equity - Parent Company Investment</t>
        </is>
      </c>
      <c r="D216" s="19" t="inlineStr">
        <is>
          <t>Comprehensive income, net of tax</t>
        </is>
      </c>
      <c r="E216" s="19" t="inlineStr">
        <is>
          <t>EXCLUDE</t>
        </is>
      </c>
      <c r="F216" s="19" t="inlineStr">
        <is>
          <t>Equity roll-forward -&gt; Equity tab (separate build)</t>
        </is>
      </c>
      <c r="G216" s="3" t="n"/>
    </row>
    <row r="217">
      <c r="A217" s="19" t="inlineStr">
        <is>
          <t>Form10A_2026-05-27</t>
        </is>
      </c>
      <c r="B217" s="19" t="inlineStr">
        <is>
          <t>EQ</t>
        </is>
      </c>
      <c r="C217" s="19" t="inlineStr">
        <is>
          <t>Combined Statements of Equity - Parent Company Investment</t>
        </is>
      </c>
      <c r="D217" s="19" t="inlineStr">
        <is>
          <t>Net decrease in Parent company investment</t>
        </is>
      </c>
      <c r="E217" s="19" t="inlineStr">
        <is>
          <t>EXCLUDE</t>
        </is>
      </c>
      <c r="F217" s="19" t="inlineStr">
        <is>
          <t>Equity roll-forward -&gt; Equity tab (separate build)</t>
        </is>
      </c>
      <c r="G217" s="3" t="n"/>
    </row>
    <row r="218">
      <c r="A218" s="19" t="inlineStr">
        <is>
          <t>Form10A_2026-05-27</t>
        </is>
      </c>
      <c r="B218" s="19" t="inlineStr">
        <is>
          <t>EQ</t>
        </is>
      </c>
      <c r="C218" s="19" t="inlineStr">
        <is>
          <t>Combined Statements of Equity - Total Equity</t>
        </is>
      </c>
      <c r="D218" s="19" t="inlineStr">
        <is>
          <t>Balance as of December 31</t>
        </is>
      </c>
      <c r="E218" s="19" t="inlineStr">
        <is>
          <t>EXCLUDE</t>
        </is>
      </c>
      <c r="F218" s="19" t="inlineStr">
        <is>
          <t>Equity roll-forward -&gt; Equity tab (separate build)</t>
        </is>
      </c>
      <c r="G218" s="3" t="n"/>
    </row>
    <row r="219">
      <c r="A219" s="19" t="inlineStr">
        <is>
          <t>Form10A_2026-05-27</t>
        </is>
      </c>
      <c r="B219" s="19" t="inlineStr">
        <is>
          <t>EQ</t>
        </is>
      </c>
      <c r="C219" s="19" t="inlineStr">
        <is>
          <t>Combined Statements of Equity - Total Equity</t>
        </is>
      </c>
      <c r="D219" s="19" t="inlineStr">
        <is>
          <t>Balance as of January 1, 2023</t>
        </is>
      </c>
      <c r="E219" s="19" t="inlineStr">
        <is>
          <t>EXCLUDE</t>
        </is>
      </c>
      <c r="F219" s="19" t="inlineStr">
        <is>
          <t>Equity roll-forward -&gt; Equity tab (separate build)</t>
        </is>
      </c>
      <c r="G219" s="3" t="n"/>
    </row>
    <row r="220">
      <c r="A220" s="19" t="inlineStr">
        <is>
          <t>Form10A_2026-05-27</t>
        </is>
      </c>
      <c r="B220" s="19" t="inlineStr">
        <is>
          <t>EQ</t>
        </is>
      </c>
      <c r="C220" s="19" t="inlineStr">
        <is>
          <t>Combined Statements of Equity - Total Equity</t>
        </is>
      </c>
      <c r="D220" s="19" t="inlineStr">
        <is>
          <t>Comprehensive income, net of tax</t>
        </is>
      </c>
      <c r="E220" s="19" t="inlineStr">
        <is>
          <t>EXCLUDE</t>
        </is>
      </c>
      <c r="F220" s="19" t="inlineStr">
        <is>
          <t>Equity roll-forward -&gt; Equity tab (separate build)</t>
        </is>
      </c>
      <c r="G220" s="3" t="n"/>
    </row>
    <row r="221">
      <c r="A221" s="19" t="inlineStr">
        <is>
          <t>Form10A_2026-05-27</t>
        </is>
      </c>
      <c r="B221" s="19" t="inlineStr">
        <is>
          <t>EQ</t>
        </is>
      </c>
      <c r="C221" s="19" t="inlineStr">
        <is>
          <t>Combined Statements of Equity - Total Equity</t>
        </is>
      </c>
      <c r="D221" s="19" t="inlineStr">
        <is>
          <t>Net decrease in Parent company investment</t>
        </is>
      </c>
      <c r="E221" s="19" t="inlineStr">
        <is>
          <t>EXCLUDE</t>
        </is>
      </c>
      <c r="F221" s="19" t="inlineStr">
        <is>
          <t>Equity roll-forward -&gt; Equity tab (separate build)</t>
        </is>
      </c>
      <c r="G221" s="3" t="n"/>
    </row>
    <row r="222">
      <c r="A222" s="19" t="inlineStr">
        <is>
          <t>Form10A_2026-05-27</t>
        </is>
      </c>
      <c r="B222" s="19" t="inlineStr">
        <is>
          <t>EQ</t>
        </is>
      </c>
      <c r="C222" s="19" t="inlineStr">
        <is>
          <t>Condensed Combined Statements of Equity - Accumulated Other Comprehensive Income (Loss)</t>
        </is>
      </c>
      <c r="D222" s="19" t="inlineStr">
        <is>
          <t>Balance as of December 31 (opening)</t>
        </is>
      </c>
      <c r="E222" s="19" t="inlineStr">
        <is>
          <t>EXCLUDE</t>
        </is>
      </c>
      <c r="F222" s="19" t="inlineStr">
        <is>
          <t>Equity roll-forward -&gt; Equity tab (separate build)</t>
        </is>
      </c>
      <c r="G222" s="3" t="n"/>
    </row>
    <row r="223">
      <c r="A223" s="19" t="inlineStr">
        <is>
          <t>Form10A_2026-05-27</t>
        </is>
      </c>
      <c r="B223" s="19" t="inlineStr">
        <is>
          <t>EQ</t>
        </is>
      </c>
      <c r="C223" s="19" t="inlineStr">
        <is>
          <t>Condensed Combined Statements of Equity - Accumulated Other Comprehensive Income (Loss)</t>
        </is>
      </c>
      <c r="D223" s="19" t="inlineStr">
        <is>
          <t>Balance as of March 31</t>
        </is>
      </c>
      <c r="E223" s="19" t="inlineStr">
        <is>
          <t>EXCLUDE</t>
        </is>
      </c>
      <c r="F223" s="19" t="inlineStr">
        <is>
          <t>Equity roll-forward -&gt; Equity tab (separate build)</t>
        </is>
      </c>
      <c r="G223" s="3" t="n"/>
    </row>
    <row r="224">
      <c r="A224" s="19" t="inlineStr">
        <is>
          <t>Form10A_2026-05-27</t>
        </is>
      </c>
      <c r="B224" s="19" t="inlineStr">
        <is>
          <t>EQ</t>
        </is>
      </c>
      <c r="C224" s="19" t="inlineStr">
        <is>
          <t>Condensed Combined Statements of Equity - Accumulated Other Comprehensive Income (Loss)</t>
        </is>
      </c>
      <c r="D224" s="19" t="inlineStr">
        <is>
          <t>Comprehensive income (loss), net of tax</t>
        </is>
      </c>
      <c r="E224" s="19" t="inlineStr">
        <is>
          <t>EXCLUDE</t>
        </is>
      </c>
      <c r="F224" s="19" t="inlineStr">
        <is>
          <t>Equity roll-forward -&gt; Equity tab (separate build)</t>
        </is>
      </c>
      <c r="G224" s="3" t="n"/>
    </row>
    <row r="225">
      <c r="A225" s="19" t="inlineStr">
        <is>
          <t>Form10A_2026-05-27</t>
        </is>
      </c>
      <c r="B225" s="19" t="inlineStr">
        <is>
          <t>EQ</t>
        </is>
      </c>
      <c r="C225" s="19" t="inlineStr">
        <is>
          <t>Condensed Combined Statements of Equity - Parent Company Investment</t>
        </is>
      </c>
      <c r="D225" s="19" t="inlineStr">
        <is>
          <t>Balance as of December 31 (opening)</t>
        </is>
      </c>
      <c r="E225" s="19" t="inlineStr">
        <is>
          <t>EXCLUDE</t>
        </is>
      </c>
      <c r="F225" s="19" t="inlineStr">
        <is>
          <t>Equity roll-forward -&gt; Equity tab (separate build)</t>
        </is>
      </c>
      <c r="G225" s="3" t="n"/>
    </row>
    <row r="226">
      <c r="A226" s="19" t="inlineStr">
        <is>
          <t>Form10A_2026-05-27</t>
        </is>
      </c>
      <c r="B226" s="19" t="inlineStr">
        <is>
          <t>EQ</t>
        </is>
      </c>
      <c r="C226" s="19" t="inlineStr">
        <is>
          <t>Condensed Combined Statements of Equity - Parent Company Investment</t>
        </is>
      </c>
      <c r="D226" s="19" t="inlineStr">
        <is>
          <t>Balance as of March 31</t>
        </is>
      </c>
      <c r="E226" s="19" t="inlineStr">
        <is>
          <t>EXCLUDE</t>
        </is>
      </c>
      <c r="F226" s="19" t="inlineStr">
        <is>
          <t>Equity roll-forward -&gt; Equity tab (separate build)</t>
        </is>
      </c>
      <c r="G226" s="3" t="n"/>
    </row>
    <row r="227">
      <c r="A227" s="19" t="inlineStr">
        <is>
          <t>Form10A_2026-05-27</t>
        </is>
      </c>
      <c r="B227" s="19" t="inlineStr">
        <is>
          <t>EQ</t>
        </is>
      </c>
      <c r="C227" s="19" t="inlineStr">
        <is>
          <t>Condensed Combined Statements of Equity - Parent Company Investment</t>
        </is>
      </c>
      <c r="D227" s="19" t="inlineStr">
        <is>
          <t>Comprehensive income (loss), net of tax</t>
        </is>
      </c>
      <c r="E227" s="19" t="inlineStr">
        <is>
          <t>EXCLUDE</t>
        </is>
      </c>
      <c r="F227" s="19" t="inlineStr">
        <is>
          <t>Equity roll-forward -&gt; Equity tab (separate build)</t>
        </is>
      </c>
      <c r="G227" s="3" t="n"/>
    </row>
    <row r="228">
      <c r="A228" s="19" t="inlineStr">
        <is>
          <t>Form10A_2026-05-27</t>
        </is>
      </c>
      <c r="B228" s="19" t="inlineStr">
        <is>
          <t>EQ</t>
        </is>
      </c>
      <c r="C228" s="19" t="inlineStr">
        <is>
          <t>Condensed Combined Statements of Equity - Parent Company Investment</t>
        </is>
      </c>
      <c r="D228" s="19" t="inlineStr">
        <is>
          <t>Net increase (decrease) in Parent company investment</t>
        </is>
      </c>
      <c r="E228" s="19" t="inlineStr">
        <is>
          <t>EXCLUDE</t>
        </is>
      </c>
      <c r="F228" s="19" t="inlineStr">
        <is>
          <t>Equity roll-forward -&gt; Equity tab (separate build)</t>
        </is>
      </c>
      <c r="G228" s="3" t="n"/>
    </row>
    <row r="229">
      <c r="A229" s="19" t="inlineStr">
        <is>
          <t>Form10A_2026-05-27</t>
        </is>
      </c>
      <c r="B229" s="19" t="inlineStr">
        <is>
          <t>EQ</t>
        </is>
      </c>
      <c r="C229" s="19" t="inlineStr">
        <is>
          <t>Condensed Combined Statements of Equity - Total Equity</t>
        </is>
      </c>
      <c r="D229" s="19" t="inlineStr">
        <is>
          <t>Balance as of December 31 (opening)</t>
        </is>
      </c>
      <c r="E229" s="19" t="inlineStr">
        <is>
          <t>EXCLUDE</t>
        </is>
      </c>
      <c r="F229" s="19" t="inlineStr">
        <is>
          <t>Equity roll-forward -&gt; Equity tab (separate build)</t>
        </is>
      </c>
      <c r="G229" s="3" t="n"/>
    </row>
    <row r="230">
      <c r="A230" s="19" t="inlineStr">
        <is>
          <t>Form10A_2026-05-27</t>
        </is>
      </c>
      <c r="B230" s="19" t="inlineStr">
        <is>
          <t>EQ</t>
        </is>
      </c>
      <c r="C230" s="19" t="inlineStr">
        <is>
          <t>Condensed Combined Statements of Equity - Total Equity</t>
        </is>
      </c>
      <c r="D230" s="19" t="inlineStr">
        <is>
          <t>Balance as of March 31</t>
        </is>
      </c>
      <c r="E230" s="19" t="inlineStr">
        <is>
          <t>EXCLUDE</t>
        </is>
      </c>
      <c r="F230" s="19" t="inlineStr">
        <is>
          <t>Equity roll-forward -&gt; Equity tab (separate build)</t>
        </is>
      </c>
      <c r="G230" s="3" t="n"/>
    </row>
    <row r="231">
      <c r="A231" s="19" t="inlineStr">
        <is>
          <t>Form10A_2026-05-27</t>
        </is>
      </c>
      <c r="B231" s="19" t="inlineStr">
        <is>
          <t>EQ</t>
        </is>
      </c>
      <c r="C231" s="19" t="inlineStr">
        <is>
          <t>Condensed Combined Statements of Equity - Total Equity</t>
        </is>
      </c>
      <c r="D231" s="19" t="inlineStr">
        <is>
          <t>Comprehensive income (loss), net of tax</t>
        </is>
      </c>
      <c r="E231" s="19" t="inlineStr">
        <is>
          <t>EXCLUDE</t>
        </is>
      </c>
      <c r="F231" s="19" t="inlineStr">
        <is>
          <t>Equity roll-forward -&gt; Equity tab (separate build)</t>
        </is>
      </c>
      <c r="G231" s="3" t="n"/>
    </row>
    <row r="232">
      <c r="A232" s="19" t="inlineStr">
        <is>
          <t>Form10A_2026-05-27</t>
        </is>
      </c>
      <c r="B232" s="19" t="inlineStr">
        <is>
          <t>EQ</t>
        </is>
      </c>
      <c r="C232" s="19" t="inlineStr">
        <is>
          <t>Condensed Combined Statements of Equity - Total Equity</t>
        </is>
      </c>
      <c r="D232" s="19" t="inlineStr">
        <is>
          <t>Net increase (decrease) in Parent company investment</t>
        </is>
      </c>
      <c r="E232" s="19" t="inlineStr">
        <is>
          <t>EXCLUDE</t>
        </is>
      </c>
      <c r="F232" s="19" t="inlineStr">
        <is>
          <t>Equity roll-forward -&gt; Equity tab (separate build)</t>
        </is>
      </c>
      <c r="G232" s="3" t="n"/>
    </row>
    <row r="233">
      <c r="A233" s="19" t="inlineStr">
        <is>
          <t>Form10A_2026-05-27</t>
        </is>
      </c>
      <c r="B233" s="19" t="inlineStr">
        <is>
          <t>IS</t>
        </is>
      </c>
      <c r="C233" s="19" t="inlineStr">
        <is>
          <t>Combined Statements of Comprehensive Income</t>
        </is>
      </c>
      <c r="D233" s="19" t="inlineStr">
        <is>
          <t>Comprehensive income</t>
        </is>
      </c>
      <c r="E233" s="19" t="inlineStr">
        <is>
          <t>CI.ci</t>
        </is>
      </c>
      <c r="F233" s="19" t="inlineStr"/>
      <c r="G233" s="3" t="n"/>
    </row>
    <row r="234">
      <c r="A234" s="19" t="inlineStr">
        <is>
          <t>Form10A_2026-05-27</t>
        </is>
      </c>
      <c r="B234" s="19" t="inlineStr">
        <is>
          <t>IS</t>
        </is>
      </c>
      <c r="C234" s="19" t="inlineStr">
        <is>
          <t>Combined Statements of Comprehensive Income</t>
        </is>
      </c>
      <c r="D234" s="19" t="inlineStr">
        <is>
          <t>Foreign currency translation adjustments</t>
        </is>
      </c>
      <c r="E234" s="19" t="inlineStr">
        <is>
          <t>CI.fx</t>
        </is>
      </c>
      <c r="F234" s="19" t="inlineStr"/>
      <c r="G234" s="3" t="n"/>
    </row>
    <row r="235">
      <c r="A235" s="19" t="inlineStr">
        <is>
          <t>Form10A_2026-05-27</t>
        </is>
      </c>
      <c r="B235" s="19" t="inlineStr">
        <is>
          <t>IS</t>
        </is>
      </c>
      <c r="C235" s="19" t="inlineStr">
        <is>
          <t>Combined Statements of Comprehensive Income</t>
        </is>
      </c>
      <c r="D235" s="19" t="inlineStr">
        <is>
          <t>Net income</t>
        </is>
      </c>
      <c r="E235" s="19" t="inlineStr">
        <is>
          <t>CI.ni</t>
        </is>
      </c>
      <c r="F235" s="19" t="inlineStr"/>
      <c r="G235" s="3" t="n"/>
    </row>
    <row r="236">
      <c r="A236" s="19" t="inlineStr">
        <is>
          <t>Form10A_2026-05-27</t>
        </is>
      </c>
      <c r="B236" s="19" t="inlineStr">
        <is>
          <t>IS</t>
        </is>
      </c>
      <c r="C236" s="19" t="inlineStr">
        <is>
          <t>Combined Statements of Income</t>
        </is>
      </c>
      <c r="D236" s="19" t="inlineStr">
        <is>
          <t>Amortization of intangibles</t>
        </is>
      </c>
      <c r="E236" s="19" t="inlineStr">
        <is>
          <t>IS.amort</t>
        </is>
      </c>
      <c r="F236" s="19" t="inlineStr"/>
      <c r="G236" s="3" t="n"/>
    </row>
    <row r="237">
      <c r="A237" s="19" t="inlineStr">
        <is>
          <t>Form10A_2026-05-27</t>
        </is>
      </c>
      <c r="B237" s="19" t="inlineStr">
        <is>
          <t>IS</t>
        </is>
      </c>
      <c r="C237" s="19" t="inlineStr">
        <is>
          <t>Combined Statements of Income</t>
        </is>
      </c>
      <c r="D237" s="19" t="inlineStr">
        <is>
          <t>Depreciation</t>
        </is>
      </c>
      <c r="E237" s="19" t="inlineStr">
        <is>
          <t>IS.dep</t>
        </is>
      </c>
      <c r="F237" s="19" t="inlineStr"/>
      <c r="G237" s="3" t="n"/>
    </row>
    <row r="238">
      <c r="A238" s="19" t="inlineStr">
        <is>
          <t>Form10A_2026-05-27</t>
        </is>
      </c>
      <c r="B238" s="19" t="inlineStr">
        <is>
          <t>IS</t>
        </is>
      </c>
      <c r="C238" s="19" t="inlineStr">
        <is>
          <t>Combined Statements of Income</t>
        </is>
      </c>
      <c r="D238" s="19" t="inlineStr">
        <is>
          <t>Income before taxes on income</t>
        </is>
      </c>
      <c r="E238" s="19" t="inlineStr">
        <is>
          <t>IS.pbt</t>
        </is>
      </c>
      <c r="F238" s="19" t="inlineStr"/>
      <c r="G238" s="3" t="n"/>
    </row>
    <row r="239">
      <c r="A239" s="19" t="inlineStr">
        <is>
          <t>Form10A_2026-05-27</t>
        </is>
      </c>
      <c r="B239" s="19" t="inlineStr">
        <is>
          <t>IS</t>
        </is>
      </c>
      <c r="C239" s="19" t="inlineStr">
        <is>
          <t>Combined Statements of Income</t>
        </is>
      </c>
      <c r="D239" s="19" t="inlineStr">
        <is>
          <t>Interest expense, net</t>
        </is>
      </c>
      <c r="E239" s="19" t="inlineStr">
        <is>
          <t>IS.int</t>
        </is>
      </c>
      <c r="F239" s="19" t="inlineStr"/>
      <c r="G239" s="3" t="n"/>
    </row>
    <row r="240">
      <c r="A240" s="19" t="inlineStr">
        <is>
          <t>Form10A_2026-05-27</t>
        </is>
      </c>
      <c r="B240" s="19" t="inlineStr">
        <is>
          <t>IS</t>
        </is>
      </c>
      <c r="C240" s="19" t="inlineStr">
        <is>
          <t>Combined Statements of Income</t>
        </is>
      </c>
      <c r="D240" s="19" t="inlineStr">
        <is>
          <t>Net income</t>
        </is>
      </c>
      <c r="E240" s="19" t="inlineStr">
        <is>
          <t>IS.ni</t>
        </is>
      </c>
      <c r="F240" s="19" t="inlineStr"/>
      <c r="G240" s="3" t="n"/>
    </row>
    <row r="241">
      <c r="A241" s="19" t="inlineStr">
        <is>
          <t>Form10A_2026-05-27</t>
        </is>
      </c>
      <c r="B241" s="19" t="inlineStr">
        <is>
          <t>IS</t>
        </is>
      </c>
      <c r="C241" s="19" t="inlineStr">
        <is>
          <t>Combined Statements of Income</t>
        </is>
      </c>
      <c r="D241" s="19" t="inlineStr">
        <is>
          <t>Operating profit</t>
        </is>
      </c>
      <c r="E241" s="19" t="inlineStr">
        <is>
          <t>IS.op</t>
        </is>
      </c>
      <c r="F241" s="19" t="inlineStr"/>
      <c r="G241" s="3" t="n"/>
    </row>
    <row r="242">
      <c r="A242" s="19" t="inlineStr">
        <is>
          <t>Form10A_2026-05-27</t>
        </is>
      </c>
      <c r="B242" s="19" t="inlineStr">
        <is>
          <t>IS</t>
        </is>
      </c>
      <c r="C242" s="19" t="inlineStr">
        <is>
          <t>Combined Statements of Income</t>
        </is>
      </c>
      <c r="D242" s="19" t="inlineStr">
        <is>
          <t>Operating-related expenses</t>
        </is>
      </c>
      <c r="E242" s="19" t="inlineStr">
        <is>
          <t>IS.oprel</t>
        </is>
      </c>
      <c r="F242" s="19" t="inlineStr"/>
      <c r="G242" s="3" t="n"/>
    </row>
    <row r="243">
      <c r="A243" s="19" t="inlineStr">
        <is>
          <t>Form10A_2026-05-27</t>
        </is>
      </c>
      <c r="B243" s="19" t="inlineStr">
        <is>
          <t>IS</t>
        </is>
      </c>
      <c r="C243" s="19" t="inlineStr">
        <is>
          <t>Combined Statements of Income</t>
        </is>
      </c>
      <c r="D243" s="19" t="inlineStr">
        <is>
          <t>Other income, net</t>
        </is>
      </c>
      <c r="E243" s="19" t="inlineStr">
        <is>
          <t>IS.other</t>
        </is>
      </c>
      <c r="F243" s="19" t="inlineStr"/>
      <c r="G243" s="3" t="n"/>
    </row>
    <row r="244">
      <c r="A244" s="19" t="inlineStr">
        <is>
          <t>Form10A_2026-05-27</t>
        </is>
      </c>
      <c r="B244" s="19" t="inlineStr">
        <is>
          <t>IS</t>
        </is>
      </c>
      <c r="C244" s="19" t="inlineStr">
        <is>
          <t>Combined Statements of Income</t>
        </is>
      </c>
      <c r="D244" s="19" t="inlineStr">
        <is>
          <t>Provision for taxes on income</t>
        </is>
      </c>
      <c r="E244" s="19" t="inlineStr">
        <is>
          <t>IS.tax</t>
        </is>
      </c>
      <c r="F244" s="19" t="inlineStr"/>
      <c r="G244" s="3" t="n"/>
    </row>
    <row r="245">
      <c r="A245" s="19" t="inlineStr">
        <is>
          <t>Form10A_2026-05-27</t>
        </is>
      </c>
      <c r="B245" s="19" t="inlineStr">
        <is>
          <t>IS</t>
        </is>
      </c>
      <c r="C245" s="19" t="inlineStr">
        <is>
          <t>Combined Statements of Income</t>
        </is>
      </c>
      <c r="D245" s="19" t="inlineStr">
        <is>
          <t>Revenue</t>
        </is>
      </c>
      <c r="E245" s="19" t="inlineStr">
        <is>
          <t>IS.revenue</t>
        </is>
      </c>
      <c r="F245" s="19" t="inlineStr"/>
      <c r="G245" s="3" t="n"/>
    </row>
    <row r="246">
      <c r="A246" s="19" t="inlineStr">
        <is>
          <t>Form10A_2026-05-27</t>
        </is>
      </c>
      <c r="B246" s="19" t="inlineStr">
        <is>
          <t>IS</t>
        </is>
      </c>
      <c r="C246" s="19" t="inlineStr">
        <is>
          <t>Combined Statements of Income</t>
        </is>
      </c>
      <c r="D246" s="19" t="inlineStr">
        <is>
          <t>Selling and general expenses</t>
        </is>
      </c>
      <c r="E246" s="19" t="inlineStr">
        <is>
          <t>IS.sg</t>
        </is>
      </c>
      <c r="F246" s="19" t="inlineStr"/>
      <c r="G246" s="3" t="n"/>
    </row>
    <row r="247">
      <c r="A247" s="19" t="inlineStr">
        <is>
          <t>Form10A_2026-05-27</t>
        </is>
      </c>
      <c r="B247" s="19" t="inlineStr">
        <is>
          <t>IS</t>
        </is>
      </c>
      <c r="C247" s="19" t="inlineStr">
        <is>
          <t>Combined Statements of Income</t>
        </is>
      </c>
      <c r="D247" s="19" t="inlineStr">
        <is>
          <t>Total expenses</t>
        </is>
      </c>
      <c r="E247" s="19" t="inlineStr">
        <is>
          <t>IS.totexp</t>
        </is>
      </c>
      <c r="F247" s="19" t="inlineStr"/>
      <c r="G247" s="3" t="n"/>
    </row>
    <row r="248">
      <c r="A248" s="19" t="inlineStr">
        <is>
          <t>Form10A_2026-05-27</t>
        </is>
      </c>
      <c r="B248" s="19" t="inlineStr">
        <is>
          <t>IS</t>
        </is>
      </c>
      <c r="C248" s="19" t="inlineStr">
        <is>
          <t>Condensed Combined Statements of Comprehensive Income (Unaudited)</t>
        </is>
      </c>
      <c r="D248" s="19" t="inlineStr">
        <is>
          <t>Comprehensive income</t>
        </is>
      </c>
      <c r="E248" s="19" t="inlineStr">
        <is>
          <t>CI.ci</t>
        </is>
      </c>
      <c r="F248" s="19" t="inlineStr"/>
      <c r="G248" s="3" t="n"/>
    </row>
    <row r="249">
      <c r="A249" s="19" t="inlineStr">
        <is>
          <t>Form10A_2026-05-27</t>
        </is>
      </c>
      <c r="B249" s="19" t="inlineStr">
        <is>
          <t>IS</t>
        </is>
      </c>
      <c r="C249" s="19" t="inlineStr">
        <is>
          <t>Condensed Combined Statements of Comprehensive Income (Unaudited)</t>
        </is>
      </c>
      <c r="D249" s="19" t="inlineStr">
        <is>
          <t>Foreign currency translation adjustments</t>
        </is>
      </c>
      <c r="E249" s="19" t="inlineStr">
        <is>
          <t>CI.fx</t>
        </is>
      </c>
      <c r="F249" s="19" t="inlineStr"/>
      <c r="G249" s="3" t="n"/>
    </row>
    <row r="250">
      <c r="A250" s="19" t="inlineStr">
        <is>
          <t>Form10A_2026-05-27</t>
        </is>
      </c>
      <c r="B250" s="19" t="inlineStr">
        <is>
          <t>IS</t>
        </is>
      </c>
      <c r="C250" s="19" t="inlineStr">
        <is>
          <t>Condensed Combined Statements of Comprehensive Income (Unaudited)</t>
        </is>
      </c>
      <c r="D250" s="19" t="inlineStr">
        <is>
          <t>Net income</t>
        </is>
      </c>
      <c r="E250" s="19" t="inlineStr">
        <is>
          <t>CI.ni</t>
        </is>
      </c>
      <c r="F250" s="19" t="inlineStr"/>
      <c r="G250" s="3" t="n"/>
    </row>
    <row r="251">
      <c r="A251" s="19" t="inlineStr">
        <is>
          <t>Form10A_2026-05-27</t>
        </is>
      </c>
      <c r="B251" s="19" t="inlineStr">
        <is>
          <t>IS</t>
        </is>
      </c>
      <c r="C251" s="19" t="inlineStr">
        <is>
          <t>Condensed Combined Statements of Income (Unaudited)</t>
        </is>
      </c>
      <c r="D251" s="19" t="inlineStr">
        <is>
          <t>Amortization of intangibles</t>
        </is>
      </c>
      <c r="E251" s="19" t="inlineStr">
        <is>
          <t>IS.amort</t>
        </is>
      </c>
      <c r="F251" s="19" t="inlineStr"/>
      <c r="G251" s="3" t="n"/>
    </row>
    <row r="252">
      <c r="A252" s="19" t="inlineStr">
        <is>
          <t>Form10A_2026-05-27</t>
        </is>
      </c>
      <c r="B252" s="19" t="inlineStr">
        <is>
          <t>IS</t>
        </is>
      </c>
      <c r="C252" s="19" t="inlineStr">
        <is>
          <t>Condensed Combined Statements of Income (Unaudited)</t>
        </is>
      </c>
      <c r="D252" s="19" t="inlineStr">
        <is>
          <t>Depreciation</t>
        </is>
      </c>
      <c r="E252" s="19" t="inlineStr">
        <is>
          <t>IS.dep</t>
        </is>
      </c>
      <c r="F252" s="19" t="inlineStr"/>
      <c r="G252" s="3" t="n"/>
    </row>
    <row r="253">
      <c r="A253" s="19" t="inlineStr">
        <is>
          <t>Form10A_2026-05-27</t>
        </is>
      </c>
      <c r="B253" s="19" t="inlineStr">
        <is>
          <t>IS</t>
        </is>
      </c>
      <c r="C253" s="19" t="inlineStr">
        <is>
          <t>Condensed Combined Statements of Income (Unaudited)</t>
        </is>
      </c>
      <c r="D253" s="19" t="inlineStr">
        <is>
          <t>Income before taxes on income</t>
        </is>
      </c>
      <c r="E253" s="19" t="inlineStr">
        <is>
          <t>IS.pbt</t>
        </is>
      </c>
      <c r="F253" s="19" t="inlineStr"/>
      <c r="G253" s="3" t="n"/>
    </row>
    <row r="254">
      <c r="A254" s="19" t="inlineStr">
        <is>
          <t>Form10A_2026-05-27</t>
        </is>
      </c>
      <c r="B254" s="19" t="inlineStr">
        <is>
          <t>IS</t>
        </is>
      </c>
      <c r="C254" s="19" t="inlineStr">
        <is>
          <t>Condensed Combined Statements of Income (Unaudited)</t>
        </is>
      </c>
      <c r="D254" s="19" t="inlineStr">
        <is>
          <t>Interest expense, net</t>
        </is>
      </c>
      <c r="E254" s="19" t="inlineStr">
        <is>
          <t>IS.int</t>
        </is>
      </c>
      <c r="F254" s="19" t="inlineStr"/>
      <c r="G254" s="3" t="n"/>
    </row>
    <row r="255">
      <c r="A255" s="19" t="inlineStr">
        <is>
          <t>Form10A_2026-05-27</t>
        </is>
      </c>
      <c r="B255" s="19" t="inlineStr">
        <is>
          <t>IS</t>
        </is>
      </c>
      <c r="C255" s="19" t="inlineStr">
        <is>
          <t>Condensed Combined Statements of Income (Unaudited)</t>
        </is>
      </c>
      <c r="D255" s="19" t="inlineStr">
        <is>
          <t>Net income</t>
        </is>
      </c>
      <c r="E255" s="19" t="inlineStr">
        <is>
          <t>IS.ni</t>
        </is>
      </c>
      <c r="F255" s="19" t="inlineStr"/>
      <c r="G255" s="3" t="n"/>
    </row>
    <row r="256">
      <c r="A256" s="19" t="inlineStr">
        <is>
          <t>Form10A_2026-05-27</t>
        </is>
      </c>
      <c r="B256" s="19" t="inlineStr">
        <is>
          <t>IS</t>
        </is>
      </c>
      <c r="C256" s="19" t="inlineStr">
        <is>
          <t>Condensed Combined Statements of Income (Unaudited)</t>
        </is>
      </c>
      <c r="D256" s="19" t="inlineStr">
        <is>
          <t>Operating profit</t>
        </is>
      </c>
      <c r="E256" s="19" t="inlineStr">
        <is>
          <t>IS.op</t>
        </is>
      </c>
      <c r="F256" s="19" t="inlineStr"/>
      <c r="G256" s="3" t="n"/>
    </row>
    <row r="257">
      <c r="A257" s="19" t="inlineStr">
        <is>
          <t>Form10A_2026-05-27</t>
        </is>
      </c>
      <c r="B257" s="19" t="inlineStr">
        <is>
          <t>IS</t>
        </is>
      </c>
      <c r="C257" s="19" t="inlineStr">
        <is>
          <t>Condensed Combined Statements of Income (Unaudited)</t>
        </is>
      </c>
      <c r="D257" s="19" t="inlineStr">
        <is>
          <t>Operating-related expenses</t>
        </is>
      </c>
      <c r="E257" s="19" t="inlineStr">
        <is>
          <t>IS.oprel</t>
        </is>
      </c>
      <c r="F257" s="19" t="inlineStr"/>
      <c r="G257" s="3" t="n"/>
    </row>
    <row r="258">
      <c r="A258" s="19" t="inlineStr">
        <is>
          <t>Form10A_2026-05-27</t>
        </is>
      </c>
      <c r="B258" s="19" t="inlineStr">
        <is>
          <t>IS</t>
        </is>
      </c>
      <c r="C258" s="19" t="inlineStr">
        <is>
          <t>Condensed Combined Statements of Income (Unaudited)</t>
        </is>
      </c>
      <c r="D258" s="19" t="inlineStr">
        <is>
          <t>Provision for taxes on income</t>
        </is>
      </c>
      <c r="E258" s="19" t="inlineStr">
        <is>
          <t>IS.tax</t>
        </is>
      </c>
      <c r="F258" s="19" t="inlineStr"/>
      <c r="G258" s="3" t="n"/>
    </row>
    <row r="259">
      <c r="A259" s="19" t="inlineStr">
        <is>
          <t>Form10A_2026-05-27</t>
        </is>
      </c>
      <c r="B259" s="19" t="inlineStr">
        <is>
          <t>IS</t>
        </is>
      </c>
      <c r="C259" s="19" t="inlineStr">
        <is>
          <t>Condensed Combined Statements of Income (Unaudited)</t>
        </is>
      </c>
      <c r="D259" s="19" t="inlineStr">
        <is>
          <t>Revenue</t>
        </is>
      </c>
      <c r="E259" s="19" t="inlineStr">
        <is>
          <t>IS.revenue</t>
        </is>
      </c>
      <c r="F259" s="19" t="inlineStr"/>
      <c r="G259" s="3" t="n"/>
    </row>
    <row r="260">
      <c r="A260" s="19" t="inlineStr">
        <is>
          <t>Form10A_2026-05-27</t>
        </is>
      </c>
      <c r="B260" s="19" t="inlineStr">
        <is>
          <t>IS</t>
        </is>
      </c>
      <c r="C260" s="19" t="inlineStr">
        <is>
          <t>Condensed Combined Statements of Income (Unaudited)</t>
        </is>
      </c>
      <c r="D260" s="19" t="inlineStr">
        <is>
          <t>Selling and general expenses</t>
        </is>
      </c>
      <c r="E260" s="19" t="inlineStr">
        <is>
          <t>IS.sg</t>
        </is>
      </c>
      <c r="F260" s="19" t="inlineStr"/>
      <c r="G260" s="3" t="n"/>
    </row>
    <row r="261">
      <c r="A261" s="19" t="inlineStr">
        <is>
          <t>Form10A_2026-05-27</t>
        </is>
      </c>
      <c r="B261" s="19" t="inlineStr">
        <is>
          <t>IS</t>
        </is>
      </c>
      <c r="C261" s="19" t="inlineStr">
        <is>
          <t>Condensed Combined Statements of Income (Unaudited)</t>
        </is>
      </c>
      <c r="D261" s="19" t="inlineStr">
        <is>
          <t>Total expenses</t>
        </is>
      </c>
      <c r="E261" s="19" t="inlineStr">
        <is>
          <t>IS.totexp</t>
        </is>
      </c>
      <c r="F261" s="19" t="inlineStr"/>
      <c r="G261" s="3" t="n"/>
    </row>
    <row r="262">
      <c r="A262" s="19" t="inlineStr">
        <is>
          <t>Form10A_2026-05-27</t>
        </is>
      </c>
      <c r="B262" s="19" t="inlineStr">
        <is>
          <t>IS</t>
        </is>
      </c>
      <c r="C262" s="19" t="inlineStr">
        <is>
          <t>SUMMARY Combined Financial and Other Data</t>
        </is>
      </c>
      <c r="D262" s="19" t="inlineStr">
        <is>
          <t>Depreciation and amortization</t>
        </is>
      </c>
      <c r="E262" s="19" t="inlineStr">
        <is>
          <t>EXCLUDE</t>
        </is>
      </c>
      <c r="F262" s="19" t="inlineStr">
        <is>
          <t>Summary table duplicates the statements (verified equal by extraction agent)</t>
        </is>
      </c>
      <c r="G262" s="3" t="n"/>
    </row>
    <row r="263">
      <c r="A263" s="19" t="inlineStr">
        <is>
          <t>Form10A_2026-05-27</t>
        </is>
      </c>
      <c r="B263" s="19" t="inlineStr">
        <is>
          <t>IS</t>
        </is>
      </c>
      <c r="C263" s="19" t="inlineStr">
        <is>
          <t>SUMMARY Combined Financial and Other Data</t>
        </is>
      </c>
      <c r="D263" s="19" t="inlineStr">
        <is>
          <t>Income before taxes on income</t>
        </is>
      </c>
      <c r="E263" s="19" t="inlineStr">
        <is>
          <t>EXCLUDE</t>
        </is>
      </c>
      <c r="F263" s="19" t="inlineStr">
        <is>
          <t>Summary table duplicates the statements (verified equal by extraction agent)</t>
        </is>
      </c>
      <c r="G263" s="3" t="n"/>
    </row>
    <row r="264">
      <c r="A264" s="19" t="inlineStr">
        <is>
          <t>Form10A_2026-05-27</t>
        </is>
      </c>
      <c r="B264" s="19" t="inlineStr">
        <is>
          <t>IS</t>
        </is>
      </c>
      <c r="C264" s="19" t="inlineStr">
        <is>
          <t>SUMMARY Combined Financial and Other Data</t>
        </is>
      </c>
      <c r="D264" s="19" t="inlineStr">
        <is>
          <t>Interest expense, net</t>
        </is>
      </c>
      <c r="E264" s="19" t="inlineStr">
        <is>
          <t>EXCLUDE</t>
        </is>
      </c>
      <c r="F264" s="19" t="inlineStr">
        <is>
          <t>Summary table duplicates the statements (verified equal by extraction agent)</t>
        </is>
      </c>
      <c r="G264" s="3" t="n"/>
    </row>
    <row r="265">
      <c r="A265" s="19" t="inlineStr">
        <is>
          <t>Form10A_2026-05-27</t>
        </is>
      </c>
      <c r="B265" s="19" t="inlineStr">
        <is>
          <t>IS</t>
        </is>
      </c>
      <c r="C265" s="19" t="inlineStr">
        <is>
          <t>SUMMARY Combined Financial and Other Data</t>
        </is>
      </c>
      <c r="D265" s="19" t="inlineStr">
        <is>
          <t>Net income</t>
        </is>
      </c>
      <c r="E265" s="19" t="inlineStr">
        <is>
          <t>EXCLUDE</t>
        </is>
      </c>
      <c r="F265" s="19" t="inlineStr">
        <is>
          <t>Summary table duplicates the statements (verified equal by extraction agent)</t>
        </is>
      </c>
      <c r="G265" s="3" t="n"/>
    </row>
    <row r="266">
      <c r="A266" s="19" t="inlineStr">
        <is>
          <t>Form10A_2026-05-27</t>
        </is>
      </c>
      <c r="B266" s="19" t="inlineStr">
        <is>
          <t>IS</t>
        </is>
      </c>
      <c r="C266" s="19" t="inlineStr">
        <is>
          <t>SUMMARY Combined Financial and Other Data</t>
        </is>
      </c>
      <c r="D266" s="19" t="inlineStr">
        <is>
          <t>Operating profit</t>
        </is>
      </c>
      <c r="E266" s="19" t="inlineStr">
        <is>
          <t>EXCLUDE</t>
        </is>
      </c>
      <c r="F266" s="19" t="inlineStr">
        <is>
          <t>Summary table duplicates the statements (verified equal by extraction agent)</t>
        </is>
      </c>
      <c r="G266" s="3" t="n"/>
    </row>
    <row r="267">
      <c r="A267" s="19" t="inlineStr">
        <is>
          <t>Form10A_2026-05-27</t>
        </is>
      </c>
      <c r="B267" s="19" t="inlineStr">
        <is>
          <t>IS</t>
        </is>
      </c>
      <c r="C267" s="19" t="inlineStr">
        <is>
          <t>SUMMARY Combined Financial and Other Data</t>
        </is>
      </c>
      <c r="D267" s="19" t="inlineStr">
        <is>
          <t>Operating-related expenses</t>
        </is>
      </c>
      <c r="E267" s="19" t="inlineStr">
        <is>
          <t>EXCLUDE</t>
        </is>
      </c>
      <c r="F267" s="19" t="inlineStr">
        <is>
          <t>Summary table duplicates the statements (verified equal by extraction agent)</t>
        </is>
      </c>
      <c r="G267" s="3" t="n"/>
    </row>
    <row r="268">
      <c r="A268" s="19" t="inlineStr">
        <is>
          <t>Form10A_2026-05-27</t>
        </is>
      </c>
      <c r="B268" s="19" t="inlineStr">
        <is>
          <t>IS</t>
        </is>
      </c>
      <c r="C268" s="19" t="inlineStr">
        <is>
          <t>SUMMARY Combined Financial and Other Data</t>
        </is>
      </c>
      <c r="D268" s="19" t="inlineStr">
        <is>
          <t>Other income, net</t>
        </is>
      </c>
      <c r="E268" s="19" t="inlineStr">
        <is>
          <t>EXCLUDE</t>
        </is>
      </c>
      <c r="F268" s="19" t="inlineStr">
        <is>
          <t>Summary table duplicates the statements (verified equal by extraction agent)</t>
        </is>
      </c>
      <c r="G268" s="3" t="n"/>
    </row>
    <row r="269">
      <c r="A269" s="19" t="inlineStr">
        <is>
          <t>Form10A_2026-05-27</t>
        </is>
      </c>
      <c r="B269" s="19" t="inlineStr">
        <is>
          <t>IS</t>
        </is>
      </c>
      <c r="C269" s="19" t="inlineStr">
        <is>
          <t>SUMMARY Combined Financial and Other Data</t>
        </is>
      </c>
      <c r="D269" s="19" t="inlineStr">
        <is>
          <t>Provision for income taxes</t>
        </is>
      </c>
      <c r="E269" s="19" t="inlineStr">
        <is>
          <t>EXCLUDE</t>
        </is>
      </c>
      <c r="F269" s="19" t="inlineStr">
        <is>
          <t>Summary table duplicates the statements (verified equal by extraction agent)</t>
        </is>
      </c>
      <c r="G269" s="3" t="n"/>
    </row>
    <row r="270">
      <c r="A270" s="19" t="inlineStr">
        <is>
          <t>Form10A_2026-05-27</t>
        </is>
      </c>
      <c r="B270" s="19" t="inlineStr">
        <is>
          <t>IS</t>
        </is>
      </c>
      <c r="C270" s="19" t="inlineStr">
        <is>
          <t>SUMMARY Combined Financial and Other Data</t>
        </is>
      </c>
      <c r="D270" s="19" t="inlineStr">
        <is>
          <t>Revenue</t>
        </is>
      </c>
      <c r="E270" s="19" t="inlineStr">
        <is>
          <t>EXCLUDE</t>
        </is>
      </c>
      <c r="F270" s="19" t="inlineStr">
        <is>
          <t>Summary table duplicates the statements (verified equal by extraction agent)</t>
        </is>
      </c>
      <c r="G270" s="3" t="n"/>
    </row>
    <row r="271">
      <c r="A271" s="19" t="inlineStr">
        <is>
          <t>Form10A_2026-05-27</t>
        </is>
      </c>
      <c r="B271" s="19" t="inlineStr">
        <is>
          <t>IS</t>
        </is>
      </c>
      <c r="C271" s="19" t="inlineStr">
        <is>
          <t>SUMMARY Combined Financial and Other Data</t>
        </is>
      </c>
      <c r="D271" s="19" t="inlineStr">
        <is>
          <t>Selling and general expenses</t>
        </is>
      </c>
      <c r="E271" s="19" t="inlineStr">
        <is>
          <t>EXCLUDE</t>
        </is>
      </c>
      <c r="F271" s="19" t="inlineStr">
        <is>
          <t>Summary table duplicates the statements (verified equal by extraction agent)</t>
        </is>
      </c>
      <c r="G271" s="3" t="n"/>
    </row>
    <row r="272">
      <c r="A272" s="19" t="inlineStr">
        <is>
          <t>Form10A_2026-05-27</t>
        </is>
      </c>
      <c r="B272" s="19" t="inlineStr">
        <is>
          <t>IS</t>
        </is>
      </c>
      <c r="C272" s="19" t="inlineStr">
        <is>
          <t>SUMMARY Combined Financial and Other Data</t>
        </is>
      </c>
      <c r="D272" s="19" t="inlineStr">
        <is>
          <t>Total expenses</t>
        </is>
      </c>
      <c r="E272" s="19" t="inlineStr">
        <is>
          <t>EXCLUDE</t>
        </is>
      </c>
      <c r="F272" s="19" t="inlineStr">
        <is>
          <t>Summary table duplicates the statements (verified equal by extraction agent)</t>
        </is>
      </c>
      <c r="G272" s="3" t="n"/>
    </row>
    <row r="273">
      <c r="A273" s="19" t="inlineStr">
        <is>
          <t>Form10A_2026-05-27</t>
        </is>
      </c>
      <c r="B273" s="19" t="inlineStr">
        <is>
          <t>NONGAAP</t>
        </is>
      </c>
      <c r="C273" s="19" t="inlineStr">
        <is>
          <t>MD&amp;A Free cash flow reconciliation</t>
        </is>
      </c>
      <c r="D273" s="19" t="inlineStr">
        <is>
          <t>Free cash flow</t>
        </is>
      </c>
      <c r="E273" s="19" t="inlineStr">
        <is>
          <t>EXCLUDE</t>
        </is>
      </c>
      <c r="F273" s="19" t="inlineStr">
        <is>
          <t>Non-GAAP -&gt; Adjusted/Non-GAAP tab</t>
        </is>
      </c>
      <c r="G273" s="3" t="n"/>
    </row>
    <row r="274">
      <c r="A274" s="19" t="inlineStr">
        <is>
          <t>Form10A_2026-05-27</t>
        </is>
      </c>
      <c r="B274" s="19" t="inlineStr">
        <is>
          <t>NONGAAP</t>
        </is>
      </c>
      <c r="C274" s="19" t="inlineStr">
        <is>
          <t>SUMMARY Combined Financial and Other Data - Non-GAAP</t>
        </is>
      </c>
      <c r="D274" s="19" t="inlineStr">
        <is>
          <t>Adjusted EBITDA</t>
        </is>
      </c>
      <c r="E274" s="19" t="inlineStr">
        <is>
          <t>EXCLUDE</t>
        </is>
      </c>
      <c r="F274" s="19" t="inlineStr">
        <is>
          <t>Non-GAAP -&gt; Adjusted/Non-GAAP tab</t>
        </is>
      </c>
      <c r="G274" s="3" t="n"/>
    </row>
    <row r="275">
      <c r="A275" s="19" t="inlineStr">
        <is>
          <t>Form10A_2026-05-27</t>
        </is>
      </c>
      <c r="B275" s="19" t="inlineStr">
        <is>
          <t>NONGAAP</t>
        </is>
      </c>
      <c r="C275" s="19" t="inlineStr">
        <is>
          <t>SUMMARY Combined Financial and Other Data - Non-GAAP</t>
        </is>
      </c>
      <c r="D275" s="19" t="inlineStr">
        <is>
          <t>Adjusted operating profit</t>
        </is>
      </c>
      <c r="E275" s="19" t="inlineStr">
        <is>
          <t>EXCLUDE</t>
        </is>
      </c>
      <c r="F275" s="19" t="inlineStr">
        <is>
          <t>Non-GAAP -&gt; Adjusted/Non-GAAP tab</t>
        </is>
      </c>
      <c r="G275" s="3" t="n"/>
    </row>
    <row r="276">
      <c r="A276" s="19" t="inlineStr">
        <is>
          <t>Form10A_2026-05-27</t>
        </is>
      </c>
      <c r="B276" s="19" t="inlineStr">
        <is>
          <t>NONGAAP</t>
        </is>
      </c>
      <c r="C276" s="19" t="inlineStr">
        <is>
          <t>SUMMARY Combined Financial and Other Data - Non-GAAP</t>
        </is>
      </c>
      <c r="D276" s="19" t="inlineStr">
        <is>
          <t>Free cash flow</t>
        </is>
      </c>
      <c r="E276" s="19" t="inlineStr">
        <is>
          <t>EXCLUDE</t>
        </is>
      </c>
      <c r="F276" s="19" t="inlineStr">
        <is>
          <t>Non-GAAP -&gt; Adjusted/Non-GAAP tab</t>
        </is>
      </c>
      <c r="G276" s="3" t="n"/>
    </row>
    <row r="277">
      <c r="A277" s="19" t="inlineStr">
        <is>
          <t>Form10A_2026-05-27</t>
        </is>
      </c>
      <c r="B277" s="19" t="inlineStr">
        <is>
          <t>PROFORMA</t>
        </is>
      </c>
      <c r="C277" s="19" t="inlineStr">
        <is>
          <t>PF BS 2026-03-31 - Autonomous Entity Adjustments</t>
        </is>
      </c>
      <c r="D277" s="19" t="inlineStr">
        <is>
          <t>Lease liabilities - non-current</t>
        </is>
      </c>
      <c r="E277" s="19" t="inlineStr">
        <is>
          <t>EXCLUDE</t>
        </is>
      </c>
      <c r="F277" s="19" t="inlineStr">
        <is>
          <t>Pro forma -&gt; own tab; never merged with historical</t>
        </is>
      </c>
      <c r="G277" s="3" t="n"/>
    </row>
    <row r="278">
      <c r="A278" s="19" t="inlineStr">
        <is>
          <t>Form10A_2026-05-27</t>
        </is>
      </c>
      <c r="B278" s="19" t="inlineStr">
        <is>
          <t>PROFORMA</t>
        </is>
      </c>
      <c r="C278" s="19" t="inlineStr">
        <is>
          <t>PF BS 2026-03-31 - Autonomous Entity Adjustments</t>
        </is>
      </c>
      <c r="D278" s="19" t="inlineStr">
        <is>
          <t>Right of use assets</t>
        </is>
      </c>
      <c r="E278" s="19" t="inlineStr">
        <is>
          <t>EXCLUDE</t>
        </is>
      </c>
      <c r="F278" s="19" t="inlineStr">
        <is>
          <t>Pro forma -&gt; own tab; never merged with historical</t>
        </is>
      </c>
      <c r="G278" s="3" t="n"/>
    </row>
    <row r="279">
      <c r="A279" s="19" t="inlineStr">
        <is>
          <t>Form10A_2026-05-27</t>
        </is>
      </c>
      <c r="B279" s="19" t="inlineStr">
        <is>
          <t>PROFORMA</t>
        </is>
      </c>
      <c r="C279" s="19" t="inlineStr">
        <is>
          <t>PF BS 2026-03-31 - Autonomous Entity Adjustments</t>
        </is>
      </c>
      <c r="D279" s="19" t="inlineStr">
        <is>
          <t>Total assets</t>
        </is>
      </c>
      <c r="E279" s="19" t="inlineStr">
        <is>
          <t>EXCLUDE</t>
        </is>
      </c>
      <c r="F279" s="19" t="inlineStr">
        <is>
          <t>Pro forma -&gt; own tab; never merged with historical</t>
        </is>
      </c>
      <c r="G279" s="3" t="n"/>
    </row>
    <row r="280">
      <c r="A280" s="19" t="inlineStr">
        <is>
          <t>Form10A_2026-05-27</t>
        </is>
      </c>
      <c r="B280" s="19" t="inlineStr">
        <is>
          <t>PROFORMA</t>
        </is>
      </c>
      <c r="C280" s="19" t="inlineStr">
        <is>
          <t>PF BS 2026-03-31 - Autonomous Entity Adjustments</t>
        </is>
      </c>
      <c r="D280" s="19" t="inlineStr">
        <is>
          <t>Total liabilities</t>
        </is>
      </c>
      <c r="E280" s="19" t="inlineStr">
        <is>
          <t>EXCLUDE</t>
        </is>
      </c>
      <c r="F280" s="19" t="inlineStr">
        <is>
          <t>Pro forma -&gt; own tab; never merged with historical</t>
        </is>
      </c>
      <c r="G280" s="3" t="n"/>
    </row>
    <row r="281">
      <c r="A281" s="19" t="inlineStr">
        <is>
          <t>Form10A_2026-05-27</t>
        </is>
      </c>
      <c r="B281" s="19" t="inlineStr">
        <is>
          <t>PROFORMA</t>
        </is>
      </c>
      <c r="C281" s="19" t="inlineStr">
        <is>
          <t>PF BS 2026-03-31 - Autonomous Entity Adjustments</t>
        </is>
      </c>
      <c r="D281" s="19" t="inlineStr">
        <is>
          <t>Total liabilities and equity</t>
        </is>
      </c>
      <c r="E281" s="19" t="inlineStr">
        <is>
          <t>EXCLUDE</t>
        </is>
      </c>
      <c r="F281" s="19" t="inlineStr">
        <is>
          <t>Pro forma -&gt; own tab; never merged with historical</t>
        </is>
      </c>
      <c r="G281" s="3" t="n"/>
    </row>
    <row r="282">
      <c r="A282" s="19" t="inlineStr">
        <is>
          <t>Form10A_2026-05-27</t>
        </is>
      </c>
      <c r="B282" s="19" t="inlineStr">
        <is>
          <t>PROFORMA</t>
        </is>
      </c>
      <c r="C282" s="19" t="inlineStr">
        <is>
          <t>PF BS 2026-03-31 - Historical Spin Business (a)</t>
        </is>
      </c>
      <c r="D282" s="19" t="inlineStr">
        <is>
          <t>Accounts payable</t>
        </is>
      </c>
      <c r="E282" s="19" t="inlineStr">
        <is>
          <t>EXCLUDE</t>
        </is>
      </c>
      <c r="F282" s="19" t="inlineStr">
        <is>
          <t>Pro forma -&gt; own tab; never merged with historical</t>
        </is>
      </c>
      <c r="G282" s="3" t="n"/>
    </row>
    <row r="283">
      <c r="A283" s="19" t="inlineStr">
        <is>
          <t>Form10A_2026-05-27</t>
        </is>
      </c>
      <c r="B283" s="19" t="inlineStr">
        <is>
          <t>PROFORMA</t>
        </is>
      </c>
      <c r="C283" s="19" t="inlineStr">
        <is>
          <t>PF BS 2026-03-31 - Historical Spin Business (a)</t>
        </is>
      </c>
      <c r="D283" s="19" t="inlineStr">
        <is>
          <t>Accounts receivable, net of allowance for doubtful accounts</t>
        </is>
      </c>
      <c r="E283" s="19" t="inlineStr">
        <is>
          <t>EXCLUDE</t>
        </is>
      </c>
      <c r="F283" s="19" t="inlineStr">
        <is>
          <t>Pro forma -&gt; own tab; never merged with historical</t>
        </is>
      </c>
      <c r="G283" s="3" t="n"/>
    </row>
    <row r="284">
      <c r="A284" s="19" t="inlineStr">
        <is>
          <t>Form10A_2026-05-27</t>
        </is>
      </c>
      <c r="B284" s="19" t="inlineStr">
        <is>
          <t>PROFORMA</t>
        </is>
      </c>
      <c r="C284" s="19" t="inlineStr">
        <is>
          <t>PF BS 2026-03-31 - Historical Spin Business (a)</t>
        </is>
      </c>
      <c r="D284" s="19" t="inlineStr">
        <is>
          <t>Accrued compensation and contributions to retirement plans</t>
        </is>
      </c>
      <c r="E284" s="19" t="inlineStr">
        <is>
          <t>EXCLUDE</t>
        </is>
      </c>
      <c r="F284" s="19" t="inlineStr">
        <is>
          <t>Pro forma -&gt; own tab; never merged with historical</t>
        </is>
      </c>
      <c r="G284" s="3" t="n"/>
    </row>
    <row r="285">
      <c r="A285" s="19" t="inlineStr">
        <is>
          <t>Form10A_2026-05-27</t>
        </is>
      </c>
      <c r="B285" s="19" t="inlineStr">
        <is>
          <t>PROFORMA</t>
        </is>
      </c>
      <c r="C285" s="19" t="inlineStr">
        <is>
          <t>PF BS 2026-03-31 - Historical Spin Business (a)</t>
        </is>
      </c>
      <c r="D285" s="19" t="inlineStr">
        <is>
          <t>Accumulated other comprehensive loss</t>
        </is>
      </c>
      <c r="E285" s="19" t="inlineStr">
        <is>
          <t>EXCLUDE</t>
        </is>
      </c>
      <c r="F285" s="19" t="inlineStr">
        <is>
          <t>Pro forma -&gt; own tab; never merged with historical</t>
        </is>
      </c>
      <c r="G285" s="3" t="n"/>
    </row>
    <row r="286">
      <c r="A286" s="19" t="inlineStr">
        <is>
          <t>Form10A_2026-05-27</t>
        </is>
      </c>
      <c r="B286" s="19" t="inlineStr">
        <is>
          <t>PROFORMA</t>
        </is>
      </c>
      <c r="C286" s="19" t="inlineStr">
        <is>
          <t>PF BS 2026-03-31 - Historical Spin Business (a)</t>
        </is>
      </c>
      <c r="D286" s="19" t="inlineStr">
        <is>
          <t>Buildings and leasehold improvements</t>
        </is>
      </c>
      <c r="E286" s="19" t="inlineStr">
        <is>
          <t>EXCLUDE</t>
        </is>
      </c>
      <c r="F286" s="19" t="inlineStr">
        <is>
          <t>Pro forma -&gt; own tab; never merged with historical</t>
        </is>
      </c>
      <c r="G286" s="3" t="n"/>
    </row>
    <row r="287">
      <c r="A287" s="19" t="inlineStr">
        <is>
          <t>Form10A_2026-05-27</t>
        </is>
      </c>
      <c r="B287" s="19" t="inlineStr">
        <is>
          <t>PROFORMA</t>
        </is>
      </c>
      <c r="C287" s="19" t="inlineStr">
        <is>
          <t>PF BS 2026-03-31 - Historical Spin Business (a)</t>
        </is>
      </c>
      <c r="D287" s="19" t="inlineStr">
        <is>
          <t>Cash and cash equivalents</t>
        </is>
      </c>
      <c r="E287" s="19" t="inlineStr">
        <is>
          <t>EXCLUDE</t>
        </is>
      </c>
      <c r="F287" s="19" t="inlineStr">
        <is>
          <t>Pro forma -&gt; own tab; never merged with historical</t>
        </is>
      </c>
      <c r="G287" s="3" t="n"/>
    </row>
    <row r="288">
      <c r="A288" s="19" t="inlineStr">
        <is>
          <t>Form10A_2026-05-27</t>
        </is>
      </c>
      <c r="B288" s="19" t="inlineStr">
        <is>
          <t>PROFORMA</t>
        </is>
      </c>
      <c r="C288" s="19" t="inlineStr">
        <is>
          <t>PF BS 2026-03-31 - Historical Spin Business (a)</t>
        </is>
      </c>
      <c r="D288" s="19" t="inlineStr">
        <is>
          <t>Deferred tax liability – non-current</t>
        </is>
      </c>
      <c r="E288" s="19" t="inlineStr">
        <is>
          <t>EXCLUDE</t>
        </is>
      </c>
      <c r="F288" s="19" t="inlineStr">
        <is>
          <t>Pro forma -&gt; own tab; never merged with historical</t>
        </is>
      </c>
      <c r="G288" s="3" t="n"/>
    </row>
    <row r="289">
      <c r="A289" s="19" t="inlineStr">
        <is>
          <t>Form10A_2026-05-27</t>
        </is>
      </c>
      <c r="B289" s="19" t="inlineStr">
        <is>
          <t>PROFORMA</t>
        </is>
      </c>
      <c r="C289" s="19" t="inlineStr">
        <is>
          <t>PF BS 2026-03-31 - Historical Spin Business (a)</t>
        </is>
      </c>
      <c r="D289" s="19" t="inlineStr">
        <is>
          <t>Due from related parties - current</t>
        </is>
      </c>
      <c r="E289" s="19" t="inlineStr">
        <is>
          <t>EXCLUDE</t>
        </is>
      </c>
      <c r="F289" s="19" t="inlineStr">
        <is>
          <t>Pro forma -&gt; own tab; never merged with historical</t>
        </is>
      </c>
      <c r="G289" s="3" t="n"/>
    </row>
    <row r="290">
      <c r="A290" s="19" t="inlineStr">
        <is>
          <t>Form10A_2026-05-27</t>
        </is>
      </c>
      <c r="B290" s="19" t="inlineStr">
        <is>
          <t>PROFORMA</t>
        </is>
      </c>
      <c r="C290" s="19" t="inlineStr">
        <is>
          <t>PF BS 2026-03-31 - Historical Spin Business (a)</t>
        </is>
      </c>
      <c r="D290" s="19" t="inlineStr">
        <is>
          <t>Due to related parties – current</t>
        </is>
      </c>
      <c r="E290" s="19" t="inlineStr">
        <is>
          <t>EXCLUDE</t>
        </is>
      </c>
      <c r="F290" s="19" t="inlineStr">
        <is>
          <t>Pro forma -&gt; own tab; never merged with historical</t>
        </is>
      </c>
      <c r="G290" s="3" t="n"/>
    </row>
    <row r="291">
      <c r="A291" s="19" t="inlineStr">
        <is>
          <t>Form10A_2026-05-27</t>
        </is>
      </c>
      <c r="B291" s="19" t="inlineStr">
        <is>
          <t>PROFORMA</t>
        </is>
      </c>
      <c r="C291" s="19" t="inlineStr">
        <is>
          <t>PF BS 2026-03-31 - Historical Spin Business (a)</t>
        </is>
      </c>
      <c r="D291" s="19" t="inlineStr">
        <is>
          <t>Due to related parties – non-current</t>
        </is>
      </c>
      <c r="E291" s="19" t="inlineStr">
        <is>
          <t>EXCLUDE</t>
        </is>
      </c>
      <c r="F291" s="19" t="inlineStr">
        <is>
          <t>Pro forma -&gt; own tab; never merged with historical</t>
        </is>
      </c>
      <c r="G291" s="3" t="n"/>
    </row>
    <row r="292">
      <c r="A292" s="19" t="inlineStr">
        <is>
          <t>Form10A_2026-05-27</t>
        </is>
      </c>
      <c r="B292" s="19" t="inlineStr">
        <is>
          <t>PROFORMA</t>
        </is>
      </c>
      <c r="C292" s="19" t="inlineStr">
        <is>
          <t>PF BS 2026-03-31 - Historical Spin Business (a)</t>
        </is>
      </c>
      <c r="D292" s="19" t="inlineStr">
        <is>
          <t>Equipment and furniture</t>
        </is>
      </c>
      <c r="E292" s="19" t="inlineStr">
        <is>
          <t>EXCLUDE</t>
        </is>
      </c>
      <c r="F292" s="19" t="inlineStr">
        <is>
          <t>Pro forma -&gt; own tab; never merged with historical</t>
        </is>
      </c>
      <c r="G292" s="3" t="n"/>
    </row>
    <row r="293">
      <c r="A293" s="19" t="inlineStr">
        <is>
          <t>Form10A_2026-05-27</t>
        </is>
      </c>
      <c r="B293" s="19" t="inlineStr">
        <is>
          <t>PROFORMA</t>
        </is>
      </c>
      <c r="C293" s="19" t="inlineStr">
        <is>
          <t>PF BS 2026-03-31 - Historical Spin Business (a)</t>
        </is>
      </c>
      <c r="D293" s="19" t="inlineStr">
        <is>
          <t>Goodwill</t>
        </is>
      </c>
      <c r="E293" s="19" t="inlineStr">
        <is>
          <t>EXCLUDE</t>
        </is>
      </c>
      <c r="F293" s="19" t="inlineStr">
        <is>
          <t>Pro forma -&gt; own tab; never merged with historical</t>
        </is>
      </c>
      <c r="G293" s="3" t="n"/>
    </row>
    <row r="294">
      <c r="A294" s="19" t="inlineStr">
        <is>
          <t>Form10A_2026-05-27</t>
        </is>
      </c>
      <c r="B294" s="19" t="inlineStr">
        <is>
          <t>PROFORMA</t>
        </is>
      </c>
      <c r="C294" s="19" t="inlineStr">
        <is>
          <t>PF BS 2026-03-31 - Historical Spin Business (a)</t>
        </is>
      </c>
      <c r="D294" s="19" t="inlineStr">
        <is>
          <t>Lease liabilities - non-current</t>
        </is>
      </c>
      <c r="E294" s="19" t="inlineStr">
        <is>
          <t>EXCLUDE</t>
        </is>
      </c>
      <c r="F294" s="19" t="inlineStr">
        <is>
          <t>Pro forma -&gt; own tab; never merged with historical</t>
        </is>
      </c>
      <c r="G294" s="3" t="n"/>
    </row>
    <row r="295">
      <c r="A295" s="19" t="inlineStr">
        <is>
          <t>Form10A_2026-05-27</t>
        </is>
      </c>
      <c r="B295" s="19" t="inlineStr">
        <is>
          <t>PROFORMA</t>
        </is>
      </c>
      <c r="C295" s="19" t="inlineStr">
        <is>
          <t>PF BS 2026-03-31 - Historical Spin Business (a)</t>
        </is>
      </c>
      <c r="D295" s="19" t="inlineStr">
        <is>
          <t>Less: accumulated depreciation</t>
        </is>
      </c>
      <c r="E295" s="19" t="inlineStr">
        <is>
          <t>EXCLUDE</t>
        </is>
      </c>
      <c r="F295" s="19" t="inlineStr">
        <is>
          <t>Pro forma -&gt; own tab; never merged with historical</t>
        </is>
      </c>
      <c r="G295" s="3" t="n"/>
    </row>
    <row r="296">
      <c r="A296" s="19" t="inlineStr">
        <is>
          <t>Form10A_2026-05-27</t>
        </is>
      </c>
      <c r="B296" s="19" t="inlineStr">
        <is>
          <t>PROFORMA</t>
        </is>
      </c>
      <c r="C296" s="19" t="inlineStr">
        <is>
          <t>PF BS 2026-03-31 - Historical Spin Business (a)</t>
        </is>
      </c>
      <c r="D296" s="19" t="inlineStr">
        <is>
          <t>Other current liabilities</t>
        </is>
      </c>
      <c r="E296" s="19" t="inlineStr">
        <is>
          <t>EXCLUDE</t>
        </is>
      </c>
      <c r="F296" s="19" t="inlineStr">
        <is>
          <t>Pro forma -&gt; own tab; never merged with historical</t>
        </is>
      </c>
      <c r="G296" s="3" t="n"/>
    </row>
    <row r="297">
      <c r="A297" s="19" t="inlineStr">
        <is>
          <t>Form10A_2026-05-27</t>
        </is>
      </c>
      <c r="B297" s="19" t="inlineStr">
        <is>
          <t>PROFORMA</t>
        </is>
      </c>
      <c r="C297" s="19" t="inlineStr">
        <is>
          <t>PF BS 2026-03-31 - Historical Spin Business (a)</t>
        </is>
      </c>
      <c r="D297" s="19" t="inlineStr">
        <is>
          <t>Other intangible assets - net</t>
        </is>
      </c>
      <c r="E297" s="19" t="inlineStr">
        <is>
          <t>EXCLUDE</t>
        </is>
      </c>
      <c r="F297" s="19" t="inlineStr">
        <is>
          <t>Pro forma -&gt; own tab; never merged with historical</t>
        </is>
      </c>
      <c r="G297" s="3" t="n"/>
    </row>
    <row r="298">
      <c r="A298" s="19" t="inlineStr">
        <is>
          <t>Form10A_2026-05-27</t>
        </is>
      </c>
      <c r="B298" s="19" t="inlineStr">
        <is>
          <t>PROFORMA</t>
        </is>
      </c>
      <c r="C298" s="19" t="inlineStr">
        <is>
          <t>PF BS 2026-03-31 - Historical Spin Business (a)</t>
        </is>
      </c>
      <c r="D298" s="19" t="inlineStr">
        <is>
          <t>Other non-current assets</t>
        </is>
      </c>
      <c r="E298" s="19" t="inlineStr">
        <is>
          <t>EXCLUDE</t>
        </is>
      </c>
      <c r="F298" s="19" t="inlineStr">
        <is>
          <t>Pro forma -&gt; own tab; never merged with historical</t>
        </is>
      </c>
      <c r="G298" s="3" t="n"/>
    </row>
    <row r="299">
      <c r="A299" s="19" t="inlineStr">
        <is>
          <t>Form10A_2026-05-27</t>
        </is>
      </c>
      <c r="B299" s="19" t="inlineStr">
        <is>
          <t>PROFORMA</t>
        </is>
      </c>
      <c r="C299" s="19" t="inlineStr">
        <is>
          <t>PF BS 2026-03-31 - Historical Spin Business (a)</t>
        </is>
      </c>
      <c r="D299" s="19" t="inlineStr">
        <is>
          <t>Other non-current liabilities</t>
        </is>
      </c>
      <c r="E299" s="19" t="inlineStr">
        <is>
          <t>EXCLUDE</t>
        </is>
      </c>
      <c r="F299" s="19" t="inlineStr">
        <is>
          <t>Pro forma -&gt; own tab; never merged with historical</t>
        </is>
      </c>
      <c r="G299" s="3" t="n"/>
    </row>
    <row r="300">
      <c r="A300" s="19" t="inlineStr">
        <is>
          <t>Form10A_2026-05-27</t>
        </is>
      </c>
      <c r="B300" s="19" t="inlineStr">
        <is>
          <t>PROFORMA</t>
        </is>
      </c>
      <c r="C300" s="19" t="inlineStr">
        <is>
          <t>PF BS 2026-03-31 - Historical Spin Business (a)</t>
        </is>
      </c>
      <c r="D300" s="19" t="inlineStr">
        <is>
          <t>Parent company investment</t>
        </is>
      </c>
      <c r="E300" s="19" t="inlineStr">
        <is>
          <t>EXCLUDE</t>
        </is>
      </c>
      <c r="F300" s="19" t="inlineStr">
        <is>
          <t>Pro forma -&gt; own tab; never merged with historical</t>
        </is>
      </c>
      <c r="G300" s="3" t="n"/>
    </row>
    <row r="301">
      <c r="A301" s="19" t="inlineStr">
        <is>
          <t>Form10A_2026-05-27</t>
        </is>
      </c>
      <c r="B301" s="19" t="inlineStr">
        <is>
          <t>PROFORMA</t>
        </is>
      </c>
      <c r="C301" s="19" t="inlineStr">
        <is>
          <t>PF BS 2026-03-31 - Historical Spin Business (a)</t>
        </is>
      </c>
      <c r="D301" s="19" t="inlineStr">
        <is>
          <t>Prepaid and other current assets</t>
        </is>
      </c>
      <c r="E301" s="19" t="inlineStr">
        <is>
          <t>EXCLUDE</t>
        </is>
      </c>
      <c r="F301" s="19" t="inlineStr">
        <is>
          <t>Pro forma -&gt; own tab; never merged with historical</t>
        </is>
      </c>
      <c r="G301" s="3" t="n"/>
    </row>
    <row r="302">
      <c r="A302" s="19" t="inlineStr">
        <is>
          <t>Form10A_2026-05-27</t>
        </is>
      </c>
      <c r="B302" s="19" t="inlineStr">
        <is>
          <t>PROFORMA</t>
        </is>
      </c>
      <c r="C302" s="19" t="inlineStr">
        <is>
          <t>PF BS 2026-03-31 - Historical Spin Business (a)</t>
        </is>
      </c>
      <c r="D302" s="19" t="inlineStr">
        <is>
          <t>Property and equipment, net</t>
        </is>
      </c>
      <c r="E302" s="19" t="inlineStr">
        <is>
          <t>EXCLUDE</t>
        </is>
      </c>
      <c r="F302" s="19" t="inlineStr">
        <is>
          <t>Pro forma -&gt; own tab; never merged with historical</t>
        </is>
      </c>
      <c r="G302" s="3" t="n"/>
    </row>
    <row r="303">
      <c r="A303" s="19" t="inlineStr">
        <is>
          <t>Form10A_2026-05-27</t>
        </is>
      </c>
      <c r="B303" s="19" t="inlineStr">
        <is>
          <t>PROFORMA</t>
        </is>
      </c>
      <c r="C303" s="19" t="inlineStr">
        <is>
          <t>PF BS 2026-03-31 - Historical Spin Business (a)</t>
        </is>
      </c>
      <c r="D303" s="19" t="inlineStr">
        <is>
          <t>Right of use assets</t>
        </is>
      </c>
      <c r="E303" s="19" t="inlineStr">
        <is>
          <t>EXCLUDE</t>
        </is>
      </c>
      <c r="F303" s="19" t="inlineStr">
        <is>
          <t>Pro forma -&gt; own tab; never merged with historical</t>
        </is>
      </c>
      <c r="G303" s="3" t="n"/>
    </row>
    <row r="304">
      <c r="A304" s="19" t="inlineStr">
        <is>
          <t>Form10A_2026-05-27</t>
        </is>
      </c>
      <c r="B304" s="19" t="inlineStr">
        <is>
          <t>PROFORMA</t>
        </is>
      </c>
      <c r="C304" s="19" t="inlineStr">
        <is>
          <t>PF BS 2026-03-31 - Historical Spin Business (a)</t>
        </is>
      </c>
      <c r="D304" s="19" t="inlineStr">
        <is>
          <t>Total assets</t>
        </is>
      </c>
      <c r="E304" s="19" t="inlineStr">
        <is>
          <t>EXCLUDE</t>
        </is>
      </c>
      <c r="F304" s="19" t="inlineStr">
        <is>
          <t>Pro forma -&gt; own tab; never merged with historical</t>
        </is>
      </c>
      <c r="G304" s="3" t="n"/>
    </row>
    <row r="305">
      <c r="A305" s="19" t="inlineStr">
        <is>
          <t>Form10A_2026-05-27</t>
        </is>
      </c>
      <c r="B305" s="19" t="inlineStr">
        <is>
          <t>PROFORMA</t>
        </is>
      </c>
      <c r="C305" s="19" t="inlineStr">
        <is>
          <t>PF BS 2026-03-31 - Historical Spin Business (a)</t>
        </is>
      </c>
      <c r="D305" s="19" t="inlineStr">
        <is>
          <t>Total current assets</t>
        </is>
      </c>
      <c r="E305" s="19" t="inlineStr">
        <is>
          <t>EXCLUDE</t>
        </is>
      </c>
      <c r="F305" s="19" t="inlineStr">
        <is>
          <t>Pro forma -&gt; own tab; never merged with historical</t>
        </is>
      </c>
      <c r="G305" s="3" t="n"/>
    </row>
    <row r="306">
      <c r="A306" s="19" t="inlineStr">
        <is>
          <t>Form10A_2026-05-27</t>
        </is>
      </c>
      <c r="B306" s="19" t="inlineStr">
        <is>
          <t>PROFORMA</t>
        </is>
      </c>
      <c r="C306" s="19" t="inlineStr">
        <is>
          <t>PF BS 2026-03-31 - Historical Spin Business (a)</t>
        </is>
      </c>
      <c r="D306" s="19" t="inlineStr">
        <is>
          <t>Total current liabilities</t>
        </is>
      </c>
      <c r="E306" s="19" t="inlineStr">
        <is>
          <t>EXCLUDE</t>
        </is>
      </c>
      <c r="F306" s="19" t="inlineStr">
        <is>
          <t>Pro forma -&gt; own tab; never merged with historical</t>
        </is>
      </c>
      <c r="G306" s="3" t="n"/>
    </row>
    <row r="307">
      <c r="A307" s="19" t="inlineStr">
        <is>
          <t>Form10A_2026-05-27</t>
        </is>
      </c>
      <c r="B307" s="19" t="inlineStr">
        <is>
          <t>PROFORMA</t>
        </is>
      </c>
      <c r="C307" s="19" t="inlineStr">
        <is>
          <t>PF BS 2026-03-31 - Historical Spin Business (a)</t>
        </is>
      </c>
      <c r="D307" s="19" t="inlineStr">
        <is>
          <t>Total equity</t>
        </is>
      </c>
      <c r="E307" s="19" t="inlineStr">
        <is>
          <t>EXCLUDE</t>
        </is>
      </c>
      <c r="F307" s="19" t="inlineStr">
        <is>
          <t>Pro forma -&gt; own tab; never merged with historical</t>
        </is>
      </c>
      <c r="G307" s="3" t="n"/>
    </row>
    <row r="308">
      <c r="A308" s="19" t="inlineStr">
        <is>
          <t>Form10A_2026-05-27</t>
        </is>
      </c>
      <c r="B308" s="19" t="inlineStr">
        <is>
          <t>PROFORMA</t>
        </is>
      </c>
      <c r="C308" s="19" t="inlineStr">
        <is>
          <t>PF BS 2026-03-31 - Historical Spin Business (a)</t>
        </is>
      </c>
      <c r="D308" s="19" t="inlineStr">
        <is>
          <t>Total liabilities</t>
        </is>
      </c>
      <c r="E308" s="19" t="inlineStr">
        <is>
          <t>EXCLUDE</t>
        </is>
      </c>
      <c r="F308" s="19" t="inlineStr">
        <is>
          <t>Pro forma -&gt; own tab; never merged with historical</t>
        </is>
      </c>
      <c r="G308" s="3" t="n"/>
    </row>
    <row r="309">
      <c r="A309" s="19" t="inlineStr">
        <is>
          <t>Form10A_2026-05-27</t>
        </is>
      </c>
      <c r="B309" s="19" t="inlineStr">
        <is>
          <t>PROFORMA</t>
        </is>
      </c>
      <c r="C309" s="19" t="inlineStr">
        <is>
          <t>PF BS 2026-03-31 - Historical Spin Business (a)</t>
        </is>
      </c>
      <c r="D309" s="19" t="inlineStr">
        <is>
          <t>Total liabilities and equity</t>
        </is>
      </c>
      <c r="E309" s="19" t="inlineStr">
        <is>
          <t>EXCLUDE</t>
        </is>
      </c>
      <c r="F309" s="19" t="inlineStr">
        <is>
          <t>Pro forma -&gt; own tab; never merged with historical</t>
        </is>
      </c>
      <c r="G309" s="3" t="n"/>
    </row>
    <row r="310">
      <c r="A310" s="19" t="inlineStr">
        <is>
          <t>Form10A_2026-05-27</t>
        </is>
      </c>
      <c r="B310" s="19" t="inlineStr">
        <is>
          <t>PROFORMA</t>
        </is>
      </c>
      <c r="C310" s="19" t="inlineStr">
        <is>
          <t>PF BS 2026-03-31 - Historical Spin Business (a)</t>
        </is>
      </c>
      <c r="D310" s="19" t="inlineStr">
        <is>
          <t>Total property and equipment</t>
        </is>
      </c>
      <c r="E310" s="19" t="inlineStr">
        <is>
          <t>EXCLUDE</t>
        </is>
      </c>
      <c r="F310" s="19" t="inlineStr">
        <is>
          <t>Pro forma -&gt; own tab; never merged with historical</t>
        </is>
      </c>
      <c r="G310" s="3" t="n"/>
    </row>
    <row r="311">
      <c r="A311" s="19" t="inlineStr">
        <is>
          <t>Form10A_2026-05-27</t>
        </is>
      </c>
      <c r="B311" s="19" t="inlineStr">
        <is>
          <t>PROFORMA</t>
        </is>
      </c>
      <c r="C311" s="19" t="inlineStr">
        <is>
          <t>PF BS 2026-03-31 - Historical Spin Business (a)</t>
        </is>
      </c>
      <c r="D311" s="19" t="inlineStr">
        <is>
          <t>Unearned revenue</t>
        </is>
      </c>
      <c r="E311" s="19" t="inlineStr">
        <is>
          <t>EXCLUDE</t>
        </is>
      </c>
      <c r="F311" s="19" t="inlineStr">
        <is>
          <t>Pro forma -&gt; own tab; never merged with historical</t>
        </is>
      </c>
      <c r="G311" s="3" t="n"/>
    </row>
    <row r="312">
      <c r="A312" s="19" t="inlineStr">
        <is>
          <t>Form10A_2026-05-27</t>
        </is>
      </c>
      <c r="B312" s="19" t="inlineStr">
        <is>
          <t>PROFORMA</t>
        </is>
      </c>
      <c r="C312" s="19" t="inlineStr">
        <is>
          <t>PF BS 2026-03-31 - Pro Forma</t>
        </is>
      </c>
      <c r="D312" s="19" t="inlineStr">
        <is>
          <t>Accounts payable</t>
        </is>
      </c>
      <c r="E312" s="19" t="inlineStr">
        <is>
          <t>EXCLUDE</t>
        </is>
      </c>
      <c r="F312" s="19" t="inlineStr">
        <is>
          <t>Pro forma -&gt; own tab; never merged with historical</t>
        </is>
      </c>
      <c r="G312" s="3" t="n"/>
    </row>
    <row r="313">
      <c r="A313" s="19" t="inlineStr">
        <is>
          <t>Form10A_2026-05-27</t>
        </is>
      </c>
      <c r="B313" s="19" t="inlineStr">
        <is>
          <t>PROFORMA</t>
        </is>
      </c>
      <c r="C313" s="19" t="inlineStr">
        <is>
          <t>PF BS 2026-03-31 - Pro Forma</t>
        </is>
      </c>
      <c r="D313" s="19" t="inlineStr">
        <is>
          <t>Accounts receivable, net of allowance for doubtful accounts</t>
        </is>
      </c>
      <c r="E313" s="19" t="inlineStr">
        <is>
          <t>EXCLUDE</t>
        </is>
      </c>
      <c r="F313" s="19" t="inlineStr">
        <is>
          <t>Pro forma -&gt; own tab; never merged with historical</t>
        </is>
      </c>
      <c r="G313" s="3" t="n"/>
    </row>
    <row r="314">
      <c r="A314" s="19" t="inlineStr">
        <is>
          <t>Form10A_2026-05-27</t>
        </is>
      </c>
      <c r="B314" s="19" t="inlineStr">
        <is>
          <t>PROFORMA</t>
        </is>
      </c>
      <c r="C314" s="19" t="inlineStr">
        <is>
          <t>PF BS 2026-03-31 - Pro Forma</t>
        </is>
      </c>
      <c r="D314" s="19" t="inlineStr">
        <is>
          <t>Accrued compensation and contributions to retirement plans</t>
        </is>
      </c>
      <c r="E314" s="19" t="inlineStr">
        <is>
          <t>EXCLUDE</t>
        </is>
      </c>
      <c r="F314" s="19" t="inlineStr">
        <is>
          <t>Pro forma -&gt; own tab; never merged with historical</t>
        </is>
      </c>
      <c r="G314" s="3" t="n"/>
    </row>
    <row r="315">
      <c r="A315" s="19" t="inlineStr">
        <is>
          <t>Form10A_2026-05-27</t>
        </is>
      </c>
      <c r="B315" s="19" t="inlineStr">
        <is>
          <t>PROFORMA</t>
        </is>
      </c>
      <c r="C315" s="19" t="inlineStr">
        <is>
          <t>PF BS 2026-03-31 - Pro Forma</t>
        </is>
      </c>
      <c r="D315" s="19" t="inlineStr">
        <is>
          <t>Accumulated other comprehensive loss</t>
        </is>
      </c>
      <c r="E315" s="19" t="inlineStr">
        <is>
          <t>EXCLUDE</t>
        </is>
      </c>
      <c r="F315" s="19" t="inlineStr">
        <is>
          <t>Pro forma -&gt; own tab; never merged with historical</t>
        </is>
      </c>
      <c r="G315" s="3" t="n"/>
    </row>
    <row r="316">
      <c r="A316" s="19" t="inlineStr">
        <is>
          <t>Form10A_2026-05-27</t>
        </is>
      </c>
      <c r="B316" s="19" t="inlineStr">
        <is>
          <t>PROFORMA</t>
        </is>
      </c>
      <c r="C316" s="19" t="inlineStr">
        <is>
          <t>PF BS 2026-03-31 - Pro Forma</t>
        </is>
      </c>
      <c r="D316" s="19" t="inlineStr">
        <is>
          <t>Additional paid-in capital</t>
        </is>
      </c>
      <c r="E316" s="19" t="inlineStr">
        <is>
          <t>EXCLUDE</t>
        </is>
      </c>
      <c r="F316" s="19" t="inlineStr">
        <is>
          <t>Pro forma -&gt; own tab; never merged with historical</t>
        </is>
      </c>
      <c r="G316" s="3" t="n"/>
    </row>
    <row r="317">
      <c r="A317" s="19" t="inlineStr">
        <is>
          <t>Form10A_2026-05-27</t>
        </is>
      </c>
      <c r="B317" s="19" t="inlineStr">
        <is>
          <t>PROFORMA</t>
        </is>
      </c>
      <c r="C317" s="19" t="inlineStr">
        <is>
          <t>PF BS 2026-03-31 - Pro Forma</t>
        </is>
      </c>
      <c r="D317" s="19" t="inlineStr">
        <is>
          <t>Buildings and leasehold improvements</t>
        </is>
      </c>
      <c r="E317" s="19" t="inlineStr">
        <is>
          <t>EXCLUDE</t>
        </is>
      </c>
      <c r="F317" s="19" t="inlineStr">
        <is>
          <t>Pro forma -&gt; own tab; never merged with historical</t>
        </is>
      </c>
      <c r="G317" s="3" t="n"/>
    </row>
    <row r="318">
      <c r="A318" s="19" t="inlineStr">
        <is>
          <t>Form10A_2026-05-27</t>
        </is>
      </c>
      <c r="B318" s="19" t="inlineStr">
        <is>
          <t>PROFORMA</t>
        </is>
      </c>
      <c r="C318" s="19" t="inlineStr">
        <is>
          <t>PF BS 2026-03-31 - Pro Forma</t>
        </is>
      </c>
      <c r="D318" s="19" t="inlineStr">
        <is>
          <t>Cash and cash equivalents</t>
        </is>
      </c>
      <c r="E318" s="19" t="inlineStr">
        <is>
          <t>EXCLUDE</t>
        </is>
      </c>
      <c r="F318" s="19" t="inlineStr">
        <is>
          <t>Pro forma -&gt; own tab; never merged with historical</t>
        </is>
      </c>
      <c r="G318" s="3" t="n"/>
    </row>
    <row r="319">
      <c r="A319" s="19" t="inlineStr">
        <is>
          <t>Form10A_2026-05-27</t>
        </is>
      </c>
      <c r="B319" s="19" t="inlineStr">
        <is>
          <t>PROFORMA</t>
        </is>
      </c>
      <c r="C319" s="19" t="inlineStr">
        <is>
          <t>PF BS 2026-03-31 - Pro Forma</t>
        </is>
      </c>
      <c r="D319" s="19" t="inlineStr">
        <is>
          <t>Common stock</t>
        </is>
      </c>
      <c r="E319" s="19" t="inlineStr">
        <is>
          <t>EXCLUDE</t>
        </is>
      </c>
      <c r="F319" s="19" t="inlineStr">
        <is>
          <t>Pro forma -&gt; own tab; never merged with historical</t>
        </is>
      </c>
      <c r="G319" s="3" t="n"/>
    </row>
    <row r="320">
      <c r="A320" s="19" t="inlineStr">
        <is>
          <t>Form10A_2026-05-27</t>
        </is>
      </c>
      <c r="B320" s="19" t="inlineStr">
        <is>
          <t>PROFORMA</t>
        </is>
      </c>
      <c r="C320" s="19" t="inlineStr">
        <is>
          <t>PF BS 2026-03-31 - Pro Forma</t>
        </is>
      </c>
      <c r="D320" s="19" t="inlineStr">
        <is>
          <t>Deferred tax liability – non-current</t>
        </is>
      </c>
      <c r="E320" s="19" t="inlineStr">
        <is>
          <t>EXCLUDE</t>
        </is>
      </c>
      <c r="F320" s="19" t="inlineStr">
        <is>
          <t>Pro forma -&gt; own tab; never merged with historical</t>
        </is>
      </c>
      <c r="G320" s="3" t="n"/>
    </row>
    <row r="321">
      <c r="A321" s="19" t="inlineStr">
        <is>
          <t>Form10A_2026-05-27</t>
        </is>
      </c>
      <c r="B321" s="19" t="inlineStr">
        <is>
          <t>PROFORMA</t>
        </is>
      </c>
      <c r="C321" s="19" t="inlineStr">
        <is>
          <t>PF BS 2026-03-31 - Pro Forma</t>
        </is>
      </c>
      <c r="D321" s="19" t="inlineStr">
        <is>
          <t>Equipment and furniture</t>
        </is>
      </c>
      <c r="E321" s="19" t="inlineStr">
        <is>
          <t>EXCLUDE</t>
        </is>
      </c>
      <c r="F321" s="19" t="inlineStr">
        <is>
          <t>Pro forma -&gt; own tab; never merged with historical</t>
        </is>
      </c>
      <c r="G321" s="3" t="n"/>
    </row>
    <row r="322">
      <c r="A322" s="19" t="inlineStr">
        <is>
          <t>Form10A_2026-05-27</t>
        </is>
      </c>
      <c r="B322" s="19" t="inlineStr">
        <is>
          <t>PROFORMA</t>
        </is>
      </c>
      <c r="C322" s="19" t="inlineStr">
        <is>
          <t>PF BS 2026-03-31 - Pro Forma</t>
        </is>
      </c>
      <c r="D322" s="19" t="inlineStr">
        <is>
          <t>Goodwill</t>
        </is>
      </c>
      <c r="E322" s="19" t="inlineStr">
        <is>
          <t>EXCLUDE</t>
        </is>
      </c>
      <c r="F322" s="19" t="inlineStr">
        <is>
          <t>Pro forma -&gt; own tab; never merged with historical</t>
        </is>
      </c>
      <c r="G322" s="3" t="n"/>
    </row>
    <row r="323">
      <c r="A323" s="19" t="inlineStr">
        <is>
          <t>Form10A_2026-05-27</t>
        </is>
      </c>
      <c r="B323" s="19" t="inlineStr">
        <is>
          <t>PROFORMA</t>
        </is>
      </c>
      <c r="C323" s="19" t="inlineStr">
        <is>
          <t>PF BS 2026-03-31 - Pro Forma</t>
        </is>
      </c>
      <c r="D323" s="19" t="inlineStr">
        <is>
          <t>Lease liabilities - non-current</t>
        </is>
      </c>
      <c r="E323" s="19" t="inlineStr">
        <is>
          <t>EXCLUDE</t>
        </is>
      </c>
      <c r="F323" s="19" t="inlineStr">
        <is>
          <t>Pro forma -&gt; own tab; never merged with historical</t>
        </is>
      </c>
      <c r="G323" s="3" t="n"/>
    </row>
    <row r="324">
      <c r="A324" s="19" t="inlineStr">
        <is>
          <t>Form10A_2026-05-27</t>
        </is>
      </c>
      <c r="B324" s="19" t="inlineStr">
        <is>
          <t>PROFORMA</t>
        </is>
      </c>
      <c r="C324" s="19" t="inlineStr">
        <is>
          <t>PF BS 2026-03-31 - Pro Forma</t>
        </is>
      </c>
      <c r="D324" s="19" t="inlineStr">
        <is>
          <t>Less: accumulated depreciation</t>
        </is>
      </c>
      <c r="E324" s="19" t="inlineStr">
        <is>
          <t>EXCLUDE</t>
        </is>
      </c>
      <c r="F324" s="19" t="inlineStr">
        <is>
          <t>Pro forma -&gt; own tab; never merged with historical</t>
        </is>
      </c>
      <c r="G324" s="3" t="n"/>
    </row>
    <row r="325">
      <c r="A325" s="19" t="inlineStr">
        <is>
          <t>Form10A_2026-05-27</t>
        </is>
      </c>
      <c r="B325" s="19" t="inlineStr">
        <is>
          <t>PROFORMA</t>
        </is>
      </c>
      <c r="C325" s="19" t="inlineStr">
        <is>
          <t>PF BS 2026-03-31 - Pro Forma</t>
        </is>
      </c>
      <c r="D325" s="19" t="inlineStr">
        <is>
          <t>Long-term debt</t>
        </is>
      </c>
      <c r="E325" s="19" t="inlineStr">
        <is>
          <t>EXCLUDE</t>
        </is>
      </c>
      <c r="F325" s="19" t="inlineStr">
        <is>
          <t>Pro forma -&gt; own tab; never merged with historical</t>
        </is>
      </c>
      <c r="G325" s="3" t="n"/>
    </row>
    <row r="326">
      <c r="A326" s="19" t="inlineStr">
        <is>
          <t>Form10A_2026-05-27</t>
        </is>
      </c>
      <c r="B326" s="19" t="inlineStr">
        <is>
          <t>PROFORMA</t>
        </is>
      </c>
      <c r="C326" s="19" t="inlineStr">
        <is>
          <t>PF BS 2026-03-31 - Pro Forma</t>
        </is>
      </c>
      <c r="D326" s="19" t="inlineStr">
        <is>
          <t>Other current liabilities</t>
        </is>
      </c>
      <c r="E326" s="19" t="inlineStr">
        <is>
          <t>EXCLUDE</t>
        </is>
      </c>
      <c r="F326" s="19" t="inlineStr">
        <is>
          <t>Pro forma -&gt; own tab; never merged with historical</t>
        </is>
      </c>
      <c r="G326" s="3" t="n"/>
    </row>
    <row r="327">
      <c r="A327" s="19" t="inlineStr">
        <is>
          <t>Form10A_2026-05-27</t>
        </is>
      </c>
      <c r="B327" s="19" t="inlineStr">
        <is>
          <t>PROFORMA</t>
        </is>
      </c>
      <c r="C327" s="19" t="inlineStr">
        <is>
          <t>PF BS 2026-03-31 - Pro Forma</t>
        </is>
      </c>
      <c r="D327" s="19" t="inlineStr">
        <is>
          <t>Other intangible assets - net</t>
        </is>
      </c>
      <c r="E327" s="19" t="inlineStr">
        <is>
          <t>EXCLUDE</t>
        </is>
      </c>
      <c r="F327" s="19" t="inlineStr">
        <is>
          <t>Pro forma -&gt; own tab; never merged with historical</t>
        </is>
      </c>
      <c r="G327" s="3" t="n"/>
    </row>
    <row r="328">
      <c r="A328" s="19" t="inlineStr">
        <is>
          <t>Form10A_2026-05-27</t>
        </is>
      </c>
      <c r="B328" s="19" t="inlineStr">
        <is>
          <t>PROFORMA</t>
        </is>
      </c>
      <c r="C328" s="19" t="inlineStr">
        <is>
          <t>PF BS 2026-03-31 - Pro Forma</t>
        </is>
      </c>
      <c r="D328" s="19" t="inlineStr">
        <is>
          <t>Other non-current assets</t>
        </is>
      </c>
      <c r="E328" s="19" t="inlineStr">
        <is>
          <t>EXCLUDE</t>
        </is>
      </c>
      <c r="F328" s="19" t="inlineStr">
        <is>
          <t>Pro forma -&gt; own tab; never merged with historical</t>
        </is>
      </c>
      <c r="G328" s="3" t="n"/>
    </row>
    <row r="329">
      <c r="A329" s="19" t="inlineStr">
        <is>
          <t>Form10A_2026-05-27</t>
        </is>
      </c>
      <c r="B329" s="19" t="inlineStr">
        <is>
          <t>PROFORMA</t>
        </is>
      </c>
      <c r="C329" s="19" t="inlineStr">
        <is>
          <t>PF BS 2026-03-31 - Pro Forma</t>
        </is>
      </c>
      <c r="D329" s="19" t="inlineStr">
        <is>
          <t>Other non-current liabilities</t>
        </is>
      </c>
      <c r="E329" s="19" t="inlineStr">
        <is>
          <t>EXCLUDE</t>
        </is>
      </c>
      <c r="F329" s="19" t="inlineStr">
        <is>
          <t>Pro forma -&gt; own tab; never merged with historical</t>
        </is>
      </c>
      <c r="G329" s="3" t="n"/>
    </row>
    <row r="330">
      <c r="A330" s="19" t="inlineStr">
        <is>
          <t>Form10A_2026-05-27</t>
        </is>
      </c>
      <c r="B330" s="19" t="inlineStr">
        <is>
          <t>PROFORMA</t>
        </is>
      </c>
      <c r="C330" s="19" t="inlineStr">
        <is>
          <t>PF BS 2026-03-31 - Pro Forma</t>
        </is>
      </c>
      <c r="D330" s="19" t="inlineStr">
        <is>
          <t>Prepaid and other current assets</t>
        </is>
      </c>
      <c r="E330" s="19" t="inlineStr">
        <is>
          <t>EXCLUDE</t>
        </is>
      </c>
      <c r="F330" s="19" t="inlineStr">
        <is>
          <t>Pro forma -&gt; own tab; never merged with historical</t>
        </is>
      </c>
      <c r="G330" s="3" t="n"/>
    </row>
    <row r="331">
      <c r="A331" s="19" t="inlineStr">
        <is>
          <t>Form10A_2026-05-27</t>
        </is>
      </c>
      <c r="B331" s="19" t="inlineStr">
        <is>
          <t>PROFORMA</t>
        </is>
      </c>
      <c r="C331" s="19" t="inlineStr">
        <is>
          <t>PF BS 2026-03-31 - Pro Forma</t>
        </is>
      </c>
      <c r="D331" s="19" t="inlineStr">
        <is>
          <t>Property and equipment, net</t>
        </is>
      </c>
      <c r="E331" s="19" t="inlineStr">
        <is>
          <t>EXCLUDE</t>
        </is>
      </c>
      <c r="F331" s="19" t="inlineStr">
        <is>
          <t>Pro forma -&gt; own tab; never merged with historical</t>
        </is>
      </c>
      <c r="G331" s="3" t="n"/>
    </row>
    <row r="332">
      <c r="A332" s="19" t="inlineStr">
        <is>
          <t>Form10A_2026-05-27</t>
        </is>
      </c>
      <c r="B332" s="19" t="inlineStr">
        <is>
          <t>PROFORMA</t>
        </is>
      </c>
      <c r="C332" s="19" t="inlineStr">
        <is>
          <t>PF BS 2026-03-31 - Pro Forma</t>
        </is>
      </c>
      <c r="D332" s="19" t="inlineStr">
        <is>
          <t>Right of use assets</t>
        </is>
      </c>
      <c r="E332" s="19" t="inlineStr">
        <is>
          <t>EXCLUDE</t>
        </is>
      </c>
      <c r="F332" s="19" t="inlineStr">
        <is>
          <t>Pro forma -&gt; own tab; never merged with historical</t>
        </is>
      </c>
      <c r="G332" s="3" t="n"/>
    </row>
    <row r="333">
      <c r="A333" s="19" t="inlineStr">
        <is>
          <t>Form10A_2026-05-27</t>
        </is>
      </c>
      <c r="B333" s="19" t="inlineStr">
        <is>
          <t>PROFORMA</t>
        </is>
      </c>
      <c r="C333" s="19" t="inlineStr">
        <is>
          <t>PF BS 2026-03-31 - Pro Forma</t>
        </is>
      </c>
      <c r="D333" s="19" t="inlineStr">
        <is>
          <t>Total assets</t>
        </is>
      </c>
      <c r="E333" s="19" t="inlineStr">
        <is>
          <t>EXCLUDE</t>
        </is>
      </c>
      <c r="F333" s="19" t="inlineStr">
        <is>
          <t>Pro forma -&gt; own tab; never merged with historical</t>
        </is>
      </c>
      <c r="G333" s="3" t="n"/>
    </row>
    <row r="334">
      <c r="A334" s="19" t="inlineStr">
        <is>
          <t>Form10A_2026-05-27</t>
        </is>
      </c>
      <c r="B334" s="19" t="inlineStr">
        <is>
          <t>PROFORMA</t>
        </is>
      </c>
      <c r="C334" s="19" t="inlineStr">
        <is>
          <t>PF BS 2026-03-31 - Pro Forma</t>
        </is>
      </c>
      <c r="D334" s="19" t="inlineStr">
        <is>
          <t>Total current assets</t>
        </is>
      </c>
      <c r="E334" s="19" t="inlineStr">
        <is>
          <t>EXCLUDE</t>
        </is>
      </c>
      <c r="F334" s="19" t="inlineStr">
        <is>
          <t>Pro forma -&gt; own tab; never merged with historical</t>
        </is>
      </c>
      <c r="G334" s="3" t="n"/>
    </row>
    <row r="335">
      <c r="A335" s="19" t="inlineStr">
        <is>
          <t>Form10A_2026-05-27</t>
        </is>
      </c>
      <c r="B335" s="19" t="inlineStr">
        <is>
          <t>PROFORMA</t>
        </is>
      </c>
      <c r="C335" s="19" t="inlineStr">
        <is>
          <t>PF BS 2026-03-31 - Pro Forma</t>
        </is>
      </c>
      <c r="D335" s="19" t="inlineStr">
        <is>
          <t>Total current liabilities</t>
        </is>
      </c>
      <c r="E335" s="19" t="inlineStr">
        <is>
          <t>EXCLUDE</t>
        </is>
      </c>
      <c r="F335" s="19" t="inlineStr">
        <is>
          <t>Pro forma -&gt; own tab; never merged with historical</t>
        </is>
      </c>
      <c r="G335" s="3" t="n"/>
    </row>
    <row r="336">
      <c r="A336" s="19" t="inlineStr">
        <is>
          <t>Form10A_2026-05-27</t>
        </is>
      </c>
      <c r="B336" s="19" t="inlineStr">
        <is>
          <t>PROFORMA</t>
        </is>
      </c>
      <c r="C336" s="19" t="inlineStr">
        <is>
          <t>PF BS 2026-03-31 - Pro Forma</t>
        </is>
      </c>
      <c r="D336" s="19" t="inlineStr">
        <is>
          <t>Total equity</t>
        </is>
      </c>
      <c r="E336" s="19" t="inlineStr">
        <is>
          <t>EXCLUDE</t>
        </is>
      </c>
      <c r="F336" s="19" t="inlineStr">
        <is>
          <t>Pro forma -&gt; own tab; never merged with historical</t>
        </is>
      </c>
      <c r="G336" s="3" t="n"/>
    </row>
    <row r="337">
      <c r="A337" s="19" t="inlineStr">
        <is>
          <t>Form10A_2026-05-27</t>
        </is>
      </c>
      <c r="B337" s="19" t="inlineStr">
        <is>
          <t>PROFORMA</t>
        </is>
      </c>
      <c r="C337" s="19" t="inlineStr">
        <is>
          <t>PF BS 2026-03-31 - Pro Forma</t>
        </is>
      </c>
      <c r="D337" s="19" t="inlineStr">
        <is>
          <t>Total liabilities</t>
        </is>
      </c>
      <c r="E337" s="19" t="inlineStr">
        <is>
          <t>EXCLUDE</t>
        </is>
      </c>
      <c r="F337" s="19" t="inlineStr">
        <is>
          <t>Pro forma -&gt; own tab; never merged with historical</t>
        </is>
      </c>
      <c r="G337" s="3" t="n"/>
    </row>
    <row r="338">
      <c r="A338" s="19" t="inlineStr">
        <is>
          <t>Form10A_2026-05-27</t>
        </is>
      </c>
      <c r="B338" s="19" t="inlineStr">
        <is>
          <t>PROFORMA</t>
        </is>
      </c>
      <c r="C338" s="19" t="inlineStr">
        <is>
          <t>PF BS 2026-03-31 - Pro Forma</t>
        </is>
      </c>
      <c r="D338" s="19" t="inlineStr">
        <is>
          <t>Total liabilities and equity</t>
        </is>
      </c>
      <c r="E338" s="19" t="inlineStr">
        <is>
          <t>EXCLUDE</t>
        </is>
      </c>
      <c r="F338" s="19" t="inlineStr">
        <is>
          <t>Pro forma -&gt; own tab; never merged with historical</t>
        </is>
      </c>
      <c r="G338" s="3" t="n"/>
    </row>
    <row r="339">
      <c r="A339" s="19" t="inlineStr">
        <is>
          <t>Form10A_2026-05-27</t>
        </is>
      </c>
      <c r="B339" s="19" t="inlineStr">
        <is>
          <t>PROFORMA</t>
        </is>
      </c>
      <c r="C339" s="19" t="inlineStr">
        <is>
          <t>PF BS 2026-03-31 - Pro Forma</t>
        </is>
      </c>
      <c r="D339" s="19" t="inlineStr">
        <is>
          <t>Total property and equipment</t>
        </is>
      </c>
      <c r="E339" s="19" t="inlineStr">
        <is>
          <t>EXCLUDE</t>
        </is>
      </c>
      <c r="F339" s="19" t="inlineStr">
        <is>
          <t>Pro forma -&gt; own tab; never merged with historical</t>
        </is>
      </c>
      <c r="G339" s="3" t="n"/>
    </row>
    <row r="340">
      <c r="A340" s="19" t="inlineStr">
        <is>
          <t>Form10A_2026-05-27</t>
        </is>
      </c>
      <c r="B340" s="19" t="inlineStr">
        <is>
          <t>PROFORMA</t>
        </is>
      </c>
      <c r="C340" s="19" t="inlineStr">
        <is>
          <t>PF BS 2026-03-31 - Pro Forma</t>
        </is>
      </c>
      <c r="D340" s="19" t="inlineStr">
        <is>
          <t>Unearned revenue</t>
        </is>
      </c>
      <c r="E340" s="19" t="inlineStr">
        <is>
          <t>EXCLUDE</t>
        </is>
      </c>
      <c r="F340" s="19" t="inlineStr">
        <is>
          <t>Pro forma -&gt; own tab; never merged with historical</t>
        </is>
      </c>
      <c r="G340" s="3" t="n"/>
    </row>
    <row r="341">
      <c r="A341" s="19" t="inlineStr">
        <is>
          <t>Form10A_2026-05-27</t>
        </is>
      </c>
      <c r="B341" s="19" t="inlineStr">
        <is>
          <t>PROFORMA</t>
        </is>
      </c>
      <c r="C341" s="19" t="inlineStr">
        <is>
          <t>PF BS 2026-03-31 - Transaction Accounting Adjustments</t>
        </is>
      </c>
      <c r="D341" s="19" t="inlineStr">
        <is>
          <t>Additional paid-in capital</t>
        </is>
      </c>
      <c r="E341" s="19" t="inlineStr">
        <is>
          <t>EXCLUDE</t>
        </is>
      </c>
      <c r="F341" s="19" t="inlineStr">
        <is>
          <t>Pro forma -&gt; own tab; never merged with historical</t>
        </is>
      </c>
      <c r="G341" s="3" t="n"/>
    </row>
    <row r="342">
      <c r="A342" s="19" t="inlineStr">
        <is>
          <t>Form10A_2026-05-27</t>
        </is>
      </c>
      <c r="B342" s="19" t="inlineStr">
        <is>
          <t>PROFORMA</t>
        </is>
      </c>
      <c r="C342" s="19" t="inlineStr">
        <is>
          <t>PF BS 2026-03-31 - Transaction Accounting Adjustments</t>
        </is>
      </c>
      <c r="D342" s="19" t="inlineStr">
        <is>
          <t>Cash and cash equivalents</t>
        </is>
      </c>
      <c r="E342" s="19" t="inlineStr">
        <is>
          <t>EXCLUDE</t>
        </is>
      </c>
      <c r="F342" s="19" t="inlineStr">
        <is>
          <t>Pro forma -&gt; own tab; never merged with historical</t>
        </is>
      </c>
      <c r="G342" s="3" t="n"/>
    </row>
    <row r="343">
      <c r="A343" s="19" t="inlineStr">
        <is>
          <t>Form10A_2026-05-27</t>
        </is>
      </c>
      <c r="B343" s="19" t="inlineStr">
        <is>
          <t>PROFORMA</t>
        </is>
      </c>
      <c r="C343" s="19" t="inlineStr">
        <is>
          <t>PF BS 2026-03-31 - Transaction Accounting Adjustments</t>
        </is>
      </c>
      <c r="D343" s="19" t="inlineStr">
        <is>
          <t>Common stock</t>
        </is>
      </c>
      <c r="E343" s="19" t="inlineStr">
        <is>
          <t>EXCLUDE</t>
        </is>
      </c>
      <c r="F343" s="19" t="inlineStr">
        <is>
          <t>Pro forma -&gt; own tab; never merged with historical</t>
        </is>
      </c>
      <c r="G343" s="3" t="n"/>
    </row>
    <row r="344">
      <c r="A344" s="19" t="inlineStr">
        <is>
          <t>Form10A_2026-05-27</t>
        </is>
      </c>
      <c r="B344" s="19" t="inlineStr">
        <is>
          <t>PROFORMA</t>
        </is>
      </c>
      <c r="C344" s="19" t="inlineStr">
        <is>
          <t>PF BS 2026-03-31 - Transaction Accounting Adjustments</t>
        </is>
      </c>
      <c r="D344" s="19" t="inlineStr">
        <is>
          <t>Due from related parties - current</t>
        </is>
      </c>
      <c r="E344" s="19" t="inlineStr">
        <is>
          <t>EXCLUDE</t>
        </is>
      </c>
      <c r="F344" s="19" t="inlineStr">
        <is>
          <t>Pro forma -&gt; own tab; never merged with historical</t>
        </is>
      </c>
      <c r="G344" s="3" t="n"/>
    </row>
    <row r="345">
      <c r="A345" s="19" t="inlineStr">
        <is>
          <t>Form10A_2026-05-27</t>
        </is>
      </c>
      <c r="B345" s="19" t="inlineStr">
        <is>
          <t>PROFORMA</t>
        </is>
      </c>
      <c r="C345" s="19" t="inlineStr">
        <is>
          <t>PF BS 2026-03-31 - Transaction Accounting Adjustments</t>
        </is>
      </c>
      <c r="D345" s="19" t="inlineStr">
        <is>
          <t>Due to related parties – current</t>
        </is>
      </c>
      <c r="E345" s="19" t="inlineStr">
        <is>
          <t>EXCLUDE</t>
        </is>
      </c>
      <c r="F345" s="19" t="inlineStr">
        <is>
          <t>Pro forma -&gt; own tab; never merged with historical</t>
        </is>
      </c>
      <c r="G345" s="3" t="n"/>
    </row>
    <row r="346">
      <c r="A346" s="19" t="inlineStr">
        <is>
          <t>Form10A_2026-05-27</t>
        </is>
      </c>
      <c r="B346" s="19" t="inlineStr">
        <is>
          <t>PROFORMA</t>
        </is>
      </c>
      <c r="C346" s="19" t="inlineStr">
        <is>
          <t>PF BS 2026-03-31 - Transaction Accounting Adjustments</t>
        </is>
      </c>
      <c r="D346" s="19" t="inlineStr">
        <is>
          <t>Due to related parties – non-current</t>
        </is>
      </c>
      <c r="E346" s="19" t="inlineStr">
        <is>
          <t>EXCLUDE</t>
        </is>
      </c>
      <c r="F346" s="19" t="inlineStr">
        <is>
          <t>Pro forma -&gt; own tab; never merged with historical</t>
        </is>
      </c>
      <c r="G346" s="3" t="n"/>
    </row>
    <row r="347">
      <c r="A347" s="19" t="inlineStr">
        <is>
          <t>Form10A_2026-05-27</t>
        </is>
      </c>
      <c r="B347" s="19" t="inlineStr">
        <is>
          <t>PROFORMA</t>
        </is>
      </c>
      <c r="C347" s="19" t="inlineStr">
        <is>
          <t>PF BS 2026-03-31 - Transaction Accounting Adjustments</t>
        </is>
      </c>
      <c r="D347" s="19" t="inlineStr">
        <is>
          <t>Long-term debt</t>
        </is>
      </c>
      <c r="E347" s="19" t="inlineStr">
        <is>
          <t>EXCLUDE</t>
        </is>
      </c>
      <c r="F347" s="19" t="inlineStr">
        <is>
          <t>Pro forma -&gt; own tab; never merged with historical</t>
        </is>
      </c>
      <c r="G347" s="3" t="n"/>
    </row>
    <row r="348">
      <c r="A348" s="19" t="inlineStr">
        <is>
          <t>Form10A_2026-05-27</t>
        </is>
      </c>
      <c r="B348" s="19" t="inlineStr">
        <is>
          <t>PROFORMA</t>
        </is>
      </c>
      <c r="C348" s="19" t="inlineStr">
        <is>
          <t>PF BS 2026-03-31 - Transaction Accounting Adjustments</t>
        </is>
      </c>
      <c r="D348" s="19" t="inlineStr">
        <is>
          <t>Other current liabilities</t>
        </is>
      </c>
      <c r="E348" s="19" t="inlineStr">
        <is>
          <t>EXCLUDE</t>
        </is>
      </c>
      <c r="F348" s="19" t="inlineStr">
        <is>
          <t>Pro forma -&gt; own tab; never merged with historical</t>
        </is>
      </c>
      <c r="G348" s="3" t="n"/>
    </row>
    <row r="349">
      <c r="A349" s="19" t="inlineStr">
        <is>
          <t>Form10A_2026-05-27</t>
        </is>
      </c>
      <c r="B349" s="19" t="inlineStr">
        <is>
          <t>PROFORMA</t>
        </is>
      </c>
      <c r="C349" s="19" t="inlineStr">
        <is>
          <t>PF BS 2026-03-31 - Transaction Accounting Adjustments</t>
        </is>
      </c>
      <c r="D349" s="19" t="inlineStr">
        <is>
          <t>Other non-current assets</t>
        </is>
      </c>
      <c r="E349" s="19" t="inlineStr">
        <is>
          <t>EXCLUDE</t>
        </is>
      </c>
      <c r="F349" s="19" t="inlineStr">
        <is>
          <t>Pro forma -&gt; own tab; never merged with historical</t>
        </is>
      </c>
      <c r="G349" s="3" t="n"/>
    </row>
    <row r="350">
      <c r="A350" s="19" t="inlineStr">
        <is>
          <t>Form10A_2026-05-27</t>
        </is>
      </c>
      <c r="B350" s="19" t="inlineStr">
        <is>
          <t>PROFORMA</t>
        </is>
      </c>
      <c r="C350" s="19" t="inlineStr">
        <is>
          <t>PF BS 2026-03-31 - Transaction Accounting Adjustments</t>
        </is>
      </c>
      <c r="D350" s="19" t="inlineStr">
        <is>
          <t>Parent company investment</t>
        </is>
      </c>
      <c r="E350" s="19" t="inlineStr">
        <is>
          <t>EXCLUDE</t>
        </is>
      </c>
      <c r="F350" s="19" t="inlineStr">
        <is>
          <t>Pro forma -&gt; own tab; never merged with historical</t>
        </is>
      </c>
      <c r="G350" s="3" t="n"/>
    </row>
    <row r="351">
      <c r="A351" s="19" t="inlineStr">
        <is>
          <t>Form10A_2026-05-27</t>
        </is>
      </c>
      <c r="B351" s="19" t="inlineStr">
        <is>
          <t>PROFORMA</t>
        </is>
      </c>
      <c r="C351" s="19" t="inlineStr">
        <is>
          <t>PF BS 2026-03-31 - Transaction Accounting Adjustments</t>
        </is>
      </c>
      <c r="D351" s="19" t="inlineStr">
        <is>
          <t>Total assets</t>
        </is>
      </c>
      <c r="E351" s="19" t="inlineStr">
        <is>
          <t>EXCLUDE</t>
        </is>
      </c>
      <c r="F351" s="19" t="inlineStr">
        <is>
          <t>Pro forma -&gt; own tab; never merged with historical</t>
        </is>
      </c>
      <c r="G351" s="3" t="n"/>
    </row>
    <row r="352">
      <c r="A352" s="19" t="inlineStr">
        <is>
          <t>Form10A_2026-05-27</t>
        </is>
      </c>
      <c r="B352" s="19" t="inlineStr">
        <is>
          <t>PROFORMA</t>
        </is>
      </c>
      <c r="C352" s="19" t="inlineStr">
        <is>
          <t>PF BS 2026-03-31 - Transaction Accounting Adjustments</t>
        </is>
      </c>
      <c r="D352" s="19" t="inlineStr">
        <is>
          <t>Total current assets</t>
        </is>
      </c>
      <c r="E352" s="19" t="inlineStr">
        <is>
          <t>EXCLUDE</t>
        </is>
      </c>
      <c r="F352" s="19" t="inlineStr">
        <is>
          <t>Pro forma -&gt; own tab; never merged with historical</t>
        </is>
      </c>
      <c r="G352" s="3" t="n"/>
    </row>
    <row r="353">
      <c r="A353" s="19" t="inlineStr">
        <is>
          <t>Form10A_2026-05-27</t>
        </is>
      </c>
      <c r="B353" s="19" t="inlineStr">
        <is>
          <t>PROFORMA</t>
        </is>
      </c>
      <c r="C353" s="19" t="inlineStr">
        <is>
          <t>PF BS 2026-03-31 - Transaction Accounting Adjustments</t>
        </is>
      </c>
      <c r="D353" s="19" t="inlineStr">
        <is>
          <t>Total current liabilities</t>
        </is>
      </c>
      <c r="E353" s="19" t="inlineStr">
        <is>
          <t>EXCLUDE</t>
        </is>
      </c>
      <c r="F353" s="19" t="inlineStr">
        <is>
          <t>Pro forma -&gt; own tab; never merged with historical</t>
        </is>
      </c>
      <c r="G353" s="3" t="n"/>
    </row>
    <row r="354">
      <c r="A354" s="19" t="inlineStr">
        <is>
          <t>Form10A_2026-05-27</t>
        </is>
      </c>
      <c r="B354" s="19" t="inlineStr">
        <is>
          <t>PROFORMA</t>
        </is>
      </c>
      <c r="C354" s="19" t="inlineStr">
        <is>
          <t>PF BS 2026-03-31 - Transaction Accounting Adjustments</t>
        </is>
      </c>
      <c r="D354" s="19" t="inlineStr">
        <is>
          <t>Total equity</t>
        </is>
      </c>
      <c r="E354" s="19" t="inlineStr">
        <is>
          <t>EXCLUDE</t>
        </is>
      </c>
      <c r="F354" s="19" t="inlineStr">
        <is>
          <t>Pro forma -&gt; own tab; never merged with historical</t>
        </is>
      </c>
      <c r="G354" s="3" t="n"/>
    </row>
    <row r="355">
      <c r="A355" s="19" t="inlineStr">
        <is>
          <t>Form10A_2026-05-27</t>
        </is>
      </c>
      <c r="B355" s="19" t="inlineStr">
        <is>
          <t>PROFORMA</t>
        </is>
      </c>
      <c r="C355" s="19" t="inlineStr">
        <is>
          <t>PF BS 2026-03-31 - Transaction Accounting Adjustments</t>
        </is>
      </c>
      <c r="D355" s="19" t="inlineStr">
        <is>
          <t>Total liabilities</t>
        </is>
      </c>
      <c r="E355" s="19" t="inlineStr">
        <is>
          <t>EXCLUDE</t>
        </is>
      </c>
      <c r="F355" s="19" t="inlineStr">
        <is>
          <t>Pro forma -&gt; own tab; never merged with historical</t>
        </is>
      </c>
      <c r="G355" s="3" t="n"/>
    </row>
    <row r="356">
      <c r="A356" s="19" t="inlineStr">
        <is>
          <t>Form10A_2026-05-27</t>
        </is>
      </c>
      <c r="B356" s="19" t="inlineStr">
        <is>
          <t>PROFORMA</t>
        </is>
      </c>
      <c r="C356" s="19" t="inlineStr">
        <is>
          <t>PF BS 2026-03-31 - Transaction Accounting Adjustments</t>
        </is>
      </c>
      <c r="D356" s="19" t="inlineStr">
        <is>
          <t>Total liabilities and equity</t>
        </is>
      </c>
      <c r="E356" s="19" t="inlineStr">
        <is>
          <t>EXCLUDE</t>
        </is>
      </c>
      <c r="F356" s="19" t="inlineStr">
        <is>
          <t>Pro forma -&gt; own tab; never merged with historical</t>
        </is>
      </c>
      <c r="G356" s="3" t="n"/>
    </row>
    <row r="357">
      <c r="A357" s="19" t="inlineStr">
        <is>
          <t>Form10A_2026-05-27</t>
        </is>
      </c>
      <c r="B357" s="19" t="inlineStr">
        <is>
          <t>PROFORMA</t>
        </is>
      </c>
      <c r="C357" s="19" t="inlineStr">
        <is>
          <t>PF IS FY2025 - Autonomous Entity Adjustments</t>
        </is>
      </c>
      <c r="D357" s="19" t="inlineStr">
        <is>
          <t>Net income</t>
        </is>
      </c>
      <c r="E357" s="19" t="inlineStr">
        <is>
          <t>EXCLUDE</t>
        </is>
      </c>
      <c r="F357" s="19" t="inlineStr">
        <is>
          <t>Pro forma -&gt; own tab; never merged with historical</t>
        </is>
      </c>
      <c r="G357" s="3" t="n"/>
    </row>
    <row r="358">
      <c r="A358" s="19" t="inlineStr">
        <is>
          <t>Form10A_2026-05-27</t>
        </is>
      </c>
      <c r="B358" s="19" t="inlineStr">
        <is>
          <t>PROFORMA</t>
        </is>
      </c>
      <c r="C358" s="19" t="inlineStr">
        <is>
          <t>PF IS FY2025 - Autonomous Entity Adjustments</t>
        </is>
      </c>
      <c r="D358" s="19" t="inlineStr">
        <is>
          <t>Operating profit</t>
        </is>
      </c>
      <c r="E358" s="19" t="inlineStr">
        <is>
          <t>EXCLUDE</t>
        </is>
      </c>
      <c r="F358" s="19" t="inlineStr">
        <is>
          <t>Pro forma -&gt; own tab; never merged with historical</t>
        </is>
      </c>
      <c r="G358" s="3" t="n"/>
    </row>
    <row r="359">
      <c r="A359" s="19" t="inlineStr">
        <is>
          <t>Form10A_2026-05-27</t>
        </is>
      </c>
      <c r="B359" s="19" t="inlineStr">
        <is>
          <t>PROFORMA</t>
        </is>
      </c>
      <c r="C359" s="19" t="inlineStr">
        <is>
          <t>PF IS FY2025 - Autonomous Entity Adjustments</t>
        </is>
      </c>
      <c r="D359" s="19" t="inlineStr">
        <is>
          <t>Provision for taxes on income</t>
        </is>
      </c>
      <c r="E359" s="19" t="inlineStr">
        <is>
          <t>EXCLUDE</t>
        </is>
      </c>
      <c r="F359" s="19" t="inlineStr">
        <is>
          <t>Pro forma -&gt; own tab; never merged with historical</t>
        </is>
      </c>
      <c r="G359" s="3" t="n"/>
    </row>
    <row r="360">
      <c r="A360" s="19" t="inlineStr">
        <is>
          <t>Form10A_2026-05-27</t>
        </is>
      </c>
      <c r="B360" s="19" t="inlineStr">
        <is>
          <t>PROFORMA</t>
        </is>
      </c>
      <c r="C360" s="19" t="inlineStr">
        <is>
          <t>PF IS FY2025 - Autonomous Entity Adjustments</t>
        </is>
      </c>
      <c r="D360" s="19" t="inlineStr">
        <is>
          <t>Selling and general expenses</t>
        </is>
      </c>
      <c r="E360" s="19" t="inlineStr">
        <is>
          <t>EXCLUDE</t>
        </is>
      </c>
      <c r="F360" s="19" t="inlineStr">
        <is>
          <t>Pro forma -&gt; own tab; never merged with historical</t>
        </is>
      </c>
      <c r="G360" s="3" t="n"/>
    </row>
    <row r="361">
      <c r="A361" s="19" t="inlineStr">
        <is>
          <t>Form10A_2026-05-27</t>
        </is>
      </c>
      <c r="B361" s="19" t="inlineStr">
        <is>
          <t>PROFORMA</t>
        </is>
      </c>
      <c r="C361" s="19" t="inlineStr">
        <is>
          <t>PF IS FY2025 - Autonomous Entity Adjustments</t>
        </is>
      </c>
      <c r="D361" s="19" t="inlineStr">
        <is>
          <t>Total expenses</t>
        </is>
      </c>
      <c r="E361" s="19" t="inlineStr">
        <is>
          <t>EXCLUDE</t>
        </is>
      </c>
      <c r="F361" s="19" t="inlineStr">
        <is>
          <t>Pro forma -&gt; own tab; never merged with historical</t>
        </is>
      </c>
      <c r="G361" s="3" t="n"/>
    </row>
    <row r="362">
      <c r="A362" s="19" t="inlineStr">
        <is>
          <t>Form10A_2026-05-27</t>
        </is>
      </c>
      <c r="B362" s="19" t="inlineStr">
        <is>
          <t>PROFORMA</t>
        </is>
      </c>
      <c r="C362" s="19" t="inlineStr">
        <is>
          <t>PF IS FY2025 - Historical Spin Business (a)</t>
        </is>
      </c>
      <c r="D362" s="19" t="inlineStr">
        <is>
          <t>Amortization of intangibles</t>
        </is>
      </c>
      <c r="E362" s="19" t="inlineStr">
        <is>
          <t>EXCLUDE</t>
        </is>
      </c>
      <c r="F362" s="19" t="inlineStr">
        <is>
          <t>Pro forma -&gt; own tab; never merged with historical</t>
        </is>
      </c>
      <c r="G362" s="3" t="n"/>
    </row>
    <row r="363">
      <c r="A363" s="19" t="inlineStr">
        <is>
          <t>Form10A_2026-05-27</t>
        </is>
      </c>
      <c r="B363" s="19" t="inlineStr">
        <is>
          <t>PROFORMA</t>
        </is>
      </c>
      <c r="C363" s="19" t="inlineStr">
        <is>
          <t>PF IS FY2025 - Historical Spin Business (a)</t>
        </is>
      </c>
      <c r="D363" s="19" t="inlineStr">
        <is>
          <t>Depreciation</t>
        </is>
      </c>
      <c r="E363" s="19" t="inlineStr">
        <is>
          <t>EXCLUDE</t>
        </is>
      </c>
      <c r="F363" s="19" t="inlineStr">
        <is>
          <t>Pro forma -&gt; own tab; never merged with historical</t>
        </is>
      </c>
      <c r="G363" s="3" t="n"/>
    </row>
    <row r="364">
      <c r="A364" s="19" t="inlineStr">
        <is>
          <t>Form10A_2026-05-27</t>
        </is>
      </c>
      <c r="B364" s="19" t="inlineStr">
        <is>
          <t>PROFORMA</t>
        </is>
      </c>
      <c r="C364" s="19" t="inlineStr">
        <is>
          <t>PF IS FY2025 - Historical Spin Business (a)</t>
        </is>
      </c>
      <c r="D364" s="19" t="inlineStr">
        <is>
          <t>Income before taxes on income</t>
        </is>
      </c>
      <c r="E364" s="19" t="inlineStr">
        <is>
          <t>EXCLUDE</t>
        </is>
      </c>
      <c r="F364" s="19" t="inlineStr">
        <is>
          <t>Pro forma -&gt; own tab; never merged with historical</t>
        </is>
      </c>
      <c r="G364" s="3" t="n"/>
    </row>
    <row r="365">
      <c r="A365" s="19" t="inlineStr">
        <is>
          <t>Form10A_2026-05-27</t>
        </is>
      </c>
      <c r="B365" s="19" t="inlineStr">
        <is>
          <t>PROFORMA</t>
        </is>
      </c>
      <c r="C365" s="19" t="inlineStr">
        <is>
          <t>PF IS FY2025 - Historical Spin Business (a)</t>
        </is>
      </c>
      <c r="D365" s="19" t="inlineStr">
        <is>
          <t>Interest expense, net</t>
        </is>
      </c>
      <c r="E365" s="19" t="inlineStr">
        <is>
          <t>EXCLUDE</t>
        </is>
      </c>
      <c r="F365" s="19" t="inlineStr">
        <is>
          <t>Pro forma -&gt; own tab; never merged with historical</t>
        </is>
      </c>
      <c r="G365" s="3" t="n"/>
    </row>
    <row r="366">
      <c r="A366" s="19" t="inlineStr">
        <is>
          <t>Form10A_2026-05-27</t>
        </is>
      </c>
      <c r="B366" s="19" t="inlineStr">
        <is>
          <t>PROFORMA</t>
        </is>
      </c>
      <c r="C366" s="19" t="inlineStr">
        <is>
          <t>PF IS FY2025 - Historical Spin Business (a)</t>
        </is>
      </c>
      <c r="D366" s="19" t="inlineStr">
        <is>
          <t>Net income</t>
        </is>
      </c>
      <c r="E366" s="19" t="inlineStr">
        <is>
          <t>EXCLUDE</t>
        </is>
      </c>
      <c r="F366" s="19" t="inlineStr">
        <is>
          <t>Pro forma -&gt; own tab; never merged with historical</t>
        </is>
      </c>
      <c r="G366" s="3" t="n"/>
    </row>
    <row r="367">
      <c r="A367" s="19" t="inlineStr">
        <is>
          <t>Form10A_2026-05-27</t>
        </is>
      </c>
      <c r="B367" s="19" t="inlineStr">
        <is>
          <t>PROFORMA</t>
        </is>
      </c>
      <c r="C367" s="19" t="inlineStr">
        <is>
          <t>PF IS FY2025 - Historical Spin Business (a)</t>
        </is>
      </c>
      <c r="D367" s="19" t="inlineStr">
        <is>
          <t>Operating profit</t>
        </is>
      </c>
      <c r="E367" s="19" t="inlineStr">
        <is>
          <t>EXCLUDE</t>
        </is>
      </c>
      <c r="F367" s="19" t="inlineStr">
        <is>
          <t>Pro forma -&gt; own tab; never merged with historical</t>
        </is>
      </c>
      <c r="G367" s="3" t="n"/>
    </row>
    <row r="368">
      <c r="A368" s="19" t="inlineStr">
        <is>
          <t>Form10A_2026-05-27</t>
        </is>
      </c>
      <c r="B368" s="19" t="inlineStr">
        <is>
          <t>PROFORMA</t>
        </is>
      </c>
      <c r="C368" s="19" t="inlineStr">
        <is>
          <t>PF IS FY2025 - Historical Spin Business (a)</t>
        </is>
      </c>
      <c r="D368" s="19" t="inlineStr">
        <is>
          <t>Operating-related expenses</t>
        </is>
      </c>
      <c r="E368" s="19" t="inlineStr">
        <is>
          <t>EXCLUDE</t>
        </is>
      </c>
      <c r="F368" s="19" t="inlineStr">
        <is>
          <t>Pro forma -&gt; own tab; never merged with historical</t>
        </is>
      </c>
      <c r="G368" s="3" t="n"/>
    </row>
    <row r="369">
      <c r="A369" s="19" t="inlineStr">
        <is>
          <t>Form10A_2026-05-27</t>
        </is>
      </c>
      <c r="B369" s="19" t="inlineStr">
        <is>
          <t>PROFORMA</t>
        </is>
      </c>
      <c r="C369" s="19" t="inlineStr">
        <is>
          <t>PF IS FY2025 - Historical Spin Business (a)</t>
        </is>
      </c>
      <c r="D369" s="19" t="inlineStr">
        <is>
          <t>Provision for taxes on income</t>
        </is>
      </c>
      <c r="E369" s="19" t="inlineStr">
        <is>
          <t>EXCLUDE</t>
        </is>
      </c>
      <c r="F369" s="19" t="inlineStr">
        <is>
          <t>Pro forma -&gt; own tab; never merged with historical</t>
        </is>
      </c>
      <c r="G369" s="3" t="n"/>
    </row>
    <row r="370">
      <c r="A370" s="19" t="inlineStr">
        <is>
          <t>Form10A_2026-05-27</t>
        </is>
      </c>
      <c r="B370" s="19" t="inlineStr">
        <is>
          <t>PROFORMA</t>
        </is>
      </c>
      <c r="C370" s="19" t="inlineStr">
        <is>
          <t>PF IS FY2025 - Historical Spin Business (a)</t>
        </is>
      </c>
      <c r="D370" s="19" t="inlineStr">
        <is>
          <t>Revenue</t>
        </is>
      </c>
      <c r="E370" s="19" t="inlineStr">
        <is>
          <t>EXCLUDE</t>
        </is>
      </c>
      <c r="F370" s="19" t="inlineStr">
        <is>
          <t>Pro forma -&gt; own tab; never merged with historical</t>
        </is>
      </c>
      <c r="G370" s="3" t="n"/>
    </row>
    <row r="371">
      <c r="A371" s="19" t="inlineStr">
        <is>
          <t>Form10A_2026-05-27</t>
        </is>
      </c>
      <c r="B371" s="19" t="inlineStr">
        <is>
          <t>PROFORMA</t>
        </is>
      </c>
      <c r="C371" s="19" t="inlineStr">
        <is>
          <t>PF IS FY2025 - Historical Spin Business (a)</t>
        </is>
      </c>
      <c r="D371" s="19" t="inlineStr">
        <is>
          <t>Selling and general expenses</t>
        </is>
      </c>
      <c r="E371" s="19" t="inlineStr">
        <is>
          <t>EXCLUDE</t>
        </is>
      </c>
      <c r="F371" s="19" t="inlineStr">
        <is>
          <t>Pro forma -&gt; own tab; never merged with historical</t>
        </is>
      </c>
      <c r="G371" s="3" t="n"/>
    </row>
    <row r="372">
      <c r="A372" s="19" t="inlineStr">
        <is>
          <t>Form10A_2026-05-27</t>
        </is>
      </c>
      <c r="B372" s="19" t="inlineStr">
        <is>
          <t>PROFORMA</t>
        </is>
      </c>
      <c r="C372" s="19" t="inlineStr">
        <is>
          <t>PF IS FY2025 - Historical Spin Business (a)</t>
        </is>
      </c>
      <c r="D372" s="19" t="inlineStr">
        <is>
          <t>Total expenses</t>
        </is>
      </c>
      <c r="E372" s="19" t="inlineStr">
        <is>
          <t>EXCLUDE</t>
        </is>
      </c>
      <c r="F372" s="19" t="inlineStr">
        <is>
          <t>Pro forma -&gt; own tab; never merged with historical</t>
        </is>
      </c>
      <c r="G372" s="3" t="n"/>
    </row>
    <row r="373">
      <c r="A373" s="19" t="inlineStr">
        <is>
          <t>Form10A_2026-05-27</t>
        </is>
      </c>
      <c r="B373" s="19" t="inlineStr">
        <is>
          <t>PROFORMA</t>
        </is>
      </c>
      <c r="C373" s="19" t="inlineStr">
        <is>
          <t>PF IS FY2025 - Pro Forma</t>
        </is>
      </c>
      <c r="D373" s="19" t="inlineStr">
        <is>
          <t>Amortization of intangibles</t>
        </is>
      </c>
      <c r="E373" s="19" t="inlineStr">
        <is>
          <t>EXCLUDE</t>
        </is>
      </c>
      <c r="F373" s="19" t="inlineStr">
        <is>
          <t>Pro forma -&gt; own tab; never merged with historical</t>
        </is>
      </c>
      <c r="G373" s="3" t="n"/>
    </row>
    <row r="374">
      <c r="A374" s="19" t="inlineStr">
        <is>
          <t>Form10A_2026-05-27</t>
        </is>
      </c>
      <c r="B374" s="19" t="inlineStr">
        <is>
          <t>PROFORMA</t>
        </is>
      </c>
      <c r="C374" s="19" t="inlineStr">
        <is>
          <t>PF IS FY2025 - Pro Forma</t>
        </is>
      </c>
      <c r="D374" s="19" t="inlineStr">
        <is>
          <t>Depreciation</t>
        </is>
      </c>
      <c r="E374" s="19" t="inlineStr">
        <is>
          <t>EXCLUDE</t>
        </is>
      </c>
      <c r="F374" s="19" t="inlineStr">
        <is>
          <t>Pro forma -&gt; own tab; never merged with historical</t>
        </is>
      </c>
      <c r="G374" s="3" t="n"/>
    </row>
    <row r="375">
      <c r="A375" s="19" t="inlineStr">
        <is>
          <t>Form10A_2026-05-27</t>
        </is>
      </c>
      <c r="B375" s="19" t="inlineStr">
        <is>
          <t>PROFORMA</t>
        </is>
      </c>
      <c r="C375" s="19" t="inlineStr">
        <is>
          <t>PF IS FY2025 - Pro Forma</t>
        </is>
      </c>
      <c r="D375" s="19" t="inlineStr">
        <is>
          <t>Earnings per share - Net income: Basic</t>
        </is>
      </c>
      <c r="E375" s="19" t="inlineStr">
        <is>
          <t>EXCLUDE</t>
        </is>
      </c>
      <c r="F375" s="19" t="inlineStr">
        <is>
          <t>Pro forma -&gt; own tab; never merged with historical</t>
        </is>
      </c>
      <c r="G375" s="3" t="n"/>
    </row>
    <row r="376">
      <c r="A376" s="19" t="inlineStr">
        <is>
          <t>Form10A_2026-05-27</t>
        </is>
      </c>
      <c r="B376" s="19" t="inlineStr">
        <is>
          <t>PROFORMA</t>
        </is>
      </c>
      <c r="C376" s="19" t="inlineStr">
        <is>
          <t>PF IS FY2025 - Pro Forma</t>
        </is>
      </c>
      <c r="D376" s="19" t="inlineStr">
        <is>
          <t>Earnings per share - Net income: Diluted</t>
        </is>
      </c>
      <c r="E376" s="19" t="inlineStr">
        <is>
          <t>EXCLUDE</t>
        </is>
      </c>
      <c r="F376" s="19" t="inlineStr">
        <is>
          <t>Pro forma -&gt; own tab; never merged with historical</t>
        </is>
      </c>
      <c r="G376" s="3" t="n"/>
    </row>
    <row r="377">
      <c r="A377" s="19" t="inlineStr">
        <is>
          <t>Form10A_2026-05-27</t>
        </is>
      </c>
      <c r="B377" s="19" t="inlineStr">
        <is>
          <t>PROFORMA</t>
        </is>
      </c>
      <c r="C377" s="19" t="inlineStr">
        <is>
          <t>PF IS FY2025 - Pro Forma</t>
        </is>
      </c>
      <c r="D377" s="19" t="inlineStr">
        <is>
          <t>Income before taxes on income</t>
        </is>
      </c>
      <c r="E377" s="19" t="inlineStr">
        <is>
          <t>EXCLUDE</t>
        </is>
      </c>
      <c r="F377" s="19" t="inlineStr">
        <is>
          <t>Pro forma -&gt; own tab; never merged with historical</t>
        </is>
      </c>
      <c r="G377" s="3" t="n"/>
    </row>
    <row r="378">
      <c r="A378" s="19" t="inlineStr">
        <is>
          <t>Form10A_2026-05-27</t>
        </is>
      </c>
      <c r="B378" s="19" t="inlineStr">
        <is>
          <t>PROFORMA</t>
        </is>
      </c>
      <c r="C378" s="19" t="inlineStr">
        <is>
          <t>PF IS FY2025 - Pro Forma</t>
        </is>
      </c>
      <c r="D378" s="19" t="inlineStr">
        <is>
          <t>Interest expense, net</t>
        </is>
      </c>
      <c r="E378" s="19" t="inlineStr">
        <is>
          <t>EXCLUDE</t>
        </is>
      </c>
      <c r="F378" s="19" t="inlineStr">
        <is>
          <t>Pro forma -&gt; own tab; never merged with historical</t>
        </is>
      </c>
      <c r="G378" s="3" t="n"/>
    </row>
    <row r="379">
      <c r="A379" s="19" t="inlineStr">
        <is>
          <t>Form10A_2026-05-27</t>
        </is>
      </c>
      <c r="B379" s="19" t="inlineStr">
        <is>
          <t>PROFORMA</t>
        </is>
      </c>
      <c r="C379" s="19" t="inlineStr">
        <is>
          <t>PF IS FY2025 - Pro Forma</t>
        </is>
      </c>
      <c r="D379" s="19" t="inlineStr">
        <is>
          <t>Net income</t>
        </is>
      </c>
      <c r="E379" s="19" t="inlineStr">
        <is>
          <t>EXCLUDE</t>
        </is>
      </c>
      <c r="F379" s="19" t="inlineStr">
        <is>
          <t>Pro forma -&gt; own tab; never merged with historical</t>
        </is>
      </c>
      <c r="G379" s="3" t="n"/>
    </row>
    <row r="380">
      <c r="A380" s="19" t="inlineStr">
        <is>
          <t>Form10A_2026-05-27</t>
        </is>
      </c>
      <c r="B380" s="19" t="inlineStr">
        <is>
          <t>PROFORMA</t>
        </is>
      </c>
      <c r="C380" s="19" t="inlineStr">
        <is>
          <t>PF IS FY2025 - Pro Forma</t>
        </is>
      </c>
      <c r="D380" s="19" t="inlineStr">
        <is>
          <t>Operating profit</t>
        </is>
      </c>
      <c r="E380" s="19" t="inlineStr">
        <is>
          <t>EXCLUDE</t>
        </is>
      </c>
      <c r="F380" s="19" t="inlineStr">
        <is>
          <t>Pro forma -&gt; own tab; never merged with historical</t>
        </is>
      </c>
      <c r="G380" s="3" t="n"/>
    </row>
    <row r="381">
      <c r="A381" s="19" t="inlineStr">
        <is>
          <t>Form10A_2026-05-27</t>
        </is>
      </c>
      <c r="B381" s="19" t="inlineStr">
        <is>
          <t>PROFORMA</t>
        </is>
      </c>
      <c r="C381" s="19" t="inlineStr">
        <is>
          <t>PF IS FY2025 - Pro Forma</t>
        </is>
      </c>
      <c r="D381" s="19" t="inlineStr">
        <is>
          <t>Operating-related expenses</t>
        </is>
      </c>
      <c r="E381" s="19" t="inlineStr">
        <is>
          <t>EXCLUDE</t>
        </is>
      </c>
      <c r="F381" s="19" t="inlineStr">
        <is>
          <t>Pro forma -&gt; own tab; never merged with historical</t>
        </is>
      </c>
      <c r="G381" s="3" t="n"/>
    </row>
    <row r="382">
      <c r="A382" s="19" t="inlineStr">
        <is>
          <t>Form10A_2026-05-27</t>
        </is>
      </c>
      <c r="B382" s="19" t="inlineStr">
        <is>
          <t>PROFORMA</t>
        </is>
      </c>
      <c r="C382" s="19" t="inlineStr">
        <is>
          <t>PF IS FY2025 - Pro Forma</t>
        </is>
      </c>
      <c r="D382" s="19" t="inlineStr">
        <is>
          <t>Provision for taxes on income</t>
        </is>
      </c>
      <c r="E382" s="19" t="inlineStr">
        <is>
          <t>EXCLUDE</t>
        </is>
      </c>
      <c r="F382" s="19" t="inlineStr">
        <is>
          <t>Pro forma -&gt; own tab; never merged with historical</t>
        </is>
      </c>
      <c r="G382" s="3" t="n"/>
    </row>
    <row r="383">
      <c r="A383" s="19" t="inlineStr">
        <is>
          <t>Form10A_2026-05-27</t>
        </is>
      </c>
      <c r="B383" s="19" t="inlineStr">
        <is>
          <t>PROFORMA</t>
        </is>
      </c>
      <c r="C383" s="19" t="inlineStr">
        <is>
          <t>PF IS FY2025 - Pro Forma</t>
        </is>
      </c>
      <c r="D383" s="19" t="inlineStr">
        <is>
          <t>Revenue</t>
        </is>
      </c>
      <c r="E383" s="19" t="inlineStr">
        <is>
          <t>EXCLUDE</t>
        </is>
      </c>
      <c r="F383" s="19" t="inlineStr">
        <is>
          <t>Pro forma -&gt; own tab; never merged with historical</t>
        </is>
      </c>
      <c r="G383" s="3" t="n"/>
    </row>
    <row r="384">
      <c r="A384" s="19" t="inlineStr">
        <is>
          <t>Form10A_2026-05-27</t>
        </is>
      </c>
      <c r="B384" s="19" t="inlineStr">
        <is>
          <t>PROFORMA</t>
        </is>
      </c>
      <c r="C384" s="19" t="inlineStr">
        <is>
          <t>PF IS FY2025 - Pro Forma</t>
        </is>
      </c>
      <c r="D384" s="19" t="inlineStr">
        <is>
          <t>Selling and general expenses</t>
        </is>
      </c>
      <c r="E384" s="19" t="inlineStr">
        <is>
          <t>EXCLUDE</t>
        </is>
      </c>
      <c r="F384" s="19" t="inlineStr">
        <is>
          <t>Pro forma -&gt; own tab; never merged with historical</t>
        </is>
      </c>
      <c r="G384" s="3" t="n"/>
    </row>
    <row r="385">
      <c r="A385" s="19" t="inlineStr">
        <is>
          <t>Form10A_2026-05-27</t>
        </is>
      </c>
      <c r="B385" s="19" t="inlineStr">
        <is>
          <t>PROFORMA</t>
        </is>
      </c>
      <c r="C385" s="19" t="inlineStr">
        <is>
          <t>PF IS FY2025 - Pro Forma</t>
        </is>
      </c>
      <c r="D385" s="19" t="inlineStr">
        <is>
          <t>Total expenses</t>
        </is>
      </c>
      <c r="E385" s="19" t="inlineStr">
        <is>
          <t>EXCLUDE</t>
        </is>
      </c>
      <c r="F385" s="19" t="inlineStr">
        <is>
          <t>Pro forma -&gt; own tab; never merged with historical</t>
        </is>
      </c>
      <c r="G385" s="3" t="n"/>
    </row>
    <row r="386">
      <c r="A386" s="19" t="inlineStr">
        <is>
          <t>Form10A_2026-05-27</t>
        </is>
      </c>
      <c r="B386" s="19" t="inlineStr">
        <is>
          <t>PROFORMA</t>
        </is>
      </c>
      <c r="C386" s="19" t="inlineStr">
        <is>
          <t>PF IS FY2025 - Pro Forma</t>
        </is>
      </c>
      <c r="D386" s="19" t="inlineStr">
        <is>
          <t>Weighted-average number of common shares outstanding: Basic</t>
        </is>
      </c>
      <c r="E386" s="19" t="inlineStr">
        <is>
          <t>EXCLUDE</t>
        </is>
      </c>
      <c r="F386" s="19" t="inlineStr">
        <is>
          <t>Pro forma -&gt; own tab; never merged with historical</t>
        </is>
      </c>
      <c r="G386" s="3" t="n"/>
    </row>
    <row r="387">
      <c r="A387" s="19" t="inlineStr">
        <is>
          <t>Form10A_2026-05-27</t>
        </is>
      </c>
      <c r="B387" s="19" t="inlineStr">
        <is>
          <t>PROFORMA</t>
        </is>
      </c>
      <c r="C387" s="19" t="inlineStr">
        <is>
          <t>PF IS FY2025 - Pro Forma</t>
        </is>
      </c>
      <c r="D387" s="19" t="inlineStr">
        <is>
          <t>Weighted-average number of common shares outstanding: Diluted</t>
        </is>
      </c>
      <c r="E387" s="19" t="inlineStr">
        <is>
          <t>EXCLUDE</t>
        </is>
      </c>
      <c r="F387" s="19" t="inlineStr">
        <is>
          <t>Pro forma -&gt; own tab; never merged with historical</t>
        </is>
      </c>
      <c r="G387" s="3" t="n"/>
    </row>
    <row r="388">
      <c r="A388" s="19" t="inlineStr">
        <is>
          <t>Form10A_2026-05-27</t>
        </is>
      </c>
      <c r="B388" s="19" t="inlineStr">
        <is>
          <t>PROFORMA</t>
        </is>
      </c>
      <c r="C388" s="19" t="inlineStr">
        <is>
          <t>PF IS FY2025 - Transaction Accounting Adjustments</t>
        </is>
      </c>
      <c r="D388" s="19" t="inlineStr">
        <is>
          <t>Income before taxes on income</t>
        </is>
      </c>
      <c r="E388" s="19" t="inlineStr">
        <is>
          <t>EXCLUDE</t>
        </is>
      </c>
      <c r="F388" s="19" t="inlineStr">
        <is>
          <t>Pro forma -&gt; own tab; never merged with historical</t>
        </is>
      </c>
      <c r="G388" s="3" t="n"/>
    </row>
    <row r="389">
      <c r="A389" s="19" t="inlineStr">
        <is>
          <t>Form10A_2026-05-27</t>
        </is>
      </c>
      <c r="B389" s="19" t="inlineStr">
        <is>
          <t>PROFORMA</t>
        </is>
      </c>
      <c r="C389" s="19" t="inlineStr">
        <is>
          <t>PF IS FY2025 - Transaction Accounting Adjustments</t>
        </is>
      </c>
      <c r="D389" s="19" t="inlineStr">
        <is>
          <t>Interest expense, net</t>
        </is>
      </c>
      <c r="E389" s="19" t="inlineStr">
        <is>
          <t>EXCLUDE</t>
        </is>
      </c>
      <c r="F389" s="19" t="inlineStr">
        <is>
          <t>Pro forma -&gt; own tab; never merged with historical</t>
        </is>
      </c>
      <c r="G389" s="3" t="n"/>
    </row>
    <row r="390">
      <c r="A390" s="19" t="inlineStr">
        <is>
          <t>Form10A_2026-05-27</t>
        </is>
      </c>
      <c r="B390" s="19" t="inlineStr">
        <is>
          <t>PROFORMA</t>
        </is>
      </c>
      <c r="C390" s="19" t="inlineStr">
        <is>
          <t>PF IS FY2025 - Transaction Accounting Adjustments</t>
        </is>
      </c>
      <c r="D390" s="19" t="inlineStr">
        <is>
          <t>Net income</t>
        </is>
      </c>
      <c r="E390" s="19" t="inlineStr">
        <is>
          <t>EXCLUDE</t>
        </is>
      </c>
      <c r="F390" s="19" t="inlineStr">
        <is>
          <t>Pro forma -&gt; own tab; never merged with historical</t>
        </is>
      </c>
      <c r="G390" s="3" t="n"/>
    </row>
    <row r="391">
      <c r="A391" s="19" t="inlineStr">
        <is>
          <t>Form10A_2026-05-27</t>
        </is>
      </c>
      <c r="B391" s="19" t="inlineStr">
        <is>
          <t>PROFORMA</t>
        </is>
      </c>
      <c r="C391" s="19" t="inlineStr">
        <is>
          <t>PF IS FY2025 - Transaction Accounting Adjustments</t>
        </is>
      </c>
      <c r="D391" s="19" t="inlineStr">
        <is>
          <t>Provision for taxes on income</t>
        </is>
      </c>
      <c r="E391" s="19" t="inlineStr">
        <is>
          <t>EXCLUDE</t>
        </is>
      </c>
      <c r="F391" s="19" t="inlineStr">
        <is>
          <t>Pro forma -&gt; own tab; never merged with historical</t>
        </is>
      </c>
      <c r="G391" s="3" t="n"/>
    </row>
    <row r="392">
      <c r="A392" s="19" t="inlineStr">
        <is>
          <t>Form10A_2026-05-27</t>
        </is>
      </c>
      <c r="B392" s="19" t="inlineStr">
        <is>
          <t>PROFORMA</t>
        </is>
      </c>
      <c r="C392" s="19" t="inlineStr">
        <is>
          <t>PF IS Q1-2026 - Autonomous Entity Adjustments</t>
        </is>
      </c>
      <c r="D392" s="19" t="inlineStr">
        <is>
          <t>Net income</t>
        </is>
      </c>
      <c r="E392" s="19" t="inlineStr">
        <is>
          <t>EXCLUDE</t>
        </is>
      </c>
      <c r="F392" s="19" t="inlineStr">
        <is>
          <t>Pro forma -&gt; own tab; never merged with historical</t>
        </is>
      </c>
      <c r="G392" s="3" t="n"/>
    </row>
    <row r="393">
      <c r="A393" s="19" t="inlineStr">
        <is>
          <t>Form10A_2026-05-27</t>
        </is>
      </c>
      <c r="B393" s="19" t="inlineStr">
        <is>
          <t>PROFORMA</t>
        </is>
      </c>
      <c r="C393" s="19" t="inlineStr">
        <is>
          <t>PF IS Q1-2026 - Autonomous Entity Adjustments</t>
        </is>
      </c>
      <c r="D393" s="19" t="inlineStr">
        <is>
          <t>Selling and general expenses</t>
        </is>
      </c>
      <c r="E393" s="19" t="inlineStr">
        <is>
          <t>EXCLUDE</t>
        </is>
      </c>
      <c r="F393" s="19" t="inlineStr">
        <is>
          <t>Pro forma -&gt; own tab; never merged with historical</t>
        </is>
      </c>
      <c r="G393" s="3" t="n"/>
    </row>
    <row r="394">
      <c r="A394" s="19" t="inlineStr">
        <is>
          <t>Form10A_2026-05-27</t>
        </is>
      </c>
      <c r="B394" s="19" t="inlineStr">
        <is>
          <t>PROFORMA</t>
        </is>
      </c>
      <c r="C394" s="19" t="inlineStr">
        <is>
          <t>PF IS Q1-2026 - Historical Spin Business (a)</t>
        </is>
      </c>
      <c r="D394" s="19" t="inlineStr">
        <is>
          <t>Amortization of intangibles</t>
        </is>
      </c>
      <c r="E394" s="19" t="inlineStr">
        <is>
          <t>EXCLUDE</t>
        </is>
      </c>
      <c r="F394" s="19" t="inlineStr">
        <is>
          <t>Pro forma -&gt; own tab; never merged with historical</t>
        </is>
      </c>
      <c r="G394" s="3" t="n"/>
    </row>
    <row r="395">
      <c r="A395" s="19" t="inlineStr">
        <is>
          <t>Form10A_2026-05-27</t>
        </is>
      </c>
      <c r="B395" s="19" t="inlineStr">
        <is>
          <t>PROFORMA</t>
        </is>
      </c>
      <c r="C395" s="19" t="inlineStr">
        <is>
          <t>PF IS Q1-2026 - Historical Spin Business (a)</t>
        </is>
      </c>
      <c r="D395" s="19" t="inlineStr">
        <is>
          <t>Depreciation</t>
        </is>
      </c>
      <c r="E395" s="19" t="inlineStr">
        <is>
          <t>EXCLUDE</t>
        </is>
      </c>
      <c r="F395" s="19" t="inlineStr">
        <is>
          <t>Pro forma -&gt; own tab; never merged with historical</t>
        </is>
      </c>
      <c r="G395" s="3" t="n"/>
    </row>
    <row r="396">
      <c r="A396" s="19" t="inlineStr">
        <is>
          <t>Form10A_2026-05-27</t>
        </is>
      </c>
      <c r="B396" s="19" t="inlineStr">
        <is>
          <t>PROFORMA</t>
        </is>
      </c>
      <c r="C396" s="19" t="inlineStr">
        <is>
          <t>PF IS Q1-2026 - Historical Spin Business (a)</t>
        </is>
      </c>
      <c r="D396" s="19" t="inlineStr">
        <is>
          <t>Income before taxes on income</t>
        </is>
      </c>
      <c r="E396" s="19" t="inlineStr">
        <is>
          <t>EXCLUDE</t>
        </is>
      </c>
      <c r="F396" s="19" t="inlineStr">
        <is>
          <t>Pro forma -&gt; own tab; never merged with historical</t>
        </is>
      </c>
      <c r="G396" s="3" t="n"/>
    </row>
    <row r="397">
      <c r="A397" s="19" t="inlineStr">
        <is>
          <t>Form10A_2026-05-27</t>
        </is>
      </c>
      <c r="B397" s="19" t="inlineStr">
        <is>
          <t>PROFORMA</t>
        </is>
      </c>
      <c r="C397" s="19" t="inlineStr">
        <is>
          <t>PF IS Q1-2026 - Historical Spin Business (a)</t>
        </is>
      </c>
      <c r="D397" s="19" t="inlineStr">
        <is>
          <t>Interest expense, net</t>
        </is>
      </c>
      <c r="E397" s="19" t="inlineStr">
        <is>
          <t>EXCLUDE</t>
        </is>
      </c>
      <c r="F397" s="19" t="inlineStr">
        <is>
          <t>Pro forma -&gt; own tab; never merged with historical</t>
        </is>
      </c>
      <c r="G397" s="3" t="n"/>
    </row>
    <row r="398">
      <c r="A398" s="19" t="inlineStr">
        <is>
          <t>Form10A_2026-05-27</t>
        </is>
      </c>
      <c r="B398" s="19" t="inlineStr">
        <is>
          <t>PROFORMA</t>
        </is>
      </c>
      <c r="C398" s="19" t="inlineStr">
        <is>
          <t>PF IS Q1-2026 - Historical Spin Business (a)</t>
        </is>
      </c>
      <c r="D398" s="19" t="inlineStr">
        <is>
          <t>Net income</t>
        </is>
      </c>
      <c r="E398" s="19" t="inlineStr">
        <is>
          <t>EXCLUDE</t>
        </is>
      </c>
      <c r="F398" s="19" t="inlineStr">
        <is>
          <t>Pro forma -&gt; own tab; never merged with historical</t>
        </is>
      </c>
      <c r="G398" s="3" t="n"/>
    </row>
    <row r="399">
      <c r="A399" s="19" t="inlineStr">
        <is>
          <t>Form10A_2026-05-27</t>
        </is>
      </c>
      <c r="B399" s="19" t="inlineStr">
        <is>
          <t>PROFORMA</t>
        </is>
      </c>
      <c r="C399" s="19" t="inlineStr">
        <is>
          <t>PF IS Q1-2026 - Historical Spin Business (a)</t>
        </is>
      </c>
      <c r="D399" s="19" t="inlineStr">
        <is>
          <t>Operating profit</t>
        </is>
      </c>
      <c r="E399" s="19" t="inlineStr">
        <is>
          <t>EXCLUDE</t>
        </is>
      </c>
      <c r="F399" s="19" t="inlineStr">
        <is>
          <t>Pro forma -&gt; own tab; never merged with historical</t>
        </is>
      </c>
      <c r="G399" s="3" t="n"/>
    </row>
    <row r="400">
      <c r="A400" s="19" t="inlineStr">
        <is>
          <t>Form10A_2026-05-27</t>
        </is>
      </c>
      <c r="B400" s="19" t="inlineStr">
        <is>
          <t>PROFORMA</t>
        </is>
      </c>
      <c r="C400" s="19" t="inlineStr">
        <is>
          <t>PF IS Q1-2026 - Historical Spin Business (a)</t>
        </is>
      </c>
      <c r="D400" s="19" t="inlineStr">
        <is>
          <t>Operating-related expenses</t>
        </is>
      </c>
      <c r="E400" s="19" t="inlineStr">
        <is>
          <t>EXCLUDE</t>
        </is>
      </c>
      <c r="F400" s="19" t="inlineStr">
        <is>
          <t>Pro forma -&gt; own tab; never merged with historical</t>
        </is>
      </c>
      <c r="G400" s="3" t="n"/>
    </row>
    <row r="401">
      <c r="A401" s="19" t="inlineStr">
        <is>
          <t>Form10A_2026-05-27</t>
        </is>
      </c>
      <c r="B401" s="19" t="inlineStr">
        <is>
          <t>PROFORMA</t>
        </is>
      </c>
      <c r="C401" s="19" t="inlineStr">
        <is>
          <t>PF IS Q1-2026 - Historical Spin Business (a)</t>
        </is>
      </c>
      <c r="D401" s="19" t="inlineStr">
        <is>
          <t>Provision for taxes on income</t>
        </is>
      </c>
      <c r="E401" s="19" t="inlineStr">
        <is>
          <t>EXCLUDE</t>
        </is>
      </c>
      <c r="F401" s="19" t="inlineStr">
        <is>
          <t>Pro forma -&gt; own tab; never merged with historical</t>
        </is>
      </c>
      <c r="G401" s="3" t="n"/>
    </row>
    <row r="402">
      <c r="A402" s="19" t="inlineStr">
        <is>
          <t>Form10A_2026-05-27</t>
        </is>
      </c>
      <c r="B402" s="19" t="inlineStr">
        <is>
          <t>PROFORMA</t>
        </is>
      </c>
      <c r="C402" s="19" t="inlineStr">
        <is>
          <t>PF IS Q1-2026 - Historical Spin Business (a)</t>
        </is>
      </c>
      <c r="D402" s="19" t="inlineStr">
        <is>
          <t>Revenue</t>
        </is>
      </c>
      <c r="E402" s="19" t="inlineStr">
        <is>
          <t>EXCLUDE</t>
        </is>
      </c>
      <c r="F402" s="19" t="inlineStr">
        <is>
          <t>Pro forma -&gt; own tab; never merged with historical</t>
        </is>
      </c>
      <c r="G402" s="3" t="n"/>
    </row>
    <row r="403">
      <c r="A403" s="19" t="inlineStr">
        <is>
          <t>Form10A_2026-05-27</t>
        </is>
      </c>
      <c r="B403" s="19" t="inlineStr">
        <is>
          <t>PROFORMA</t>
        </is>
      </c>
      <c r="C403" s="19" t="inlineStr">
        <is>
          <t>PF IS Q1-2026 - Historical Spin Business (a)</t>
        </is>
      </c>
      <c r="D403" s="19" t="inlineStr">
        <is>
          <t>Selling and general expenses</t>
        </is>
      </c>
      <c r="E403" s="19" t="inlineStr">
        <is>
          <t>EXCLUDE</t>
        </is>
      </c>
      <c r="F403" s="19" t="inlineStr">
        <is>
          <t>Pro forma -&gt; own tab; never merged with historical</t>
        </is>
      </c>
      <c r="G403" s="3" t="n"/>
    </row>
    <row r="404">
      <c r="A404" s="19" t="inlineStr">
        <is>
          <t>Form10A_2026-05-27</t>
        </is>
      </c>
      <c r="B404" s="19" t="inlineStr">
        <is>
          <t>PROFORMA</t>
        </is>
      </c>
      <c r="C404" s="19" t="inlineStr">
        <is>
          <t>PF IS Q1-2026 - Historical Spin Business (a)</t>
        </is>
      </c>
      <c r="D404" s="19" t="inlineStr">
        <is>
          <t>Total expenses</t>
        </is>
      </c>
      <c r="E404" s="19" t="inlineStr">
        <is>
          <t>EXCLUDE</t>
        </is>
      </c>
      <c r="F404" s="19" t="inlineStr">
        <is>
          <t>Pro forma -&gt; own tab; never merged with historical</t>
        </is>
      </c>
      <c r="G404" s="3" t="n"/>
    </row>
    <row r="405">
      <c r="A405" s="19" t="inlineStr">
        <is>
          <t>Form10A_2026-05-27</t>
        </is>
      </c>
      <c r="B405" s="19" t="inlineStr">
        <is>
          <t>PROFORMA</t>
        </is>
      </c>
      <c r="C405" s="19" t="inlineStr">
        <is>
          <t>PF IS Q1-2026 - Pro Forma</t>
        </is>
      </c>
      <c r="D405" s="19" t="inlineStr">
        <is>
          <t>Amortization of intangibles</t>
        </is>
      </c>
      <c r="E405" s="19" t="inlineStr">
        <is>
          <t>EXCLUDE</t>
        </is>
      </c>
      <c r="F405" s="19" t="inlineStr">
        <is>
          <t>Pro forma -&gt; own tab; never merged with historical</t>
        </is>
      </c>
      <c r="G405" s="3" t="n"/>
    </row>
    <row r="406">
      <c r="A406" s="19" t="inlineStr">
        <is>
          <t>Form10A_2026-05-27</t>
        </is>
      </c>
      <c r="B406" s="19" t="inlineStr">
        <is>
          <t>PROFORMA</t>
        </is>
      </c>
      <c r="C406" s="19" t="inlineStr">
        <is>
          <t>PF IS Q1-2026 - Pro Forma</t>
        </is>
      </c>
      <c r="D406" s="19" t="inlineStr">
        <is>
          <t>Depreciation</t>
        </is>
      </c>
      <c r="E406" s="19" t="inlineStr">
        <is>
          <t>EXCLUDE</t>
        </is>
      </c>
      <c r="F406" s="19" t="inlineStr">
        <is>
          <t>Pro forma -&gt; own tab; never merged with historical</t>
        </is>
      </c>
      <c r="G406" s="3" t="n"/>
    </row>
    <row r="407">
      <c r="A407" s="19" t="inlineStr">
        <is>
          <t>Form10A_2026-05-27</t>
        </is>
      </c>
      <c r="B407" s="19" t="inlineStr">
        <is>
          <t>PROFORMA</t>
        </is>
      </c>
      <c r="C407" s="19" t="inlineStr">
        <is>
          <t>PF IS Q1-2026 - Pro Forma</t>
        </is>
      </c>
      <c r="D407" s="19" t="inlineStr">
        <is>
          <t>Earnings per share - Net income: Basic</t>
        </is>
      </c>
      <c r="E407" s="19" t="inlineStr">
        <is>
          <t>EXCLUDE</t>
        </is>
      </c>
      <c r="F407" s="19" t="inlineStr">
        <is>
          <t>Pro forma -&gt; own tab; never merged with historical</t>
        </is>
      </c>
      <c r="G407" s="3" t="n"/>
    </row>
    <row r="408">
      <c r="A408" s="19" t="inlineStr">
        <is>
          <t>Form10A_2026-05-27</t>
        </is>
      </c>
      <c r="B408" s="19" t="inlineStr">
        <is>
          <t>PROFORMA</t>
        </is>
      </c>
      <c r="C408" s="19" t="inlineStr">
        <is>
          <t>PF IS Q1-2026 - Pro Forma</t>
        </is>
      </c>
      <c r="D408" s="19" t="inlineStr">
        <is>
          <t>Earnings per share - Net income: Diluted</t>
        </is>
      </c>
      <c r="E408" s="19" t="inlineStr">
        <is>
          <t>EXCLUDE</t>
        </is>
      </c>
      <c r="F408" s="19" t="inlineStr">
        <is>
          <t>Pro forma -&gt; own tab; never merged with historical</t>
        </is>
      </c>
      <c r="G408" s="3" t="n"/>
    </row>
    <row r="409">
      <c r="A409" s="19" t="inlineStr">
        <is>
          <t>Form10A_2026-05-27</t>
        </is>
      </c>
      <c r="B409" s="19" t="inlineStr">
        <is>
          <t>PROFORMA</t>
        </is>
      </c>
      <c r="C409" s="19" t="inlineStr">
        <is>
          <t>PF IS Q1-2026 - Pro Forma</t>
        </is>
      </c>
      <c r="D409" s="19" t="inlineStr">
        <is>
          <t>Income before taxes on income</t>
        </is>
      </c>
      <c r="E409" s="19" t="inlineStr">
        <is>
          <t>EXCLUDE</t>
        </is>
      </c>
      <c r="F409" s="19" t="inlineStr">
        <is>
          <t>Pro forma -&gt; own tab; never merged with historical</t>
        </is>
      </c>
      <c r="G409" s="3" t="n"/>
    </row>
    <row r="410">
      <c r="A410" s="19" t="inlineStr">
        <is>
          <t>Form10A_2026-05-27</t>
        </is>
      </c>
      <c r="B410" s="19" t="inlineStr">
        <is>
          <t>PROFORMA</t>
        </is>
      </c>
      <c r="C410" s="19" t="inlineStr">
        <is>
          <t>PF IS Q1-2026 - Pro Forma</t>
        </is>
      </c>
      <c r="D410" s="19" t="inlineStr">
        <is>
          <t>Interest expense, net</t>
        </is>
      </c>
      <c r="E410" s="19" t="inlineStr">
        <is>
          <t>EXCLUDE</t>
        </is>
      </c>
      <c r="F410" s="19" t="inlineStr">
        <is>
          <t>Pro forma -&gt; own tab; never merged with historical</t>
        </is>
      </c>
      <c r="G410" s="3" t="n"/>
    </row>
    <row r="411">
      <c r="A411" s="19" t="inlineStr">
        <is>
          <t>Form10A_2026-05-27</t>
        </is>
      </c>
      <c r="B411" s="19" t="inlineStr">
        <is>
          <t>PROFORMA</t>
        </is>
      </c>
      <c r="C411" s="19" t="inlineStr">
        <is>
          <t>PF IS Q1-2026 - Pro Forma</t>
        </is>
      </c>
      <c r="D411" s="19" t="inlineStr">
        <is>
          <t>Net income</t>
        </is>
      </c>
      <c r="E411" s="19" t="inlineStr">
        <is>
          <t>EXCLUDE</t>
        </is>
      </c>
      <c r="F411" s="19" t="inlineStr">
        <is>
          <t>Pro forma -&gt; own tab; never merged with historical</t>
        </is>
      </c>
      <c r="G411" s="3" t="n"/>
    </row>
    <row r="412">
      <c r="A412" s="19" t="inlineStr">
        <is>
          <t>Form10A_2026-05-27</t>
        </is>
      </c>
      <c r="B412" s="19" t="inlineStr">
        <is>
          <t>PROFORMA</t>
        </is>
      </c>
      <c r="C412" s="19" t="inlineStr">
        <is>
          <t>PF IS Q1-2026 - Pro Forma</t>
        </is>
      </c>
      <c r="D412" s="19" t="inlineStr">
        <is>
          <t>Operating profit</t>
        </is>
      </c>
      <c r="E412" s="19" t="inlineStr">
        <is>
          <t>EXCLUDE</t>
        </is>
      </c>
      <c r="F412" s="19" t="inlineStr">
        <is>
          <t>Pro forma -&gt; own tab; never merged with historical</t>
        </is>
      </c>
      <c r="G412" s="3" t="n"/>
    </row>
    <row r="413">
      <c r="A413" s="19" t="inlineStr">
        <is>
          <t>Form10A_2026-05-27</t>
        </is>
      </c>
      <c r="B413" s="19" t="inlineStr">
        <is>
          <t>PROFORMA</t>
        </is>
      </c>
      <c r="C413" s="19" t="inlineStr">
        <is>
          <t>PF IS Q1-2026 - Pro Forma</t>
        </is>
      </c>
      <c r="D413" s="19" t="inlineStr">
        <is>
          <t>Operating-related expenses</t>
        </is>
      </c>
      <c r="E413" s="19" t="inlineStr">
        <is>
          <t>EXCLUDE</t>
        </is>
      </c>
      <c r="F413" s="19" t="inlineStr">
        <is>
          <t>Pro forma -&gt; own tab; never merged with historical</t>
        </is>
      </c>
      <c r="G413" s="3" t="n"/>
    </row>
    <row r="414">
      <c r="A414" s="19" t="inlineStr">
        <is>
          <t>Form10A_2026-05-27</t>
        </is>
      </c>
      <c r="B414" s="19" t="inlineStr">
        <is>
          <t>PROFORMA</t>
        </is>
      </c>
      <c r="C414" s="19" t="inlineStr">
        <is>
          <t>PF IS Q1-2026 - Pro Forma</t>
        </is>
      </c>
      <c r="D414" s="19" t="inlineStr">
        <is>
          <t>Provision for taxes on income</t>
        </is>
      </c>
      <c r="E414" s="19" t="inlineStr">
        <is>
          <t>EXCLUDE</t>
        </is>
      </c>
      <c r="F414" s="19" t="inlineStr">
        <is>
          <t>Pro forma -&gt; own tab; never merged with historical</t>
        </is>
      </c>
      <c r="G414" s="3" t="n"/>
    </row>
    <row r="415">
      <c r="A415" s="19" t="inlineStr">
        <is>
          <t>Form10A_2026-05-27</t>
        </is>
      </c>
      <c r="B415" s="19" t="inlineStr">
        <is>
          <t>PROFORMA</t>
        </is>
      </c>
      <c r="C415" s="19" t="inlineStr">
        <is>
          <t>PF IS Q1-2026 - Pro Forma</t>
        </is>
      </c>
      <c r="D415" s="19" t="inlineStr">
        <is>
          <t>Revenue</t>
        </is>
      </c>
      <c r="E415" s="19" t="inlineStr">
        <is>
          <t>EXCLUDE</t>
        </is>
      </c>
      <c r="F415" s="19" t="inlineStr">
        <is>
          <t>Pro forma -&gt; own tab; never merged with historical</t>
        </is>
      </c>
      <c r="G415" s="3" t="n"/>
    </row>
    <row r="416">
      <c r="A416" s="19" t="inlineStr">
        <is>
          <t>Form10A_2026-05-27</t>
        </is>
      </c>
      <c r="B416" s="19" t="inlineStr">
        <is>
          <t>PROFORMA</t>
        </is>
      </c>
      <c r="C416" s="19" t="inlineStr">
        <is>
          <t>PF IS Q1-2026 - Pro Forma</t>
        </is>
      </c>
      <c r="D416" s="19" t="inlineStr">
        <is>
          <t>Selling and general expenses</t>
        </is>
      </c>
      <c r="E416" s="19" t="inlineStr">
        <is>
          <t>EXCLUDE</t>
        </is>
      </c>
      <c r="F416" s="19" t="inlineStr">
        <is>
          <t>Pro forma -&gt; own tab; never merged with historical</t>
        </is>
      </c>
      <c r="G416" s="3" t="n"/>
    </row>
    <row r="417">
      <c r="A417" s="19" t="inlineStr">
        <is>
          <t>Form10A_2026-05-27</t>
        </is>
      </c>
      <c r="B417" s="19" t="inlineStr">
        <is>
          <t>PROFORMA</t>
        </is>
      </c>
      <c r="C417" s="19" t="inlineStr">
        <is>
          <t>PF IS Q1-2026 - Pro Forma</t>
        </is>
      </c>
      <c r="D417" s="19" t="inlineStr">
        <is>
          <t>Total expenses</t>
        </is>
      </c>
      <c r="E417" s="19" t="inlineStr">
        <is>
          <t>EXCLUDE</t>
        </is>
      </c>
      <c r="F417" s="19" t="inlineStr">
        <is>
          <t>Pro forma -&gt; own tab; never merged with historical</t>
        </is>
      </c>
      <c r="G417" s="3" t="n"/>
    </row>
    <row r="418">
      <c r="A418" s="19" t="inlineStr">
        <is>
          <t>Form10A_2026-05-27</t>
        </is>
      </c>
      <c r="B418" s="19" t="inlineStr">
        <is>
          <t>PROFORMA</t>
        </is>
      </c>
      <c r="C418" s="19" t="inlineStr">
        <is>
          <t>PF IS Q1-2026 - Pro Forma</t>
        </is>
      </c>
      <c r="D418" s="19" t="inlineStr">
        <is>
          <t>Weighted-average number of common shares outstanding: Basic</t>
        </is>
      </c>
      <c r="E418" s="19" t="inlineStr">
        <is>
          <t>EXCLUDE</t>
        </is>
      </c>
      <c r="F418" s="19" t="inlineStr">
        <is>
          <t>Pro forma -&gt; own tab; never merged with historical</t>
        </is>
      </c>
      <c r="G418" s="3" t="n"/>
    </row>
    <row r="419">
      <c r="A419" s="19" t="inlineStr">
        <is>
          <t>Form10A_2026-05-27</t>
        </is>
      </c>
      <c r="B419" s="19" t="inlineStr">
        <is>
          <t>PROFORMA</t>
        </is>
      </c>
      <c r="C419" s="19" t="inlineStr">
        <is>
          <t>PF IS Q1-2026 - Pro Forma</t>
        </is>
      </c>
      <c r="D419" s="19" t="inlineStr">
        <is>
          <t>Weighted-average number of common shares outstanding: Diluted</t>
        </is>
      </c>
      <c r="E419" s="19" t="inlineStr">
        <is>
          <t>EXCLUDE</t>
        </is>
      </c>
      <c r="F419" s="19" t="inlineStr">
        <is>
          <t>Pro forma -&gt; own tab; never merged with historical</t>
        </is>
      </c>
      <c r="G419" s="3" t="n"/>
    </row>
    <row r="420">
      <c r="A420" s="19" t="inlineStr">
        <is>
          <t>Form10A_2026-05-27</t>
        </is>
      </c>
      <c r="B420" s="19" t="inlineStr">
        <is>
          <t>PROFORMA</t>
        </is>
      </c>
      <c r="C420" s="19" t="inlineStr">
        <is>
          <t>PF IS Q1-2026 - Transaction Accounting Adjustments</t>
        </is>
      </c>
      <c r="D420" s="19" t="inlineStr">
        <is>
          <t>Income before taxes on income</t>
        </is>
      </c>
      <c r="E420" s="19" t="inlineStr">
        <is>
          <t>EXCLUDE</t>
        </is>
      </c>
      <c r="F420" s="19" t="inlineStr">
        <is>
          <t>Pro forma -&gt; own tab; never merged with historical</t>
        </is>
      </c>
      <c r="G420" s="3" t="n"/>
    </row>
    <row r="421">
      <c r="A421" s="19" t="inlineStr">
        <is>
          <t>Form10A_2026-05-27</t>
        </is>
      </c>
      <c r="B421" s="19" t="inlineStr">
        <is>
          <t>PROFORMA</t>
        </is>
      </c>
      <c r="C421" s="19" t="inlineStr">
        <is>
          <t>PF IS Q1-2026 - Transaction Accounting Adjustments</t>
        </is>
      </c>
      <c r="D421" s="19" t="inlineStr">
        <is>
          <t>Interest expense, net</t>
        </is>
      </c>
      <c r="E421" s="19" t="inlineStr">
        <is>
          <t>EXCLUDE</t>
        </is>
      </c>
      <c r="F421" s="19" t="inlineStr">
        <is>
          <t>Pro forma -&gt; own tab; never merged with historical</t>
        </is>
      </c>
      <c r="G421" s="3" t="n"/>
    </row>
    <row r="422">
      <c r="A422" s="19" t="inlineStr">
        <is>
          <t>Form10A_2026-05-27</t>
        </is>
      </c>
      <c r="B422" s="19" t="inlineStr">
        <is>
          <t>PROFORMA</t>
        </is>
      </c>
      <c r="C422" s="19" t="inlineStr">
        <is>
          <t>PF IS Q1-2026 - Transaction Accounting Adjustments</t>
        </is>
      </c>
      <c r="D422" s="19" t="inlineStr">
        <is>
          <t>Net income</t>
        </is>
      </c>
      <c r="E422" s="19" t="inlineStr">
        <is>
          <t>EXCLUDE</t>
        </is>
      </c>
      <c r="F422" s="19" t="inlineStr">
        <is>
          <t>Pro forma -&gt; own tab; never merged with historical</t>
        </is>
      </c>
      <c r="G422"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2026-10-28T00:13:20Z</dcterms:created>
  <dcterms:modified xmlns:dcterms="http://purl.org/dc/terms/" xmlns:xsi="http://www.w3.org/2001/XMLSchema-instance" xsi:type="dcterms:W3CDTF">2026-10-28T00:13:22Z</dcterms:modified>
</cp:coreProperties>
</file>